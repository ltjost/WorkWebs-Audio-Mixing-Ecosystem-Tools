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2c3508a7a9ff8/Larry-OD-AMD-Documents/2 WINGS STUFF/ROUTES ETC/"/>
    </mc:Choice>
  </mc:AlternateContent>
  <xr:revisionPtr revIDLastSave="0" documentId="8_{96F79899-9AB3-4268-B8CA-137B81BF5915}" xr6:coauthVersionLast="47" xr6:coauthVersionMax="47" xr10:uidLastSave="{00000000-0000-0000-0000-000000000000}"/>
  <bookViews>
    <workbookView xWindow="6375" yWindow="2295" windowWidth="23265" windowHeight="18585" xr2:uid="{EEEA8F85-C366-4140-892F-C9231DC9478A}"/>
  </bookViews>
  <sheets>
    <sheet name="USE THIS" sheetId="5" r:id="rId1"/>
    <sheet name="REFS" sheetId="4" r:id="rId2"/>
    <sheet name="Sheet1" sheetId="1" r:id="rId3"/>
    <sheet name="Sheet2" sheetId="2" r:id="rId4"/>
    <sheet name="By Chan" sheetId="3" r:id="rId5"/>
  </sheets>
  <definedNames>
    <definedName name="_xlnm.Print_Titles" localSheetId="3">Sheet2!$1:$1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4" i="5" l="1"/>
  <c r="E12" i="5"/>
  <c r="E11" i="5"/>
  <c r="E10" i="5"/>
  <c r="E9" i="5"/>
  <c r="E8" i="5"/>
  <c r="E7" i="5"/>
  <c r="E6" i="5"/>
  <c r="C1" i="5"/>
  <c r="L49" i="5"/>
  <c r="K49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81" i="5"/>
  <c r="N180" i="5"/>
  <c r="N179" i="5"/>
  <c r="N178" i="5"/>
  <c r="N177" i="5"/>
  <c r="N176" i="5"/>
  <c r="N175" i="5"/>
  <c r="N173" i="5"/>
  <c r="N172" i="5"/>
  <c r="N171" i="5"/>
  <c r="N154" i="5"/>
  <c r="H77" i="5" l="1"/>
  <c r="G77" i="5"/>
  <c r="E77" i="5"/>
  <c r="N153" i="5"/>
  <c r="N152" i="5"/>
  <c r="N151" i="5"/>
  <c r="N150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U2" i="2"/>
  <c r="L70" i="5"/>
  <c r="L55" i="5"/>
  <c r="L54" i="5"/>
  <c r="L53" i="5"/>
  <c r="L52" i="5"/>
  <c r="L51" i="5"/>
  <c r="L48" i="5"/>
  <c r="K55" i="5"/>
  <c r="K54" i="5"/>
  <c r="K53" i="5"/>
  <c r="K52" i="5"/>
  <c r="K51" i="5"/>
  <c r="K48" i="5"/>
  <c r="I55" i="5"/>
  <c r="I54" i="5"/>
  <c r="I53" i="5"/>
  <c r="I52" i="5"/>
  <c r="I51" i="5"/>
  <c r="I49" i="5"/>
  <c r="I48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49" i="5"/>
  <c r="H48" i="5"/>
  <c r="H46" i="5"/>
  <c r="H5" i="5"/>
  <c r="H4" i="5"/>
  <c r="H3" i="5"/>
  <c r="H2" i="5"/>
  <c r="K70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49" i="5"/>
  <c r="G48" i="5"/>
  <c r="G46" i="5"/>
  <c r="G5" i="5"/>
  <c r="G4" i="5"/>
  <c r="G3" i="5"/>
  <c r="G2" i="5"/>
  <c r="I70" i="5"/>
  <c r="E70" i="5"/>
  <c r="E55" i="5"/>
  <c r="E54" i="5"/>
  <c r="E53" i="5"/>
  <c r="E52" i="5"/>
  <c r="E51" i="5"/>
  <c r="E49" i="5"/>
  <c r="E48" i="5"/>
  <c r="E61" i="5"/>
  <c r="E46" i="5"/>
  <c r="E60" i="5"/>
  <c r="E59" i="5"/>
  <c r="E58" i="5"/>
  <c r="E57" i="5"/>
  <c r="E56" i="5"/>
  <c r="E69" i="5"/>
  <c r="E68" i="5"/>
  <c r="E67" i="5"/>
  <c r="E66" i="5"/>
  <c r="E65" i="5"/>
  <c r="E64" i="5"/>
  <c r="E63" i="5"/>
  <c r="E62" i="5"/>
  <c r="E5" i="5"/>
  <c r="E4" i="5"/>
  <c r="E3" i="5"/>
  <c r="E2" i="5"/>
  <c r="Q147" i="2"/>
  <c r="Q146" i="2"/>
  <c r="Q145" i="2"/>
  <c r="Q144" i="2"/>
  <c r="Q143" i="2"/>
  <c r="Q142" i="2"/>
  <c r="Q141" i="2"/>
  <c r="Q140" i="2"/>
  <c r="Q139" i="2"/>
  <c r="Q138" i="2"/>
  <c r="Q137" i="2"/>
  <c r="Q136" i="2"/>
  <c r="Q153" i="2"/>
  <c r="Q152" i="2"/>
  <c r="Q151" i="2"/>
  <c r="Q150" i="2"/>
  <c r="Q149" i="2"/>
  <c r="Q148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S233" i="2" l="1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R48" i="2"/>
  <c r="P119" i="2"/>
  <c r="P117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6" i="2"/>
  <c r="K5" i="2"/>
  <c r="K4" i="2"/>
  <c r="K3" i="2"/>
  <c r="K2" i="2"/>
  <c r="K7" i="2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C33" i="3"/>
  <c r="C32" i="3"/>
  <c r="C31" i="3"/>
  <c r="C30" i="3"/>
  <c r="C29" i="3"/>
  <c r="C28" i="3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233" i="2"/>
  <c r="F232" i="2"/>
  <c r="F231" i="2"/>
  <c r="F230" i="2"/>
  <c r="F229" i="2"/>
  <c r="F45" i="2"/>
  <c r="F44" i="2"/>
  <c r="F43" i="2"/>
  <c r="F42" i="2"/>
  <c r="F41" i="2"/>
  <c r="F40" i="2"/>
  <c r="F39" i="2"/>
  <c r="F38" i="2"/>
  <c r="F96" i="2"/>
  <c r="F95" i="2"/>
  <c r="F94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46" i="1" l="1"/>
</calcChain>
</file>

<file path=xl/sharedStrings.xml><?xml version="1.0" encoding="utf-8"?>
<sst xmlns="http://schemas.openxmlformats.org/spreadsheetml/2006/main" count="3069" uniqueCount="2306">
  <si>
    <t>ULX.05</t>
  </si>
  <si>
    <t>ULX.06</t>
  </si>
  <si>
    <t>CMX32.LCL.01</t>
  </si>
  <si>
    <t>CMX32.LCL.02</t>
  </si>
  <si>
    <t>CMX32.LCL.03</t>
  </si>
  <si>
    <t>CMX32.LCL.04</t>
  </si>
  <si>
    <t>CMX32.LCL.05</t>
  </si>
  <si>
    <t>CMX32.LCL.06</t>
  </si>
  <si>
    <t>CMX32.LCL.07</t>
  </si>
  <si>
    <t>CMX32.LCL.08</t>
  </si>
  <si>
    <t>CMX32.LCL.09</t>
  </si>
  <si>
    <t>CMX32.LCL.10</t>
  </si>
  <si>
    <t>CMX32.LCL.11</t>
  </si>
  <si>
    <t>CMX32.LCL.12</t>
  </si>
  <si>
    <t>CMX32.LCL.13</t>
  </si>
  <si>
    <t>CMX32.LCL.14</t>
  </si>
  <si>
    <t>CMX32.LCL.15</t>
  </si>
  <si>
    <t>CMX32.LCL.16</t>
  </si>
  <si>
    <t>CMX32.LCL.17</t>
  </si>
  <si>
    <t>CMX32.LCL.18</t>
  </si>
  <si>
    <t>CMX32.LCL.19</t>
  </si>
  <si>
    <t>CMX32.LCL.20</t>
  </si>
  <si>
    <t>CMX32.LCL.21</t>
  </si>
  <si>
    <t>CMX32.LCL.22</t>
  </si>
  <si>
    <t>CMX32.LCL.23</t>
  </si>
  <si>
    <t>CMX32.LCL.24</t>
  </si>
  <si>
    <t>CMX32.LCL.25</t>
  </si>
  <si>
    <t>CMX32.LCL.26</t>
  </si>
  <si>
    <t>CMX32.LCL.27</t>
  </si>
  <si>
    <t>CMX32.LCL.28</t>
  </si>
  <si>
    <t>CMX32.LCL.29</t>
  </si>
  <si>
    <t>CMX32.LCL.30</t>
  </si>
  <si>
    <t>CMX32.LCL.31</t>
  </si>
  <si>
    <t>CMX32.LCL.32</t>
  </si>
  <si>
    <t>LJWINGR.LCL.13</t>
  </si>
  <si>
    <t>LJWINGR.LCL.14</t>
  </si>
  <si>
    <t>LJWINGR.LCL.15</t>
  </si>
  <si>
    <t>LJWINGR.LCL.16</t>
  </si>
  <si>
    <t>LJWINGR.LCL.17</t>
  </si>
  <si>
    <t>LJWINGR.LCL.18</t>
  </si>
  <si>
    <t>LJWINGR.LCL.21</t>
  </si>
  <si>
    <t>LJWINGR.LCL.22</t>
  </si>
  <si>
    <t>LJWINGR.LCL.23</t>
  </si>
  <si>
    <t>LJWINGR.LCL.24</t>
  </si>
  <si>
    <t>sing 1</t>
  </si>
  <si>
    <t>sing 2</t>
  </si>
  <si>
    <t>sing 3</t>
  </si>
  <si>
    <t>sing 4</t>
  </si>
  <si>
    <t>Choir 1</t>
  </si>
  <si>
    <t>Choir 2</t>
  </si>
  <si>
    <t>Choir 3</t>
  </si>
  <si>
    <t>Choir 4</t>
  </si>
  <si>
    <t>Choir 5</t>
  </si>
  <si>
    <t>Choir 6</t>
  </si>
  <si>
    <t>PIANO</t>
  </si>
  <si>
    <t>timpani 1</t>
  </si>
  <si>
    <t>timpani 2</t>
  </si>
  <si>
    <t>Choir 7</t>
  </si>
  <si>
    <t>Choir 8</t>
  </si>
  <si>
    <t>bone 1</t>
  </si>
  <si>
    <t>bone 2</t>
  </si>
  <si>
    <t>tuba</t>
  </si>
  <si>
    <t>horn 1</t>
  </si>
  <si>
    <t>horn 2</t>
  </si>
  <si>
    <t>trumpet 1</t>
  </si>
  <si>
    <t>trumpet 2</t>
  </si>
  <si>
    <t>trumpet 3</t>
  </si>
  <si>
    <t>trumpet 4</t>
  </si>
  <si>
    <t>flute 1</t>
  </si>
  <si>
    <t>flute 2</t>
  </si>
  <si>
    <t>oboe</t>
  </si>
  <si>
    <t>clarinet</t>
  </si>
  <si>
    <t>viola</t>
  </si>
  <si>
    <t>violin 2</t>
  </si>
  <si>
    <t>gregg tracks</t>
  </si>
  <si>
    <t>cello</t>
  </si>
  <si>
    <t>violin 1</t>
  </si>
  <si>
    <t>SLX.16</t>
  </si>
  <si>
    <t>SLX.18</t>
  </si>
  <si>
    <t>mon ovrch</t>
  </si>
  <si>
    <t>mon pno</t>
  </si>
  <si>
    <t>mon org</t>
  </si>
  <si>
    <t>mon gtr</t>
  </si>
  <si>
    <t>mon vox</t>
  </si>
  <si>
    <t>mon drum</t>
  </si>
  <si>
    <t>CMX32.DL16.1.01-A.01</t>
  </si>
  <si>
    <t>CMX32.DL16.1.02-A.02</t>
  </si>
  <si>
    <t>CMX32.DL16.1.03-A.03</t>
  </si>
  <si>
    <t>CMX32.DL16.1.04-A.04</t>
  </si>
  <si>
    <t>CMX32.DL16.1.05-A.05</t>
  </si>
  <si>
    <t>CMX32.DL16.1.06-A.06</t>
  </si>
  <si>
    <t>CMX32.DL16.1.07-A.07</t>
  </si>
  <si>
    <t>CMX32.DL16.1.08-A.08</t>
  </si>
  <si>
    <t>CMX32.DL16.1.09-A.09</t>
  </si>
  <si>
    <t>CMX32.DL16.1.10-A.10</t>
  </si>
  <si>
    <t>CMX32.DL16.1.11-A.11</t>
  </si>
  <si>
    <t>CMX32.DL16.1.12-A.12</t>
  </si>
  <si>
    <t>CMX32.DL16.1.13-A.13</t>
  </si>
  <si>
    <t>CMX32.DL16.1.14-A.14</t>
  </si>
  <si>
    <t>CMX32.DL16.1.15-A.15</t>
  </si>
  <si>
    <t>CMX32.DL16.1.16-A.16</t>
  </si>
  <si>
    <t>CMX32.DL16.2.01-A.17</t>
  </si>
  <si>
    <t>CMX32.DL16.2.02-A.18</t>
  </si>
  <si>
    <t>CMX32.DL16.2.03-A.19</t>
  </si>
  <si>
    <t>CMX32.DL16.2.04-A.20</t>
  </si>
  <si>
    <t>CMX32.DL16.2.05-A.21</t>
  </si>
  <si>
    <t>CMX32.DL16.2.06-A.22</t>
  </si>
  <si>
    <t>CMX32.DL16.2.07-A.23</t>
  </si>
  <si>
    <t>CMX32.DL16.2.08-A.24</t>
  </si>
  <si>
    <t>CMX32.DL16.2.09-A.25</t>
  </si>
  <si>
    <t>CMX32.DL16.2.10-A.26</t>
  </si>
  <si>
    <t>CMX32.DL16.2.11-A.27</t>
  </si>
  <si>
    <t>CMX32.DL16.2.12-A.28</t>
  </si>
  <si>
    <t>CMX32.DL16.2.13-A.29</t>
  </si>
  <si>
    <t>CMX32.DL16.2.14-A.30</t>
  </si>
  <si>
    <t>CMX32.DL16.2.15-A.31</t>
  </si>
  <si>
    <t>CMX32.DL16.2.16-A.32</t>
  </si>
  <si>
    <t>CMX32.DL16.3.01-A.33</t>
  </si>
  <si>
    <t>CMX32.DL16.3.02-A.34</t>
  </si>
  <si>
    <t>CMX32.DL16.3.03-A.35</t>
  </si>
  <si>
    <t>CMX32.DL16.3.04-A.36</t>
  </si>
  <si>
    <t>CMX32.DL16.3.05-A.37</t>
  </si>
  <si>
    <t>CMX32.DL16.3.06-A.38</t>
  </si>
  <si>
    <t>CMX32.DL16.3.07-A.39</t>
  </si>
  <si>
    <t>CMX32.DL16.3.08-A.40</t>
  </si>
  <si>
    <t>CMX32.DL16.3.09-A.41</t>
  </si>
  <si>
    <t>CMX32.DL16.3.10-A.42</t>
  </si>
  <si>
    <t>CMX32.DL16.3.11-A.43</t>
  </si>
  <si>
    <t>CMX32.DL16.3.12-A.44</t>
  </si>
  <si>
    <t>CMX32.DL16.3.13-A.45</t>
  </si>
  <si>
    <t>CMX32.DL16.3.14-A.46</t>
  </si>
  <si>
    <t>CMX32.DL16.3.15-A.47</t>
  </si>
  <si>
    <t>CMX32.DL16.3.16-A.48</t>
  </si>
  <si>
    <t>remap aux 1</t>
  </si>
  <si>
    <t>remap aux 2</t>
  </si>
  <si>
    <t>remap aux 3</t>
  </si>
  <si>
    <t>remap aux 4</t>
  </si>
  <si>
    <t>remap aux 5</t>
  </si>
  <si>
    <t>remap aux 6</t>
  </si>
  <si>
    <t>(was 32)</t>
  </si>
  <si>
    <t>(was 33)</t>
  </si>
  <si>
    <t>(was 34)</t>
  </si>
  <si>
    <t>(was 35)</t>
  </si>
  <si>
    <t>(was 36)</t>
  </si>
  <si>
    <t>(was 09)</t>
  </si>
  <si>
    <t>sls.13(16)</t>
  </si>
  <si>
    <t>sls.14(17)</t>
  </si>
  <si>
    <t>sls.15(30)</t>
  </si>
  <si>
    <t>timpani 3/MG TOM 1</t>
  </si>
  <si>
    <t>timpani 4/MG TOM 2</t>
  </si>
  <si>
    <t>percussion 1/MG PAD</t>
  </si>
  <si>
    <t>MG AG</t>
  </si>
  <si>
    <t>MG KICK</t>
  </si>
  <si>
    <t>MG SNARE</t>
  </si>
  <si>
    <t>MG OHL</t>
  </si>
  <si>
    <t>MG OHR</t>
  </si>
  <si>
    <t>Annabelle Violin/MG eBG</t>
  </si>
  <si>
    <t>Maddie Flute/MG EG</t>
  </si>
  <si>
    <t>SLX.14 Pr Jeff</t>
  </si>
  <si>
    <t>SLX.07 Pr Nate</t>
  </si>
  <si>
    <t>SLX.08 Pr Paul</t>
  </si>
  <si>
    <t>SLX.10 Kenzie</t>
  </si>
  <si>
    <t>SLX.09 gst1</t>
  </si>
  <si>
    <t>SLX.15 gst2</t>
  </si>
  <si>
    <t>SLX.11 gst3</t>
  </si>
  <si>
    <t>SLX.12 altar hh</t>
  </si>
  <si>
    <t>sls.01 house snake 18 SEN.11 hh</t>
  </si>
  <si>
    <t>sls.02 housr snake 31 SEN.12 hh</t>
  </si>
  <si>
    <t>PK.01 sls.09 house snake 11</t>
  </si>
  <si>
    <t>PK.02 sls.10 house snake  12</t>
  </si>
  <si>
    <t>PK.03 sls.11 house snake  13</t>
  </si>
  <si>
    <t>PK.04 sls.12 house snake  14</t>
  </si>
  <si>
    <t>Organ house snake  25</t>
  </si>
  <si>
    <t>Room house snake 28</t>
  </si>
  <si>
    <t>SEN.01 skit JOCELYN sls.03(32) rewire</t>
  </si>
  <si>
    <t>SEN.02 skit CHLOE sls.04(33) rewire</t>
  </si>
  <si>
    <t>SEN.03 skit STELLA sls.05(34) rewire</t>
  </si>
  <si>
    <t>SEN.04 skit CARSON sls.06(35) rewire</t>
  </si>
  <si>
    <t>SEN.05 skit KIRBY sls.07(36) rewire</t>
  </si>
  <si>
    <t>SEN.05 skit ANNABELLE sls.08(09) rewire</t>
  </si>
  <si>
    <t>LJWINGR.LCL.01</t>
  </si>
  <si>
    <t>LJWINGR.LCL.02</t>
  </si>
  <si>
    <t>LJWINGR.LCL.03</t>
  </si>
  <si>
    <t>LJWINGR.LCL.04</t>
  </si>
  <si>
    <t>LJWINGR.LCL.05</t>
  </si>
  <si>
    <t>LJWINGR.LCL.06</t>
  </si>
  <si>
    <t>CMX32.usrout.01</t>
  </si>
  <si>
    <t>CMX32.usrout.03</t>
  </si>
  <si>
    <t>CMX32.usrout.04</t>
  </si>
  <si>
    <t>CMX32.usrout.06</t>
  </si>
  <si>
    <t>CMX32.usrout.07</t>
  </si>
  <si>
    <t>CMX32.usrout.08</t>
  </si>
  <si>
    <t>CMX32.usrout.09</t>
  </si>
  <si>
    <t>CMX32.usrout.10</t>
  </si>
  <si>
    <t>CMX32.usrout.11</t>
  </si>
  <si>
    <t>CMX32.usrout.13</t>
  </si>
  <si>
    <t>CMX32.usrout.14</t>
  </si>
  <si>
    <t>CMX32.usrout.15</t>
  </si>
  <si>
    <t>CMX32.usrout.16</t>
  </si>
  <si>
    <t>CMX32.usrout.05</t>
  </si>
  <si>
    <t>CMX32.usrout.12</t>
  </si>
  <si>
    <t>CMX32.usrout.02</t>
  </si>
  <si>
    <t>CMX32.usrout.17</t>
  </si>
  <si>
    <t>CMX32.usrout.18</t>
  </si>
  <si>
    <t>CMX32.usrout.19</t>
  </si>
  <si>
    <t>CMX32.usrout.20</t>
  </si>
  <si>
    <t>CMX32.usrout.21</t>
  </si>
  <si>
    <t>CMX32.usrout.22</t>
  </si>
  <si>
    <t>CMX32.usrout.23</t>
  </si>
  <si>
    <t>CMX32.usrout.48</t>
  </si>
  <si>
    <t>CMX32.usrout.24</t>
  </si>
  <si>
    <t>CMX32.usrout.47</t>
  </si>
  <si>
    <t>CMX32.usrout.25</t>
  </si>
  <si>
    <t>CMX32.usrout.26</t>
  </si>
  <si>
    <t>CMX32.usrout.27</t>
  </si>
  <si>
    <t>CMX32.usrout.28</t>
  </si>
  <si>
    <t>CMX32.usrout.29</t>
  </si>
  <si>
    <t>CMX32.usrout.30</t>
  </si>
  <si>
    <t>CMX32.usrout.31</t>
  </si>
  <si>
    <t>CMX32.usrout.32</t>
  </si>
  <si>
    <t>CMX32.usrout.33</t>
  </si>
  <si>
    <t>CMX32.usrout.34</t>
  </si>
  <si>
    <t>CMX32.usrout.35</t>
  </si>
  <si>
    <t>CMX32.usrout.36</t>
  </si>
  <si>
    <t>CMX32.usrout.37</t>
  </si>
  <si>
    <t>CMX32.usrout.38</t>
  </si>
  <si>
    <t>CMX32.usrout.39</t>
  </si>
  <si>
    <t>CMX32.usrout.40</t>
  </si>
  <si>
    <t>CMX32.usrout.41</t>
  </si>
  <si>
    <t>CMX32.usrout.42</t>
  </si>
  <si>
    <t>CMX32.usrout.45</t>
  </si>
  <si>
    <t>CMX32.usrout.46</t>
  </si>
  <si>
    <t xml:space="preserve">CMX32.BUS.01 PASTORs </t>
  </si>
  <si>
    <t>CMX32.B.01</t>
  </si>
  <si>
    <t>CMX32.B.03</t>
  </si>
  <si>
    <t>CMX32.B.04</t>
  </si>
  <si>
    <t>CMX32.B.06</t>
  </si>
  <si>
    <t>CMX32.B.07</t>
  </si>
  <si>
    <t>CMX32.B.08</t>
  </si>
  <si>
    <t>CMX32.B.09</t>
  </si>
  <si>
    <t>CMX32.B.10</t>
  </si>
  <si>
    <t>CMX32.B.11</t>
  </si>
  <si>
    <t>CMX32.B.13</t>
  </si>
  <si>
    <t>CMX32.B.14</t>
  </si>
  <si>
    <t>CMX32.B.15</t>
  </si>
  <si>
    <t>CMX32.B.16</t>
  </si>
  <si>
    <t>CMX32.B.05</t>
  </si>
  <si>
    <t>CMX32.B.12</t>
  </si>
  <si>
    <t>CMX32.B.02</t>
  </si>
  <si>
    <t>CMX32.B.17</t>
  </si>
  <si>
    <t>CMX32.B.18</t>
  </si>
  <si>
    <t>CMX32.B.19</t>
  </si>
  <si>
    <t>CMX32.B.20</t>
  </si>
  <si>
    <t>CMX32.B.21</t>
  </si>
  <si>
    <t>CMX32.B.22</t>
  </si>
  <si>
    <t>CMX32.B.23</t>
  </si>
  <si>
    <t>CMX32.B.48</t>
  </si>
  <si>
    <t>CMX32.B.24</t>
  </si>
  <si>
    <t>CMX32.B.47</t>
  </si>
  <si>
    <t>CMX32.B.25</t>
  </si>
  <si>
    <t>CMX32.B.26</t>
  </si>
  <si>
    <t>CMX32.B.27</t>
  </si>
  <si>
    <t>CMX32.B.28</t>
  </si>
  <si>
    <t>CMX32.B.29</t>
  </si>
  <si>
    <t>CMX32.B.30</t>
  </si>
  <si>
    <t>CMX32.B.31</t>
  </si>
  <si>
    <t>CMX32.B.32</t>
  </si>
  <si>
    <t>CMX32.B.33</t>
  </si>
  <si>
    <t>CMX32.B.34</t>
  </si>
  <si>
    <t>CMX32.B.35</t>
  </si>
  <si>
    <t>CMX32.B.36</t>
  </si>
  <si>
    <t>CMX32.B.37</t>
  </si>
  <si>
    <t>CMX32.B.38</t>
  </si>
  <si>
    <t>CMX32.B.39</t>
  </si>
  <si>
    <t>CMX32.B.40</t>
  </si>
  <si>
    <t>CMX32.B.41</t>
  </si>
  <si>
    <t>CMX32.B.42</t>
  </si>
  <si>
    <t>CMX32.B.45</t>
  </si>
  <si>
    <t>LJWINGR.B.01</t>
  </si>
  <si>
    <t>LJWINGR.B.02</t>
  </si>
  <si>
    <t>LJWINGR.B.03</t>
  </si>
  <si>
    <t>LJWINGR.B.04</t>
  </si>
  <si>
    <t>LJWINGR.B.05</t>
  </si>
  <si>
    <t>LJWINGR.B.06</t>
  </si>
  <si>
    <t>LJWINGR.B.07</t>
  </si>
  <si>
    <t>LJWINGR.B.08</t>
  </si>
  <si>
    <t>LJWINGR.B.09</t>
  </si>
  <si>
    <t>LJWINGR.B.10</t>
  </si>
  <si>
    <t>LJWINGR.B.11</t>
  </si>
  <si>
    <t>LJWINGR.B.12</t>
  </si>
  <si>
    <t>LJWINGR.B.13</t>
  </si>
  <si>
    <t>LJWINGR.B.14</t>
  </si>
  <si>
    <t>LJWINGR.B.15</t>
  </si>
  <si>
    <t>LJWINGR.B.16</t>
  </si>
  <si>
    <t>LJWINGR.B.17</t>
  </si>
  <si>
    <t>LJWINGR.B.18</t>
  </si>
  <si>
    <t>LJWINGR.B.19</t>
  </si>
  <si>
    <t>LJWINGR.B.20</t>
  </si>
  <si>
    <t>LJWINGR.B.21</t>
  </si>
  <si>
    <t>LJWINGR.B.22</t>
  </si>
  <si>
    <t>LJWINGR.B.23</t>
  </si>
  <si>
    <t>LJWINGR.B.48</t>
  </si>
  <si>
    <t>LJWINGR.B.24</t>
  </si>
  <si>
    <t>LJWINGR.B.47</t>
  </si>
  <si>
    <t>LJWINGR.B.25</t>
  </si>
  <si>
    <t>LJWINGR.B.26</t>
  </si>
  <si>
    <t>LJWINGR.B.27</t>
  </si>
  <si>
    <t>LJWINGR.B.28</t>
  </si>
  <si>
    <t>LJWINGR.B.29</t>
  </si>
  <si>
    <t>LJWINGR.B.30</t>
  </si>
  <si>
    <t>LJWINGR.B.31</t>
  </si>
  <si>
    <t>LJWINGR.B.32</t>
  </si>
  <si>
    <t>LJWINGR.B.33</t>
  </si>
  <si>
    <t>LJWINGR.B.34</t>
  </si>
  <si>
    <t>LJWINGR.B.35</t>
  </si>
  <si>
    <t>LJWINGR.B.36</t>
  </si>
  <si>
    <t>LJWINGR.B.37</t>
  </si>
  <si>
    <t>LJWINGR.B.38</t>
  </si>
  <si>
    <t>LJWINGR.B.39</t>
  </si>
  <si>
    <t>LJWINGR.B.40</t>
  </si>
  <si>
    <t>LJWINGR.B.41</t>
  </si>
  <si>
    <t>LJWINGR.B.42</t>
  </si>
  <si>
    <t>CMX32.B.46</t>
  </si>
  <si>
    <t>LJWINGR.B.43</t>
  </si>
  <si>
    <t>LJWINGR.B.44</t>
  </si>
  <si>
    <t>LJWINGR.B.45</t>
  </si>
  <si>
    <t>LJWINGR.B.46</t>
  </si>
  <si>
    <t>LJWINGR.C.01</t>
  </si>
  <si>
    <t>LJWINGR.C.02</t>
  </si>
  <si>
    <t>LJWINGR.C.03</t>
  </si>
  <si>
    <t>LJWINGR.C.04</t>
  </si>
  <si>
    <t>LJWINGR.C.05</t>
  </si>
  <si>
    <t>LJWINGR.C.06</t>
  </si>
  <si>
    <t>standing bass sls.13(16)</t>
  </si>
  <si>
    <t>LJWINGR.CH.33</t>
  </si>
  <si>
    <t>LJWINGR.CH.34</t>
  </si>
  <si>
    <t>LJWINGR.CH.35</t>
  </si>
  <si>
    <t>LJWINGR.CH.36</t>
  </si>
  <si>
    <t>LJWINGR.CH.01</t>
  </si>
  <si>
    <t>LJWINGR.CH.02</t>
  </si>
  <si>
    <t>LJWINGR.CH.03</t>
  </si>
  <si>
    <t>LJWINGR.CH.04</t>
  </si>
  <si>
    <t>LJWINGR.CH.05</t>
  </si>
  <si>
    <t>LJWINGR.CH.06</t>
  </si>
  <si>
    <t>LJWINGR.CH.07</t>
  </si>
  <si>
    <t>LJWINGR.CH.08</t>
  </si>
  <si>
    <t>LJWINGR.CH.09</t>
  </si>
  <si>
    <t>LJWINGR.CH.10</t>
  </si>
  <si>
    <t>LJWINGR.CH.11</t>
  </si>
  <si>
    <t>LJWINGR.CH.12</t>
  </si>
  <si>
    <t>LJWINGR.CH.13</t>
  </si>
  <si>
    <t>LJWINGR.CH.15</t>
  </si>
  <si>
    <t>LJWINGR.CH.16</t>
  </si>
  <si>
    <t>LJWINGR.CH.17</t>
  </si>
  <si>
    <t>LJWINGR.CH.18</t>
  </si>
  <si>
    <t>LJWINGR.CH.19</t>
  </si>
  <si>
    <t>LJWINGR.CH.20</t>
  </si>
  <si>
    <t>LJWINGR.CH.21</t>
  </si>
  <si>
    <t>LJWINGR.CH.22</t>
  </si>
  <si>
    <t>LJWINGR.CH.23</t>
  </si>
  <si>
    <t>LJWINGR.CH.24</t>
  </si>
  <si>
    <t>LJWINGR.C.07</t>
  </si>
  <si>
    <t>LJWINGR.C.08</t>
  </si>
  <si>
    <t>LJWINGR.C.09</t>
  </si>
  <si>
    <t>LJWINGR.C.10</t>
  </si>
  <si>
    <t>LJWINGR.C.11</t>
  </si>
  <si>
    <t>LJWINGR.C.12</t>
  </si>
  <si>
    <t>LJWINGR.C.13</t>
  </si>
  <si>
    <t>LJWINGR.C.14</t>
  </si>
  <si>
    <t>LJWINGR.C.15</t>
  </si>
  <si>
    <t>LJWINGR.C.16</t>
  </si>
  <si>
    <t>LJWINGR.C.17</t>
  </si>
  <si>
    <t>LJWINGR.C.18</t>
  </si>
  <si>
    <t>LJWINGR.C.19</t>
  </si>
  <si>
    <t>LJWINGR.C.20</t>
  </si>
  <si>
    <t>LJWINGR.C.21</t>
  </si>
  <si>
    <t>LJWINGR.C.22</t>
  </si>
  <si>
    <t>LJWINGR.C.23</t>
  </si>
  <si>
    <t>LJWINGR.C.24</t>
  </si>
  <si>
    <t>LJWINGR.C.25</t>
  </si>
  <si>
    <t>LJWINGR.C.26</t>
  </si>
  <si>
    <t>LJWINGR.C.27</t>
  </si>
  <si>
    <t>LJWINGR.C.28</t>
  </si>
  <si>
    <t>LJWINGR.C.29</t>
  </si>
  <si>
    <t>LJWINGR.C.30</t>
  </si>
  <si>
    <t>LJWINGR.C.31</t>
  </si>
  <si>
    <t>LJWINGR.C.33</t>
  </si>
  <si>
    <t>LJWINGR.C.32</t>
  </si>
  <si>
    <t>LJX32R.A.07</t>
  </si>
  <si>
    <t>LJX32R.A.08</t>
  </si>
  <si>
    <t>LJX32R.A.09</t>
  </si>
  <si>
    <t>LJX32R.A.10</t>
  </si>
  <si>
    <t>LJX32R.A.11</t>
  </si>
  <si>
    <t>LJX32R.A.12</t>
  </si>
  <si>
    <t>LJX32R.A.13</t>
  </si>
  <si>
    <t>LJX32R.A.14</t>
  </si>
  <si>
    <t>LJX32R.A.15</t>
  </si>
  <si>
    <t>LJX32R.A.16</t>
  </si>
  <si>
    <t>LJX32R.A.17</t>
  </si>
  <si>
    <t>LJX32R.A.18</t>
  </si>
  <si>
    <t>LJX32R.A.19</t>
  </si>
  <si>
    <t>LJX32R.A.20</t>
  </si>
  <si>
    <t>LJX32R.A.21</t>
  </si>
  <si>
    <t>LJX32R.A.22</t>
  </si>
  <si>
    <t>LJX32R.A.23</t>
  </si>
  <si>
    <t>LJX32R.A.24</t>
  </si>
  <si>
    <t>LJX32R.A.25</t>
  </si>
  <si>
    <t>LJX32R.A.26</t>
  </si>
  <si>
    <t>LJX32R.A.27</t>
  </si>
  <si>
    <t>LJX32R.A.28</t>
  </si>
  <si>
    <t>LJX32R.A.29</t>
  </si>
  <si>
    <t>LJX32R.A.33</t>
  </si>
  <si>
    <t>LJX32R.A.30</t>
  </si>
  <si>
    <t>LJX32R.A.32</t>
  </si>
  <si>
    <t>LJX32R.A.31</t>
  </si>
  <si>
    <t>LJX32R.A.01</t>
  </si>
  <si>
    <t>LJX32R.A.02</t>
  </si>
  <si>
    <t>LJX32R.A.03</t>
  </si>
  <si>
    <t>LJX32R.A.04</t>
  </si>
  <si>
    <t>LJX32R.A.05</t>
  </si>
  <si>
    <t>LJX32R.A.06</t>
  </si>
  <si>
    <t>LJX32R.CH.01</t>
  </si>
  <si>
    <t>LJX32R.CH.03</t>
  </si>
  <si>
    <t>LJX32R.CH.04</t>
  </si>
  <si>
    <t>LJX32R.CH.06</t>
  </si>
  <si>
    <t>LJX32R.CH.07</t>
  </si>
  <si>
    <t>LJX32R.CH.08</t>
  </si>
  <si>
    <t>LJX32R.CH.14</t>
  </si>
  <si>
    <t>LJX32R.CH.15</t>
  </si>
  <si>
    <t>LJX32R.CH.16</t>
  </si>
  <si>
    <t>LJX32R.CH.05</t>
  </si>
  <si>
    <t>LJX32R.CH.12</t>
  </si>
  <si>
    <t>LJX32R.CH.02</t>
  </si>
  <si>
    <t>LJX32R.CH.17</t>
  </si>
  <si>
    <t>LJX32R.CH.18</t>
  </si>
  <si>
    <t>LJX32R.CH.19</t>
  </si>
  <si>
    <t>LJX32R.CH.20</t>
  </si>
  <si>
    <t>LJX32R.CH.21</t>
  </si>
  <si>
    <t>LJX32R.CH.22</t>
  </si>
  <si>
    <t>LJX32R.CH.23</t>
  </si>
  <si>
    <t>LJX32R.CH.24</t>
  </si>
  <si>
    <t>LJX32R.CH.25</t>
  </si>
  <si>
    <t>LJX32R.CH.26</t>
  </si>
  <si>
    <t>LJX32R.CH.27</t>
  </si>
  <si>
    <t>LJX32R.CH.28</t>
  </si>
  <si>
    <t>LJX32R.CH.29</t>
  </si>
  <si>
    <t>LJX32R.CH.31</t>
  </si>
  <si>
    <t>LJX32R.CH.32</t>
  </si>
  <si>
    <t>LJX32R.CH.30</t>
  </si>
  <si>
    <t>LJX32R.LCL.01</t>
  </si>
  <si>
    <t>LJX32R.B.01</t>
  </si>
  <si>
    <t>LJX32R.B.02</t>
  </si>
  <si>
    <t>LJX32R.B.03</t>
  </si>
  <si>
    <t>LJX32R.B.04</t>
  </si>
  <si>
    <t>LJX32R.B.05</t>
  </si>
  <si>
    <t>LJX32R.B.06</t>
  </si>
  <si>
    <t>LJX32R.B.07</t>
  </si>
  <si>
    <t>LJX32R.B.08</t>
  </si>
  <si>
    <t>LJX32R.B.12</t>
  </si>
  <si>
    <t>LJX32R.B.14</t>
  </si>
  <si>
    <t>LJX32R.B.15</t>
  </si>
  <si>
    <t>LJX32R.B.16</t>
  </si>
  <si>
    <t>LJX32R.B.17</t>
  </si>
  <si>
    <t>LJX32R.B.18</t>
  </si>
  <si>
    <t>LJX32R.B.19</t>
  </si>
  <si>
    <t>LJX32R.B.20</t>
  </si>
  <si>
    <t>LJX32R.B.21</t>
  </si>
  <si>
    <t>LJX32R.B.22</t>
  </si>
  <si>
    <t>LJX32R.B.23</t>
  </si>
  <si>
    <t>LJX32R.B.24</t>
  </si>
  <si>
    <t>LJX32R.B.25</t>
  </si>
  <si>
    <t>KT9630</t>
  </si>
  <si>
    <t>VB.KT.01</t>
  </si>
  <si>
    <t>RPR.49</t>
  </si>
  <si>
    <t>LJX32R.B.26</t>
  </si>
  <si>
    <t>LJX32R.B.27</t>
  </si>
  <si>
    <t>LJX32R.B.28</t>
  </si>
  <si>
    <t>LJX32R.B.29</t>
  </si>
  <si>
    <t>LJX32R.B.30</t>
  </si>
  <si>
    <t>LJX32R.B.31</t>
  </si>
  <si>
    <t>LJX32R.B.32</t>
  </si>
  <si>
    <t>VB.KT.02</t>
  </si>
  <si>
    <t>VB.KT.03</t>
  </si>
  <si>
    <t>VB.KT.04</t>
  </si>
  <si>
    <t>VB.KT.05</t>
  </si>
  <si>
    <t>VB.KT.06</t>
  </si>
  <si>
    <t>VB.KT.07</t>
  </si>
  <si>
    <t>VB.KT.08</t>
  </si>
  <si>
    <t>VB.KT.12</t>
  </si>
  <si>
    <t>VB.KT.14</t>
  </si>
  <si>
    <t>VB.KT.15</t>
  </si>
  <si>
    <t>VB.KT.16</t>
  </si>
  <si>
    <t>VB.KT.17</t>
  </si>
  <si>
    <t>VB.KT.18</t>
  </si>
  <si>
    <t>VB.KT.19</t>
  </si>
  <si>
    <t>VB.KT.20</t>
  </si>
  <si>
    <t>VB.KT.21</t>
  </si>
  <si>
    <t>VB.KT.22</t>
  </si>
  <si>
    <t>VB.KT.23</t>
  </si>
  <si>
    <t>VB.KT.24</t>
  </si>
  <si>
    <t>VB.KT.25</t>
  </si>
  <si>
    <t>VB.KT.26</t>
  </si>
  <si>
    <t>VB.KT.27</t>
  </si>
  <si>
    <t>VB.KT.28</t>
  </si>
  <si>
    <t>VB.KT.29</t>
  </si>
  <si>
    <t>VB.KT.30</t>
  </si>
  <si>
    <t>VB.KT.31</t>
  </si>
  <si>
    <t>VB.KT.32</t>
  </si>
  <si>
    <t>RPR.50</t>
  </si>
  <si>
    <t>RPR.51</t>
  </si>
  <si>
    <t>RPR.52</t>
  </si>
  <si>
    <t>RPR.53</t>
  </si>
  <si>
    <t>RPR.54</t>
  </si>
  <si>
    <t>RPR.55</t>
  </si>
  <si>
    <t>RPR.56</t>
  </si>
  <si>
    <t>RPR.57</t>
  </si>
  <si>
    <t>RPR.58</t>
  </si>
  <si>
    <t>RPR.59</t>
  </si>
  <si>
    <t>RPR.60</t>
  </si>
  <si>
    <t>RPR.61</t>
  </si>
  <si>
    <t>RPR.62</t>
  </si>
  <si>
    <t>RPR.63</t>
  </si>
  <si>
    <t>RPR.64</t>
  </si>
  <si>
    <t>RPR.65</t>
  </si>
  <si>
    <t>RPR.66</t>
  </si>
  <si>
    <t>RPR.67</t>
  </si>
  <si>
    <t>RPR.68</t>
  </si>
  <si>
    <t>RPR.69</t>
  </si>
  <si>
    <t>RPR.70</t>
  </si>
  <si>
    <t>RPR.71</t>
  </si>
  <si>
    <t>RPR.72</t>
  </si>
  <si>
    <t>RPR.73</t>
  </si>
  <si>
    <t>RPR.74</t>
  </si>
  <si>
    <t>RPR.75</t>
  </si>
  <si>
    <t>RPR.76</t>
  </si>
  <si>
    <t>LJWINGR.USB.33</t>
  </si>
  <si>
    <t>LJWINGR.USB.34</t>
  </si>
  <si>
    <t>LJWINGR.USB.35</t>
  </si>
  <si>
    <t>LJWINGR.USB.36</t>
  </si>
  <si>
    <t>LJWINGR.USB.01</t>
  </si>
  <si>
    <t>LJWINGR.USB.02</t>
  </si>
  <si>
    <t>LJWINGR.USB.03</t>
  </si>
  <si>
    <t>LJWINGR.USB.04</t>
  </si>
  <si>
    <t>LJWINGR.USB.05</t>
  </si>
  <si>
    <t>LJWINGR.USB.06</t>
  </si>
  <si>
    <t>LJWINGR.USB.07</t>
  </si>
  <si>
    <t>LJWINGR.USB.08</t>
  </si>
  <si>
    <t>LJWINGR.USB.09</t>
  </si>
  <si>
    <t>LJWINGR.USB.10</t>
  </si>
  <si>
    <t>LJWINGR.USB.11</t>
  </si>
  <si>
    <t>LJWINGR.USB.12</t>
  </si>
  <si>
    <t>LJWINGR.USB.13</t>
  </si>
  <si>
    <t>LJWINGR.USB.15</t>
  </si>
  <si>
    <t>LJWINGR.USB.16</t>
  </si>
  <si>
    <t>LJWINGR.USB.17</t>
  </si>
  <si>
    <t>LJWINGR.USB.18</t>
  </si>
  <si>
    <t>LJWINGR.USB.19</t>
  </si>
  <si>
    <t>LJWINGR.USB.20</t>
  </si>
  <si>
    <t>LJWINGR.USB.21</t>
  </si>
  <si>
    <t>LJWINGR.USB.22</t>
  </si>
  <si>
    <t>LJWINGR.USB.23</t>
  </si>
  <si>
    <t>LJWINGR.USB.24</t>
  </si>
  <si>
    <t>VB.USB.33</t>
  </si>
  <si>
    <t>VB.USB.34</t>
  </si>
  <si>
    <t>VB.USB.35</t>
  </si>
  <si>
    <t>VB.USB.36</t>
  </si>
  <si>
    <t>VB.USB.01</t>
  </si>
  <si>
    <t>VB.USB.02</t>
  </si>
  <si>
    <t>VB.USB.03</t>
  </si>
  <si>
    <t>VB.USB.04</t>
  </si>
  <si>
    <t>VB.USB.05</t>
  </si>
  <si>
    <t>VB.USB.06</t>
  </si>
  <si>
    <t>VB.USB.07</t>
  </si>
  <si>
    <t>VB.USB.08</t>
  </si>
  <si>
    <t>VB.USB.09</t>
  </si>
  <si>
    <t>VB.USB.10</t>
  </si>
  <si>
    <t>VB.USB.11</t>
  </si>
  <si>
    <t>VB.USB.12</t>
  </si>
  <si>
    <t>VB.USB.13</t>
  </si>
  <si>
    <t>VB.USB.15</t>
  </si>
  <si>
    <t>VB.USB.16</t>
  </si>
  <si>
    <t>VB.USB.17</t>
  </si>
  <si>
    <t>VB.USB.18</t>
  </si>
  <si>
    <t>VB.USB.19</t>
  </si>
  <si>
    <t>VB.USB.20</t>
  </si>
  <si>
    <t>VB.USB.21</t>
  </si>
  <si>
    <t>VB.USB.22</t>
  </si>
  <si>
    <t>VB.USB.23</t>
  </si>
  <si>
    <t>VB.USB.24</t>
  </si>
  <si>
    <t>RPR.01</t>
  </si>
  <si>
    <t>RPR.33</t>
  </si>
  <si>
    <t>RPR.34</t>
  </si>
  <si>
    <t>RPR.35</t>
  </si>
  <si>
    <t>RPR.36</t>
  </si>
  <si>
    <t>RPR.02</t>
  </si>
  <si>
    <t>RPR.03</t>
  </si>
  <si>
    <t>RPR.04</t>
  </si>
  <si>
    <t>RPR.05</t>
  </si>
  <si>
    <t>RPR.06</t>
  </si>
  <si>
    <t>RPR.07</t>
  </si>
  <si>
    <t>RPR.08</t>
  </si>
  <si>
    <t>RPR.09</t>
  </si>
  <si>
    <t>RPR.10</t>
  </si>
  <si>
    <t>RPR.11</t>
  </si>
  <si>
    <t>RPR.12</t>
  </si>
  <si>
    <t>RPR.13</t>
  </si>
  <si>
    <t>RPR.15</t>
  </si>
  <si>
    <t>RPR.16</t>
  </si>
  <si>
    <t>RPR.17</t>
  </si>
  <si>
    <t>RPR.18</t>
  </si>
  <si>
    <t>RPR.19</t>
  </si>
  <si>
    <t>RPR.20</t>
  </si>
  <si>
    <t>RPR.21</t>
  </si>
  <si>
    <t>RPR.22</t>
  </si>
  <si>
    <t>RPR.23</t>
  </si>
  <si>
    <t>RPR.24</t>
  </si>
  <si>
    <t>CMX32.CH.01</t>
  </si>
  <si>
    <t>CMX32.CH.15</t>
  </si>
  <si>
    <t>CMX32.CH.16</t>
  </si>
  <si>
    <t>CMX32.CH.11</t>
  </si>
  <si>
    <t>CMX32.CH.08</t>
  </si>
  <si>
    <t>CMX32.CH.09</t>
  </si>
  <si>
    <t>CMX32.CH.10</t>
  </si>
  <si>
    <t>CMX32.CH.12</t>
  </si>
  <si>
    <t>CMX32.CH.13</t>
  </si>
  <si>
    <t>CMX32.CH.14</t>
  </si>
  <si>
    <t>CMX32.CH.02</t>
  </si>
  <si>
    <t>CMX32.CH.03</t>
  </si>
  <si>
    <t>CMX32.CH.04</t>
  </si>
  <si>
    <t>CMX32.CH.05</t>
  </si>
  <si>
    <t>CMX32.CH.06</t>
  </si>
  <si>
    <t>CMX32.CH.07</t>
  </si>
  <si>
    <t>CMX32.USB.01</t>
  </si>
  <si>
    <t>CMX32.USB.02</t>
  </si>
  <si>
    <t>CMX32.USB.03</t>
  </si>
  <si>
    <t>CMX32.USB.04</t>
  </si>
  <si>
    <t>CMX32.USB.05</t>
  </si>
  <si>
    <t>CMX32.USB.06</t>
  </si>
  <si>
    <t>CMX32.USB.07</t>
  </si>
  <si>
    <t>CMX32.USB.08</t>
  </si>
  <si>
    <t>CMX32.USB.09</t>
  </si>
  <si>
    <t>CMX32.USB.10</t>
  </si>
  <si>
    <t>CMX32.USB.11</t>
  </si>
  <si>
    <t>CMX32.USB.12</t>
  </si>
  <si>
    <t>CMX32.USB.13</t>
  </si>
  <si>
    <t>CMX32.USB.14</t>
  </si>
  <si>
    <t>CMX32.USB.15</t>
  </si>
  <si>
    <t>CMX32.USB.16</t>
  </si>
  <si>
    <t>Xlive</t>
  </si>
  <si>
    <t>wUSB</t>
  </si>
  <si>
    <t>VB.XLive.01</t>
  </si>
  <si>
    <t>VB.XLive.02</t>
  </si>
  <si>
    <t>VB.XLive.03</t>
  </si>
  <si>
    <t>VB.XLive.04</t>
  </si>
  <si>
    <t>VB.XLive.05</t>
  </si>
  <si>
    <t>VB.XLive.06</t>
  </si>
  <si>
    <t>VB.XLive.07</t>
  </si>
  <si>
    <t>VB.XLive.08</t>
  </si>
  <si>
    <t>VB.XLive.09</t>
  </si>
  <si>
    <t>VB.XLive.10</t>
  </si>
  <si>
    <t>VB.XLive.11</t>
  </si>
  <si>
    <t>VB.XLive.12</t>
  </si>
  <si>
    <t>VB.XLive.13</t>
  </si>
  <si>
    <t>VB.XLive.14</t>
  </si>
  <si>
    <t>VB.XLive.15</t>
  </si>
  <si>
    <t>VB.XLive.16</t>
  </si>
  <si>
    <t>RPR.97</t>
  </si>
  <si>
    <t>RPR.98</t>
  </si>
  <si>
    <t>RPR.99</t>
  </si>
  <si>
    <t>RPR.100</t>
  </si>
  <si>
    <t>RPR.101</t>
  </si>
  <si>
    <t>RPR.102</t>
  </si>
  <si>
    <t>RPR.103</t>
  </si>
  <si>
    <t>RPR.104</t>
  </si>
  <si>
    <t>RPR.105</t>
  </si>
  <si>
    <t>RPR.106</t>
  </si>
  <si>
    <t>RPR.107</t>
  </si>
  <si>
    <t>RPR.108</t>
  </si>
  <si>
    <t>RPR.109</t>
  </si>
  <si>
    <t>RPR.110</t>
  </si>
  <si>
    <t>RPR.111</t>
  </si>
  <si>
    <t>RPR.112</t>
  </si>
  <si>
    <t>Into WING Rack 1</t>
  </si>
  <si>
    <t>Into Wing Rack 2</t>
  </si>
  <si>
    <t>Exposed on or Out from Wing Rack 1</t>
  </si>
  <si>
    <t>Exposed on or out from CM X32</t>
  </si>
  <si>
    <t>Input for Source</t>
  </si>
  <si>
    <t xml:space="preserve">Exposed on </t>
  </si>
  <si>
    <t>Out to Reaper from</t>
  </si>
  <si>
    <t>to Reaper Device</t>
  </si>
  <si>
    <t>VB In</t>
  </si>
  <si>
    <t>Reaper Input Number</t>
  </si>
  <si>
    <t>grp1</t>
  </si>
  <si>
    <t>grp2</t>
  </si>
  <si>
    <t>grp3</t>
  </si>
  <si>
    <t>grp4</t>
  </si>
  <si>
    <t>LJWINGR.CH.40L</t>
  </si>
  <si>
    <t>LJWINGR.CH.40R</t>
  </si>
  <si>
    <t>LJWINGR.CH.39L</t>
  </si>
  <si>
    <t>LJWINGR.CH.39R</t>
  </si>
  <si>
    <t>from Tube VOX L</t>
  </si>
  <si>
    <t>from Tube VOX R</t>
  </si>
  <si>
    <t>from Tube INST L</t>
  </si>
  <si>
    <t>from Tube INST R</t>
  </si>
  <si>
    <t xml:space="preserve">CMX32.BUS.02 PKs </t>
  </si>
  <si>
    <t xml:space="preserve">CMX32.BUS.03 SEN Vox </t>
  </si>
  <si>
    <t xml:space="preserve">CMX32.BUS.04 avail </t>
  </si>
  <si>
    <t>ITEM
20260226a</t>
  </si>
  <si>
    <t>hs.32</t>
  </si>
  <si>
    <t>hs.33</t>
  </si>
  <si>
    <t>hs.34</t>
  </si>
  <si>
    <t>hs.35</t>
  </si>
  <si>
    <t>hs.36</t>
  </si>
  <si>
    <t>Pr Paul</t>
  </si>
  <si>
    <t>Pr Jeff</t>
  </si>
  <si>
    <t>Kenzie</t>
  </si>
  <si>
    <t>GST 1</t>
  </si>
  <si>
    <t>GST 2</t>
  </si>
  <si>
    <t>GST 3</t>
  </si>
  <si>
    <t>Altar</t>
  </si>
  <si>
    <t>hs.25</t>
  </si>
  <si>
    <t>hs.28</t>
  </si>
  <si>
    <t>hs.18</t>
  </si>
  <si>
    <t>Organ</t>
  </si>
  <si>
    <t>Room</t>
  </si>
  <si>
    <t>SLX.14</t>
  </si>
  <si>
    <t>SLX.07</t>
  </si>
  <si>
    <t>SLX.08</t>
  </si>
  <si>
    <t>SLX.10</t>
  </si>
  <si>
    <t>SLX.09</t>
  </si>
  <si>
    <t>SLX.15</t>
  </si>
  <si>
    <t>SLX.11</t>
  </si>
  <si>
    <t>SLX.12</t>
  </si>
  <si>
    <t>hang.03</t>
  </si>
  <si>
    <t>hang.01</t>
  </si>
  <si>
    <t>sls.01</t>
  </si>
  <si>
    <t>SEN.11</t>
  </si>
  <si>
    <t>sls.02</t>
  </si>
  <si>
    <t>hs.31</t>
  </si>
  <si>
    <t>SEN.12</t>
  </si>
  <si>
    <t>sls.03</t>
  </si>
  <si>
    <t>sls.04</t>
  </si>
  <si>
    <t>sls.05</t>
  </si>
  <si>
    <t>sls.06</t>
  </si>
  <si>
    <t>sls.07</t>
  </si>
  <si>
    <t>sls.08</t>
  </si>
  <si>
    <t>sls.09</t>
  </si>
  <si>
    <t>sls.10</t>
  </si>
  <si>
    <t>sls.11</t>
  </si>
  <si>
    <t>sls.12</t>
  </si>
  <si>
    <t>sls.13</t>
  </si>
  <si>
    <t>sls.14</t>
  </si>
  <si>
    <t>sls.15</t>
  </si>
  <si>
    <t>hs.09</t>
  </si>
  <si>
    <t>hs.11</t>
  </si>
  <si>
    <t>hs.13</t>
  </si>
  <si>
    <t>hs.14</t>
  </si>
  <si>
    <t>hs.16</t>
  </si>
  <si>
    <t>hs.17</t>
  </si>
  <si>
    <t>hs.12</t>
  </si>
  <si>
    <t>hs.15</t>
  </si>
  <si>
    <t>sls.16</t>
  </si>
  <si>
    <t>hs.01</t>
  </si>
  <si>
    <t>hs.02</t>
  </si>
  <si>
    <t>bad</t>
  </si>
  <si>
    <t>hs.03</t>
  </si>
  <si>
    <t>hs.10</t>
  </si>
  <si>
    <t>bad maybe</t>
  </si>
  <si>
    <t>hs.29</t>
  </si>
  <si>
    <t>hs.24</t>
  </si>
  <si>
    <t>hs.37</t>
  </si>
  <si>
    <t>hs.38</t>
  </si>
  <si>
    <t>hs.39</t>
  </si>
  <si>
    <t>hs.40</t>
  </si>
  <si>
    <t>hs.41</t>
  </si>
  <si>
    <t>hs.42</t>
  </si>
  <si>
    <t>hs.43</t>
  </si>
  <si>
    <t>hs.44</t>
  </si>
  <si>
    <t>hs.47</t>
  </si>
  <si>
    <t>hs.48</t>
  </si>
  <si>
    <t>srs.01</t>
  </si>
  <si>
    <t>srs.02</t>
  </si>
  <si>
    <t>srs.03</t>
  </si>
  <si>
    <t>srs.04</t>
  </si>
  <si>
    <t>srs.05</t>
  </si>
  <si>
    <t>srs.06</t>
  </si>
  <si>
    <t>srs.07</t>
  </si>
  <si>
    <t>srs.08</t>
  </si>
  <si>
    <t>srs.09</t>
  </si>
  <si>
    <t>srs.10</t>
  </si>
  <si>
    <t>srs.11</t>
  </si>
  <si>
    <t>srs.12</t>
  </si>
  <si>
    <t>srs.13</t>
  </si>
  <si>
    <t>srs.14</t>
  </si>
  <si>
    <t>srs.15</t>
  </si>
  <si>
    <t>srs.16</t>
  </si>
  <si>
    <t>hs.04</t>
  </si>
  <si>
    <t>hs.05</t>
  </si>
  <si>
    <t>hs.06</t>
  </si>
  <si>
    <t>hs.07</t>
  </si>
  <si>
    <t>hs.08</t>
  </si>
  <si>
    <t>hs.19</t>
  </si>
  <si>
    <t>hs.20</t>
  </si>
  <si>
    <t>hs.21</t>
  </si>
  <si>
    <t>hs.22</t>
  </si>
  <si>
    <t>hs.23</t>
  </si>
  <si>
    <t>hs.26</t>
  </si>
  <si>
    <t>hs.27</t>
  </si>
  <si>
    <t>BT-L</t>
  </si>
  <si>
    <t>BT-R</t>
  </si>
  <si>
    <t>CD-L</t>
  </si>
  <si>
    <t>CD-R</t>
  </si>
  <si>
    <t>PC-L</t>
  </si>
  <si>
    <t>PC-R</t>
  </si>
  <si>
    <t>usb L</t>
  </si>
  <si>
    <t>usb R</t>
  </si>
  <si>
    <t>in</t>
  </si>
  <si>
    <t>out</t>
  </si>
  <si>
    <t>misc</t>
  </si>
  <si>
    <t>B-5</t>
  </si>
  <si>
    <t>DI</t>
  </si>
  <si>
    <t>Piano</t>
  </si>
  <si>
    <t>SM58</t>
  </si>
  <si>
    <t>BG</t>
  </si>
  <si>
    <t>EG</t>
  </si>
  <si>
    <t>SM57</t>
  </si>
  <si>
    <t>AG</t>
  </si>
  <si>
    <t>Kick</t>
  </si>
  <si>
    <t>Snare</t>
  </si>
  <si>
    <t>OHL</t>
  </si>
  <si>
    <t>OHR</t>
  </si>
  <si>
    <t>A.in.01</t>
  </si>
  <si>
    <t>A.in.02</t>
  </si>
  <si>
    <t>A.in.03</t>
  </si>
  <si>
    <t>A.in.04</t>
  </si>
  <si>
    <t>A.in.05</t>
  </si>
  <si>
    <t>A.in.06</t>
  </si>
  <si>
    <t>A.in.07</t>
  </si>
  <si>
    <t>A.in.08</t>
  </si>
  <si>
    <t>A.in.09</t>
  </si>
  <si>
    <t>A.in.10</t>
  </si>
  <si>
    <t>A.in.11</t>
  </si>
  <si>
    <t>A.in.12</t>
  </si>
  <si>
    <t>A.in.13</t>
  </si>
  <si>
    <t>A.in.14</t>
  </si>
  <si>
    <t>A.in.15</t>
  </si>
  <si>
    <t>A.in.16</t>
  </si>
  <si>
    <t>A.in.17</t>
  </si>
  <si>
    <t>A.in.18</t>
  </si>
  <si>
    <t>A.in.19</t>
  </si>
  <si>
    <t>A.in.20</t>
  </si>
  <si>
    <t>A.in.21</t>
  </si>
  <si>
    <t>A.in.22</t>
  </si>
  <si>
    <t>A.in.23</t>
  </si>
  <si>
    <t>A.in.24</t>
  </si>
  <si>
    <t>A.in.25</t>
  </si>
  <si>
    <t>A.in.26</t>
  </si>
  <si>
    <t>A.in.27</t>
  </si>
  <si>
    <t>A.in.28</t>
  </si>
  <si>
    <t>A.in.29</t>
  </si>
  <si>
    <t>A.in.30</t>
  </si>
  <si>
    <t>A.in.31</t>
  </si>
  <si>
    <t>A.in.32</t>
  </si>
  <si>
    <t>A.in.33</t>
  </si>
  <si>
    <t>A.in.34</t>
  </si>
  <si>
    <t>A.in.35</t>
  </si>
  <si>
    <t>A.in.36</t>
  </si>
  <si>
    <t>A.in.37</t>
  </si>
  <si>
    <t>A.in.38</t>
  </si>
  <si>
    <t>A.in.39</t>
  </si>
  <si>
    <t>A.in.40</t>
  </si>
  <si>
    <t>A.in.41</t>
  </si>
  <si>
    <t>A.in.42</t>
  </si>
  <si>
    <t>A.in.43</t>
  </si>
  <si>
    <t>A.in.44</t>
  </si>
  <si>
    <t>A.in.45</t>
  </si>
  <si>
    <t>A.in.46</t>
  </si>
  <si>
    <t>A.in.47</t>
  </si>
  <si>
    <t>A.in.48</t>
  </si>
  <si>
    <t>cable</t>
  </si>
  <si>
    <t>CH.01</t>
  </si>
  <si>
    <t>CH.08</t>
  </si>
  <si>
    <t>CH.09</t>
  </si>
  <si>
    <t>CH.10</t>
  </si>
  <si>
    <t>CH.11</t>
  </si>
  <si>
    <t>CH.12</t>
  </si>
  <si>
    <t>CH.13</t>
  </si>
  <si>
    <t>CH.14</t>
  </si>
  <si>
    <t>CH.15</t>
  </si>
  <si>
    <t>CH.16</t>
  </si>
  <si>
    <t>CH.17</t>
  </si>
  <si>
    <t>CH.18</t>
  </si>
  <si>
    <t>CH.19</t>
  </si>
  <si>
    <t>CH.20</t>
  </si>
  <si>
    <t>CH.21</t>
  </si>
  <si>
    <t>CH.22</t>
  </si>
  <si>
    <t>CH.23</t>
  </si>
  <si>
    <t>CH.24</t>
  </si>
  <si>
    <t>CH.25</t>
  </si>
  <si>
    <t>CH.26</t>
  </si>
  <si>
    <t>CH.02</t>
  </si>
  <si>
    <t>CH.03</t>
  </si>
  <si>
    <t>CH.04</t>
  </si>
  <si>
    <t>CH.05</t>
  </si>
  <si>
    <t>CH.06</t>
  </si>
  <si>
    <t>CH.07</t>
  </si>
  <si>
    <t xml:space="preserve">CH.01 </t>
  </si>
  <si>
    <t>BUS.01</t>
  </si>
  <si>
    <t>BUS.07</t>
  </si>
  <si>
    <t>BUS.08</t>
  </si>
  <si>
    <t>BUS.09</t>
  </si>
  <si>
    <t>BUS.10</t>
  </si>
  <si>
    <t>BUS.11</t>
  </si>
  <si>
    <t>BUS.12</t>
  </si>
  <si>
    <t>B.out.45</t>
  </si>
  <si>
    <t>B.out.46</t>
  </si>
  <si>
    <t>B.out.47</t>
  </si>
  <si>
    <t>B.out.48</t>
  </si>
  <si>
    <t>B.out.01</t>
  </si>
  <si>
    <t>B.out.02</t>
  </si>
  <si>
    <t>B.out.03</t>
  </si>
  <si>
    <t>B.out.04</t>
  </si>
  <si>
    <t>B.out.05</t>
  </si>
  <si>
    <t>B.out.06</t>
  </si>
  <si>
    <t>B.out.07</t>
  </si>
  <si>
    <t>B.out.08</t>
  </si>
  <si>
    <t>B.out.09</t>
  </si>
  <si>
    <t>B.out.10</t>
  </si>
  <si>
    <t>B.out.11</t>
  </si>
  <si>
    <t>B.out.12</t>
  </si>
  <si>
    <t>B.out.13</t>
  </si>
  <si>
    <t>B.out.14</t>
  </si>
  <si>
    <t>B.out.15</t>
  </si>
  <si>
    <t>B.out.16</t>
  </si>
  <si>
    <t>B.out.17</t>
  </si>
  <si>
    <t>B.out.18</t>
  </si>
  <si>
    <t>B.out.19</t>
  </si>
  <si>
    <t>B.out.20</t>
  </si>
  <si>
    <t>B.out.21</t>
  </si>
  <si>
    <t>B.out.43</t>
  </si>
  <si>
    <t>B.out.44</t>
  </si>
  <si>
    <t>B.in.39</t>
  </si>
  <si>
    <t>C.out.01</t>
  </si>
  <si>
    <t>C.out.02</t>
  </si>
  <si>
    <t>C.out.03</t>
  </si>
  <si>
    <t>C.out.04</t>
  </si>
  <si>
    <t>C.out.05</t>
  </si>
  <si>
    <t>C.out.06</t>
  </si>
  <si>
    <t>C.out.07</t>
  </si>
  <si>
    <t>C.out.08</t>
  </si>
  <si>
    <t>CM X32</t>
  </si>
  <si>
    <t>L.in.01</t>
  </si>
  <si>
    <t>L.in.02</t>
  </si>
  <si>
    <t>L.in.03</t>
  </si>
  <si>
    <t>L.in.04</t>
  </si>
  <si>
    <t>L.in.05</t>
  </si>
  <si>
    <t>L.in.06</t>
  </si>
  <si>
    <t>L.in.07</t>
  </si>
  <si>
    <t>L.in.08</t>
  </si>
  <si>
    <t>L.in.09</t>
  </si>
  <si>
    <t>L.in.10</t>
  </si>
  <si>
    <t>L.in.11</t>
  </si>
  <si>
    <t>L.in.12</t>
  </si>
  <si>
    <t>L.in.13</t>
  </si>
  <si>
    <t>L.in.14</t>
  </si>
  <si>
    <t>L.in.15</t>
  </si>
  <si>
    <t>L.in.16</t>
  </si>
  <si>
    <t>L.in.17</t>
  </si>
  <si>
    <t>L.in.18</t>
  </si>
  <si>
    <t>L.in.19</t>
  </si>
  <si>
    <t>L.in.20</t>
  </si>
  <si>
    <t>L.in.21</t>
  </si>
  <si>
    <t>L.in.22</t>
  </si>
  <si>
    <t>L.in.23</t>
  </si>
  <si>
    <t>L.in.24</t>
  </si>
  <si>
    <t>L.in.25</t>
  </si>
  <si>
    <t>L.in.26</t>
  </si>
  <si>
    <t>L.in.27</t>
  </si>
  <si>
    <t>L.in.28</t>
  </si>
  <si>
    <t>L.in.29</t>
  </si>
  <si>
    <t>L.in.30</t>
  </si>
  <si>
    <t>L.in.31</t>
  </si>
  <si>
    <t>L.in.32</t>
  </si>
  <si>
    <t>aux.in.01</t>
  </si>
  <si>
    <t>aux.in.02</t>
  </si>
  <si>
    <t>aux.in.03</t>
  </si>
  <si>
    <t>aux.in.04</t>
  </si>
  <si>
    <t>aux.in.05</t>
  </si>
  <si>
    <t>aux.in.06</t>
  </si>
  <si>
    <t>aux.in.07</t>
  </si>
  <si>
    <t>aux.in.08</t>
  </si>
  <si>
    <t>B.in.45</t>
  </si>
  <si>
    <t>B.in.46</t>
  </si>
  <si>
    <t>B.in.47</t>
  </si>
  <si>
    <t>B.in.48</t>
  </si>
  <si>
    <t>dl16.3.in.01</t>
  </si>
  <si>
    <t>dl16.3.in.02</t>
  </si>
  <si>
    <t>dl16.3.in.03</t>
  </si>
  <si>
    <t>dl16.3.in.04</t>
  </si>
  <si>
    <t>dl16.3.in.05</t>
  </si>
  <si>
    <t>dl16.3.in.06</t>
  </si>
  <si>
    <t>dl16.3.in.07</t>
  </si>
  <si>
    <t>dl16.3.in.08</t>
  </si>
  <si>
    <t>dl16.3.in.09</t>
  </si>
  <si>
    <t>dl16.3.in.10</t>
  </si>
  <si>
    <t>dl16.3.in.11</t>
  </si>
  <si>
    <t>dl16.3.in.12</t>
  </si>
  <si>
    <t>dl16.3.in.13</t>
  </si>
  <si>
    <t>dl16.3.in.14</t>
  </si>
  <si>
    <t>dl16.3.in.15</t>
  </si>
  <si>
    <t>dl16.3.in.16</t>
  </si>
  <si>
    <t>dl16.1.in.01</t>
  </si>
  <si>
    <t>dl16.1.in.02</t>
  </si>
  <si>
    <t>dl16.1.in.03</t>
  </si>
  <si>
    <t>dl16.1.in.04</t>
  </si>
  <si>
    <t>dl16.1.in.05</t>
  </si>
  <si>
    <t>dl16.1.in.06</t>
  </si>
  <si>
    <t>dl16.1.in.07</t>
  </si>
  <si>
    <t>dl16.1.in.08</t>
  </si>
  <si>
    <t>dl16.1.in.09</t>
  </si>
  <si>
    <t>dl16.1.in.10</t>
  </si>
  <si>
    <t>dl16.1.in.11</t>
  </si>
  <si>
    <t>dl16.1.in.12</t>
  </si>
  <si>
    <t>dl16.1.in.13</t>
  </si>
  <si>
    <t>dl16.1.in.14</t>
  </si>
  <si>
    <t>dl16.1.in.15</t>
  </si>
  <si>
    <t>dl16.1.in.16</t>
  </si>
  <si>
    <t>dl16.2.in.01</t>
  </si>
  <si>
    <t>dl16.2.in.02</t>
  </si>
  <si>
    <t>dl16.2.in.03</t>
  </si>
  <si>
    <t>dl16.2.in.04</t>
  </si>
  <si>
    <t>dl16.2.in.05</t>
  </si>
  <si>
    <t>dl16.2.in.06</t>
  </si>
  <si>
    <t>dl16.2.in.07</t>
  </si>
  <si>
    <t>dl16.2.in.08</t>
  </si>
  <si>
    <t>dl16.2.in.09</t>
  </si>
  <si>
    <t>dl16.2.in.10</t>
  </si>
  <si>
    <t>dl16.2.in.11</t>
  </si>
  <si>
    <t>dl16.2.in.12</t>
  </si>
  <si>
    <t>dl16.2.in.13</t>
  </si>
  <si>
    <t>dl16.2.in.14</t>
  </si>
  <si>
    <t>dl16.2.in.15</t>
  </si>
  <si>
    <t>dl16.2.in.16</t>
  </si>
  <si>
    <t>C.out.43</t>
  </si>
  <si>
    <t>C.in.43</t>
  </si>
  <si>
    <t>aux.in.1</t>
  </si>
  <si>
    <t>C.out.44</t>
  </si>
  <si>
    <t>C.out.45</t>
  </si>
  <si>
    <t>C.out.46</t>
  </si>
  <si>
    <t>C.out.47</t>
  </si>
  <si>
    <t>C.out.48</t>
  </si>
  <si>
    <t>C.in.44</t>
  </si>
  <si>
    <t>C.in.45</t>
  </si>
  <si>
    <t>C.in.46</t>
  </si>
  <si>
    <t>C.in.47</t>
  </si>
  <si>
    <t>C.in.48</t>
  </si>
  <si>
    <t>aux.in.2</t>
  </si>
  <si>
    <t>aux.in.3</t>
  </si>
  <si>
    <t>aux.in.4</t>
  </si>
  <si>
    <t>aux.in.5</t>
  </si>
  <si>
    <t>aux.in.6</t>
  </si>
  <si>
    <t>C.out.43
L.out.01</t>
  </si>
  <si>
    <t>C.out.44
L.out.02</t>
  </si>
  <si>
    <t>C.out.45
L.out.03</t>
  </si>
  <si>
    <t>C.out.46
L.out.04</t>
  </si>
  <si>
    <t>C.out.47
L.out.05</t>
  </si>
  <si>
    <t>C.out.48
L.out.06</t>
  </si>
  <si>
    <t>B.out.39
L.out.01</t>
  </si>
  <si>
    <t>B.out.40
L.out.02</t>
  </si>
  <si>
    <t>B.out.41
L.out.03</t>
  </si>
  <si>
    <t>B.out.42
L.out.04</t>
  </si>
  <si>
    <t>B.in.40</t>
  </si>
  <si>
    <t>B.in.41</t>
  </si>
  <si>
    <t>B.in.42</t>
  </si>
  <si>
    <t>hs.45</t>
  </si>
  <si>
    <t>hs.46</t>
  </si>
  <si>
    <t>Main L</t>
  </si>
  <si>
    <t>Main R</t>
  </si>
  <si>
    <t>Main C</t>
  </si>
  <si>
    <t>…
L.out.05</t>
  </si>
  <si>
    <t>…
L.out.06</t>
  </si>
  <si>
    <t>…
L.out.09</t>
  </si>
  <si>
    <t>Sub</t>
  </si>
  <si>
    <t>B.in.43</t>
  </si>
  <si>
    <t>B.in.44</t>
  </si>
  <si>
    <t>…
L.out.11
aux.out.04</t>
  </si>
  <si>
    <t>…
L.out.02
aux.out.02</t>
  </si>
  <si>
    <t>…
L.out.01
aux.out.01</t>
  </si>
  <si>
    <t>…
L.out.03
aux.out.03</t>
  </si>
  <si>
    <t xml:space="preserve">…
L.out.12
</t>
  </si>
  <si>
    <t>BUS.07
Mon 1 Ovr Ch All</t>
  </si>
  <si>
    <t>BUS.08
Mon 2 Piano All</t>
  </si>
  <si>
    <t>BUS.09
Mon 3 Organ All</t>
  </si>
  <si>
    <t>BUS.10
Mon 4 Guitar All</t>
  </si>
  <si>
    <t>BUS.11
Mon 5 Vocal All</t>
  </si>
  <si>
    <t>BUS.12
Mon 6 Drums All</t>
  </si>
  <si>
    <t>…
L.out.10
aux.out.5</t>
  </si>
  <si>
    <t>Ancillary Areas Audio</t>
  </si>
  <si>
    <t>Hearing Assist (mixed at rack)</t>
  </si>
  <si>
    <t>DMX</t>
  </si>
  <si>
    <t>Spare</t>
  </si>
  <si>
    <t>…
L.out.15</t>
  </si>
  <si>
    <t>To Streaming L</t>
  </si>
  <si>
    <t>…
L.out.16</t>
  </si>
  <si>
    <t>To Streaming R</t>
  </si>
  <si>
    <t>…
L.out.07
 A.out.07</t>
  </si>
  <si>
    <t>…
L.out.04
A.out.04</t>
  </si>
  <si>
    <t>BUS.01 L</t>
  </si>
  <si>
    <t>BUS.01 R</t>
  </si>
  <si>
    <t>BUS.02 L</t>
  </si>
  <si>
    <t>BUS.02 R</t>
  </si>
  <si>
    <t>BUS.03 L</t>
  </si>
  <si>
    <t>BUS.03 R</t>
  </si>
  <si>
    <t>BUS.04 L</t>
  </si>
  <si>
    <t>BUS.04 R</t>
  </si>
  <si>
    <t>BUS.05 L</t>
  </si>
  <si>
    <t>BUS.06 R</t>
  </si>
  <si>
    <t>C.out.31</t>
  </si>
  <si>
    <t>C.out.32</t>
  </si>
  <si>
    <t>C.out.33</t>
  </si>
  <si>
    <t>C.out.34</t>
  </si>
  <si>
    <t>C.out.35</t>
  </si>
  <si>
    <t>C.out.36</t>
  </si>
  <si>
    <t>C.out.37</t>
  </si>
  <si>
    <t>C.out.38</t>
  </si>
  <si>
    <t>C.out.39</t>
  </si>
  <si>
    <t>C.out.40</t>
  </si>
  <si>
    <t>C.out.41</t>
  </si>
  <si>
    <t>C.out.42</t>
  </si>
  <si>
    <t>BUS.05 R</t>
  </si>
  <si>
    <t>BUS.06 L</t>
  </si>
  <si>
    <t>C.in.31</t>
  </si>
  <si>
    <t>C.in.32</t>
  </si>
  <si>
    <t>C.in.33</t>
  </si>
  <si>
    <t>C.in.34</t>
  </si>
  <si>
    <t>C.in.35</t>
  </si>
  <si>
    <t>C.in.36</t>
  </si>
  <si>
    <t>C.in.37</t>
  </si>
  <si>
    <t>C.in.38</t>
  </si>
  <si>
    <t>C.in.39</t>
  </si>
  <si>
    <t>C.in.40</t>
  </si>
  <si>
    <t>C.in.41</t>
  </si>
  <si>
    <t>C.in.42</t>
  </si>
  <si>
    <t>aux.in.01 L</t>
  </si>
  <si>
    <t>aux.in.01 R</t>
  </si>
  <si>
    <t>aux.in.02 L</t>
  </si>
  <si>
    <t>aux.in.02 R</t>
  </si>
  <si>
    <t>aux.in.03 L</t>
  </si>
  <si>
    <t>aux.in.03 R</t>
  </si>
  <si>
    <t>aux.in.04 L</t>
  </si>
  <si>
    <t>aux.in.04 R</t>
  </si>
  <si>
    <t>aux.in.05 L</t>
  </si>
  <si>
    <t>aux.in.05 R</t>
  </si>
  <si>
    <t>aux.in.06 L</t>
  </si>
  <si>
    <t>aux.in.06 R</t>
  </si>
  <si>
    <t>Vicar</t>
  </si>
  <si>
    <t>WING 2</t>
  </si>
  <si>
    <t>WING 1</t>
  </si>
  <si>
    <t>W1.CH.01</t>
  </si>
  <si>
    <t>W1.CH.02</t>
  </si>
  <si>
    <t>W1.CH.03</t>
  </si>
  <si>
    <t>W1.CH.04</t>
  </si>
  <si>
    <t>W1.CH.05</t>
  </si>
  <si>
    <t>W1.CH.06</t>
  </si>
  <si>
    <t>W1.CH.07</t>
  </si>
  <si>
    <t>W1.CH.08</t>
  </si>
  <si>
    <t>W1.CH.09</t>
  </si>
  <si>
    <t>W1.CH.10</t>
  </si>
  <si>
    <t>W1.CH.11</t>
  </si>
  <si>
    <t>W1.CH.12</t>
  </si>
  <si>
    <t>W1.CH.13</t>
  </si>
  <si>
    <t>W1.CH.14</t>
  </si>
  <si>
    <t>W1.CH.15</t>
  </si>
  <si>
    <t>W1.CH.16</t>
  </si>
  <si>
    <t>W1.CH.17</t>
  </si>
  <si>
    <t>W1.CH.18</t>
  </si>
  <si>
    <t>W1.CH.19</t>
  </si>
  <si>
    <t>W1.CH.20</t>
  </si>
  <si>
    <t>W1.CH.21</t>
  </si>
  <si>
    <t>W1.CH.22</t>
  </si>
  <si>
    <t>W1.CH.23</t>
  </si>
  <si>
    <t>W1.CH.24</t>
  </si>
  <si>
    <t>W1.CH.25</t>
  </si>
  <si>
    <t>W1.CH.26</t>
  </si>
  <si>
    <t>W1.CH.27</t>
  </si>
  <si>
    <t>W1.CH.28</t>
  </si>
  <si>
    <t>W1.CH.29</t>
  </si>
  <si>
    <t>W1.CH.30</t>
  </si>
  <si>
    <t>W1.CH.31</t>
  </si>
  <si>
    <t>W1.CH.32</t>
  </si>
  <si>
    <t>W1.CH.33</t>
  </si>
  <si>
    <t>W1.CH.34</t>
  </si>
  <si>
    <t>W1.CH.35</t>
  </si>
  <si>
    <t>W1.CH.36</t>
  </si>
  <si>
    <t>W1.CH.37</t>
  </si>
  <si>
    <t>W1.CH.38</t>
  </si>
  <si>
    <t>W1.CH.39</t>
  </si>
  <si>
    <t>W1.CH.40</t>
  </si>
  <si>
    <t>Choir.01</t>
  </si>
  <si>
    <t>Choir.02</t>
  </si>
  <si>
    <t>Choir.03</t>
  </si>
  <si>
    <t>Choir.04</t>
  </si>
  <si>
    <t>Choir.05</t>
  </si>
  <si>
    <t>Choir.06</t>
  </si>
  <si>
    <t>Choir.07</t>
  </si>
  <si>
    <t>Choir.08</t>
  </si>
  <si>
    <t>W2.CH.01</t>
  </si>
  <si>
    <t>W2.CH.02</t>
  </si>
  <si>
    <t>W2.CH.03</t>
  </si>
  <si>
    <t>W2.CH.04</t>
  </si>
  <si>
    <t>W2.CH.05</t>
  </si>
  <si>
    <t>W2.CH.06</t>
  </si>
  <si>
    <t>W2.CH.07</t>
  </si>
  <si>
    <t>W2.CH.08</t>
  </si>
  <si>
    <t>W2.CH.09</t>
  </si>
  <si>
    <t>W2.CH.10</t>
  </si>
  <si>
    <t>W2.CH.11</t>
  </si>
  <si>
    <t>W2.CH.12</t>
  </si>
  <si>
    <t>W2.CH.13</t>
  </si>
  <si>
    <t>W2.CH.14</t>
  </si>
  <si>
    <t>W2.CH.15</t>
  </si>
  <si>
    <t>W2.CH.16</t>
  </si>
  <si>
    <t>W2.CH.17</t>
  </si>
  <si>
    <t>W2.CH.18</t>
  </si>
  <si>
    <t>W2.CH.19</t>
  </si>
  <si>
    <t>W2.CH.20</t>
  </si>
  <si>
    <t>W2.CH.21</t>
  </si>
  <si>
    <t>W2.CH.22</t>
  </si>
  <si>
    <t>W2.CH.23</t>
  </si>
  <si>
    <t>W2.CH.24</t>
  </si>
  <si>
    <t>W2.CH.25</t>
  </si>
  <si>
    <t>W2.CH.26</t>
  </si>
  <si>
    <t>W2.CH.27</t>
  </si>
  <si>
    <t>W2.CH.28</t>
  </si>
  <si>
    <t>W2.CH.29</t>
  </si>
  <si>
    <t>W2.CH.30</t>
  </si>
  <si>
    <t>W2.CH.31</t>
  </si>
  <si>
    <t>W2.CH.32</t>
  </si>
  <si>
    <t>W2.CH.33</t>
  </si>
  <si>
    <t>W2.CH.34</t>
  </si>
  <si>
    <t>W2.CH.35</t>
  </si>
  <si>
    <t>W2.CH.36</t>
  </si>
  <si>
    <t>W2.CH.37</t>
  </si>
  <si>
    <t>W2.CH.38</t>
  </si>
  <si>
    <t>W2.CH.39</t>
  </si>
  <si>
    <t>W2.CH.40</t>
  </si>
  <si>
    <t>Piano 1</t>
  </si>
  <si>
    <t>Piano 2</t>
  </si>
  <si>
    <t>BG 1</t>
  </si>
  <si>
    <t>BG 2</t>
  </si>
  <si>
    <t>EG 1</t>
  </si>
  <si>
    <t>EG 2</t>
  </si>
  <si>
    <t>AG 1</t>
  </si>
  <si>
    <t>AG 2</t>
  </si>
  <si>
    <t>Banjo</t>
  </si>
  <si>
    <t>Bone.1</t>
  </si>
  <si>
    <t>Bone.2</t>
  </si>
  <si>
    <t>Horn.1</t>
  </si>
  <si>
    <t>Horn.2</t>
  </si>
  <si>
    <t>TPT.1</t>
  </si>
  <si>
    <t>TPT.2</t>
  </si>
  <si>
    <t>Flute.1</t>
  </si>
  <si>
    <t>Flute.2</t>
  </si>
  <si>
    <t>Oboe</t>
  </si>
  <si>
    <t>Clarinet</t>
  </si>
  <si>
    <t>Violin.1</t>
  </si>
  <si>
    <t>Violin.2</t>
  </si>
  <si>
    <t>Viola.1</t>
  </si>
  <si>
    <t>Viola.2</t>
  </si>
  <si>
    <t>Cello</t>
  </si>
  <si>
    <t>Acoustic Bass</t>
  </si>
  <si>
    <t>Tuba</t>
  </si>
  <si>
    <t>Perc.1</t>
  </si>
  <si>
    <t>Perc.2</t>
  </si>
  <si>
    <t>SFX PC (st)</t>
  </si>
  <si>
    <t>INST fr Ext (st)</t>
  </si>
  <si>
    <t>VOX fr Ext (st)</t>
  </si>
  <si>
    <t>Group1 Spoken</t>
  </si>
  <si>
    <t>X1.CH.01</t>
  </si>
  <si>
    <t>X1.CH.02</t>
  </si>
  <si>
    <t>X1.CH.03</t>
  </si>
  <si>
    <t>X1.CH.04</t>
  </si>
  <si>
    <t>X1.CH.05</t>
  </si>
  <si>
    <t>X1.CH.06</t>
  </si>
  <si>
    <t>X1.CH.07</t>
  </si>
  <si>
    <t>X1.CH.08</t>
  </si>
  <si>
    <t>X1.CH.09</t>
  </si>
  <si>
    <t>X1.CH.10</t>
  </si>
  <si>
    <t>X1.CH.11</t>
  </si>
  <si>
    <t>X1.CH.12</t>
  </si>
  <si>
    <t>X1.CH.13</t>
  </si>
  <si>
    <t>X1.CH.14</t>
  </si>
  <si>
    <t>X1.CH.15</t>
  </si>
  <si>
    <t>X1.CH.16</t>
  </si>
  <si>
    <t>X1.CH.17</t>
  </si>
  <si>
    <t>X1.CH.18</t>
  </si>
  <si>
    <t>X1.CH.19</t>
  </si>
  <si>
    <t>X1.CH.20</t>
  </si>
  <si>
    <t>X1.CH.21</t>
  </si>
  <si>
    <t>X1.CH.22</t>
  </si>
  <si>
    <t>X1.CH.23</t>
  </si>
  <si>
    <t>X1.CH.24</t>
  </si>
  <si>
    <t>X1.CH.25</t>
  </si>
  <si>
    <t>X1.CH.26</t>
  </si>
  <si>
    <t>X1.CH.27</t>
  </si>
  <si>
    <t>X1.CH.28</t>
  </si>
  <si>
    <t>X1.CH.29</t>
  </si>
  <si>
    <t>X1.CH.30</t>
  </si>
  <si>
    <t>X1.CH.31</t>
  </si>
  <si>
    <t>X1.CH.32</t>
  </si>
  <si>
    <t>g1 Pr Jeff</t>
  </si>
  <si>
    <t>g1 Vicar</t>
  </si>
  <si>
    <t>g1 Pr Paul</t>
  </si>
  <si>
    <t>g1 Kenzie</t>
  </si>
  <si>
    <t>g1 Gst 1</t>
  </si>
  <si>
    <t>g1 Gst 2</t>
  </si>
  <si>
    <t>g1 Gst 3</t>
  </si>
  <si>
    <t>g1 Altar HH</t>
  </si>
  <si>
    <t>w1 Main in L</t>
  </si>
  <si>
    <t>w1 Main in R</t>
  </si>
  <si>
    <t>w1 Main in C</t>
  </si>
  <si>
    <t>w1 Sub in</t>
  </si>
  <si>
    <t>w1 M OvrChr in</t>
  </si>
  <si>
    <t>w1 M Pno in</t>
  </si>
  <si>
    <t>w1 M Org in</t>
  </si>
  <si>
    <t>w1 M Gtr in</t>
  </si>
  <si>
    <t>w1 M Vox in</t>
  </si>
  <si>
    <t>w1 M Drum in</t>
  </si>
  <si>
    <t>Timpani.01</t>
  </si>
  <si>
    <t>Timpani.02</t>
  </si>
  <si>
    <t>Timpani.03</t>
  </si>
  <si>
    <t>Timpani.04</t>
  </si>
  <si>
    <t>X1.Aux 3</t>
  </si>
  <si>
    <t>X1.Aux.4</t>
  </si>
  <si>
    <t xml:space="preserve">X1.Aux.1 </t>
  </si>
  <si>
    <t>X1.Aux.2</t>
  </si>
  <si>
    <t>X1.Aux.5</t>
  </si>
  <si>
    <t>X1.Aux.6</t>
  </si>
  <si>
    <t>BT-L (usrin.27)</t>
  </si>
  <si>
    <t>BT-R (usrin.28)</t>
  </si>
  <si>
    <t>CD-L (usrin.29)</t>
  </si>
  <si>
    <t>CD-R (usrin.30)</t>
  </si>
  <si>
    <t>PC-L (usrin.31)</t>
  </si>
  <si>
    <t>PC-R (usrin.32)</t>
  </si>
  <si>
    <t>usrin.01</t>
  </si>
  <si>
    <t>usrin.02</t>
  </si>
  <si>
    <t>usrin.03</t>
  </si>
  <si>
    <t>usrin.04</t>
  </si>
  <si>
    <t>usrin.05</t>
  </si>
  <si>
    <t>usrin.06</t>
  </si>
  <si>
    <t>usrin.07</t>
  </si>
  <si>
    <t>usrin.08</t>
  </si>
  <si>
    <t>usrin.09</t>
  </si>
  <si>
    <t>usrin.10</t>
  </si>
  <si>
    <t>usrin.11</t>
  </si>
  <si>
    <t>usrin.12</t>
  </si>
  <si>
    <t>usrin.13</t>
  </si>
  <si>
    <t>usrin.14</t>
  </si>
  <si>
    <t>usrin.15</t>
  </si>
  <si>
    <t>usrin.16</t>
  </si>
  <si>
    <t>usrin.17</t>
  </si>
  <si>
    <t>usrin.18</t>
  </si>
  <si>
    <t>usrin.19</t>
  </si>
  <si>
    <t>usrin.20</t>
  </si>
  <si>
    <t>usrin.21</t>
  </si>
  <si>
    <t>usrin.22</t>
  </si>
  <si>
    <t>usrin.23</t>
  </si>
  <si>
    <t>usrin.24</t>
  </si>
  <si>
    <t>usrin.25</t>
  </si>
  <si>
    <t>usrin.26</t>
  </si>
  <si>
    <t>usrin.27</t>
  </si>
  <si>
    <t>usrin.28</t>
  </si>
  <si>
    <t>usrin.29</t>
  </si>
  <si>
    <t>usrin.30</t>
  </si>
  <si>
    <t>usrin.31</t>
  </si>
  <si>
    <t>usrin.32</t>
  </si>
  <si>
    <t>hs.30</t>
  </si>
  <si>
    <t>bad?</t>
  </si>
  <si>
    <t>Device</t>
  </si>
  <si>
    <t>SEN.01</t>
  </si>
  <si>
    <t>SEN.02</t>
  </si>
  <si>
    <t>SEN.03</t>
  </si>
  <si>
    <t>SEN.04</t>
  </si>
  <si>
    <t>SEN.05</t>
  </si>
  <si>
    <t>SEN.06</t>
  </si>
  <si>
    <t>SEN.07</t>
  </si>
  <si>
    <t>SEN.08</t>
  </si>
  <si>
    <t>SEN.09</t>
  </si>
  <si>
    <t>SEN.10</t>
  </si>
  <si>
    <t>cmx.L.in.01</t>
  </si>
  <si>
    <t>patch</t>
  </si>
  <si>
    <t>Cable</t>
  </si>
  <si>
    <t>cmx.L.in.02</t>
  </si>
  <si>
    <t>cmx.L.in.03</t>
  </si>
  <si>
    <t>dir.slx.14</t>
  </si>
  <si>
    <t>dir.slx.07</t>
  </si>
  <si>
    <t>dir.slx.08</t>
  </si>
  <si>
    <t>dir.slx.10</t>
  </si>
  <si>
    <t>cmx.L.in.04</t>
  </si>
  <si>
    <t>dir.slx.09</t>
  </si>
  <si>
    <t>cmx.L.in.05</t>
  </si>
  <si>
    <t>dir.slx.15</t>
  </si>
  <si>
    <t>cmx.L.in.06</t>
  </si>
  <si>
    <t>dir.slx.11</t>
  </si>
  <si>
    <t>cmx.L.in.07</t>
  </si>
  <si>
    <t>cmx.L.in.08</t>
  </si>
  <si>
    <t>cmx.L.in.09</t>
  </si>
  <si>
    <t>cmx.L.in.10</t>
  </si>
  <si>
    <t>dir.ulx.05</t>
  </si>
  <si>
    <t>hangmic.03</t>
  </si>
  <si>
    <t>hangmic.01</t>
  </si>
  <si>
    <t>cmx.L.in.11</t>
  </si>
  <si>
    <t>cmx.L.in.12</t>
  </si>
  <si>
    <t>cmx.L.in.13</t>
  </si>
  <si>
    <t>cmx.L.in.14</t>
  </si>
  <si>
    <t>cmx.L.in.15</t>
  </si>
  <si>
    <t>cmx.L.in.16</t>
  </si>
  <si>
    <t>cmx.L.in.17</t>
  </si>
  <si>
    <t>cmx.L.in.18</t>
  </si>
  <si>
    <t>cmx.L.in.19</t>
  </si>
  <si>
    <t>cmx.L.in.20</t>
  </si>
  <si>
    <t>cmx.L.in.21</t>
  </si>
  <si>
    <t>cmx.L.in.22</t>
  </si>
  <si>
    <t>cmx.L.in.23</t>
  </si>
  <si>
    <t>cmx.L.in.24</t>
  </si>
  <si>
    <t>cmx.L.in.25</t>
  </si>
  <si>
    <t>cmx.L.in.30</t>
  </si>
  <si>
    <t>cmx.L.in.31</t>
  </si>
  <si>
    <t>cmx.L.in.32</t>
  </si>
  <si>
    <t>Altar HH</t>
  </si>
  <si>
    <t>dir.slx.12</t>
  </si>
  <si>
    <t>dir.ulx.06</t>
  </si>
  <si>
    <t>dir.slx.16</t>
  </si>
  <si>
    <t>dir.slx.18</t>
  </si>
  <si>
    <t>wire up</t>
  </si>
  <si>
    <t>cmx.aux.01</t>
  </si>
  <si>
    <t>cmx.aux.02</t>
  </si>
  <si>
    <t>cmx.aux.03</t>
  </si>
  <si>
    <t>cmx.aux.04</t>
  </si>
  <si>
    <t>cmx.aux.05</t>
  </si>
  <si>
    <t>cmx.aux.06</t>
  </si>
  <si>
    <t>dir.bt-L</t>
  </si>
  <si>
    <t>dir.bt-R</t>
  </si>
  <si>
    <t>dir.cd-L</t>
  </si>
  <si>
    <t>dir.cd-R</t>
  </si>
  <si>
    <t>dir.pc-L</t>
  </si>
  <si>
    <t>dir-pc.R</t>
  </si>
  <si>
    <t>gm.CAD217-1</t>
  </si>
  <si>
    <t>cm.DI-1</t>
  </si>
  <si>
    <t>cm.SM57-1</t>
  </si>
  <si>
    <t>cm.DI-2</t>
  </si>
  <si>
    <t>cm.SM58-1</t>
  </si>
  <si>
    <t>cm.SM57-2</t>
  </si>
  <si>
    <t>gm.CAD217-2</t>
  </si>
  <si>
    <t>cm.B5-1</t>
  </si>
  <si>
    <t>cm.B5-2</t>
  </si>
  <si>
    <t>cm.B5-3</t>
  </si>
  <si>
    <t>cm.B5-4</t>
  </si>
  <si>
    <t>cm.B5-5</t>
  </si>
  <si>
    <t>cm.B5-6</t>
  </si>
  <si>
    <t>cm.B5-7</t>
  </si>
  <si>
    <t>cm.B5-8</t>
  </si>
  <si>
    <t>cm.DI-3</t>
  </si>
  <si>
    <t>cm.USBP-L-1</t>
  </si>
  <si>
    <t>cm.USBP-R-1</t>
  </si>
  <si>
    <t>cm.CD-L-1</t>
  </si>
  <si>
    <t>cm.CD-R-1</t>
  </si>
  <si>
    <t>cm.KT-BT-L-1</t>
  </si>
  <si>
    <t>cm.KT-BT-R-1</t>
  </si>
  <si>
    <t>ljw1.L.in.01</t>
  </si>
  <si>
    <t>ljw1.L.in.02</t>
  </si>
  <si>
    <t>ljw1.L.in.03</t>
  </si>
  <si>
    <t>ljw1.L.in.04</t>
  </si>
  <si>
    <t>ljw1.L.in.05</t>
  </si>
  <si>
    <t>ljw1.L.in.06</t>
  </si>
  <si>
    <t>ljw1.L.in.07</t>
  </si>
  <si>
    <t>ljw1.L.in.08</t>
  </si>
  <si>
    <t>ljw1.L.in.09</t>
  </si>
  <si>
    <t>ljw1.L.in.10</t>
  </si>
  <si>
    <t>ljw1.L.in.11</t>
  </si>
  <si>
    <t>ljw1.L.in.12</t>
  </si>
  <si>
    <t>ljw1.L.in.13</t>
  </si>
  <si>
    <t>ljw1.L.in.14</t>
  </si>
  <si>
    <t>ljw1.L.in.15</t>
  </si>
  <si>
    <t>ljw1.L.in.16</t>
  </si>
  <si>
    <t>ljw1.L.in.17</t>
  </si>
  <si>
    <t>ljw1.L.in.18</t>
  </si>
  <si>
    <t>ljw1.L.in.19</t>
  </si>
  <si>
    <t>ljw1.L.in.20</t>
  </si>
  <si>
    <t>ljw1.L.in.21</t>
  </si>
  <si>
    <t>ljw1.L.in.22</t>
  </si>
  <si>
    <t>ljw1.L.in.23</t>
  </si>
  <si>
    <t>ljw1.L.in.24</t>
  </si>
  <si>
    <t>ljw2.L.in.01</t>
  </si>
  <si>
    <t>ljw2.L.in.02</t>
  </si>
  <si>
    <t>ljw2.L.in.03</t>
  </si>
  <si>
    <t>ljw2.L.in.04</t>
  </si>
  <si>
    <t>ljw2.L.in.05</t>
  </si>
  <si>
    <t>ljw2.L.in.06</t>
  </si>
  <si>
    <t>ljw2.L.in.07</t>
  </si>
  <si>
    <t>ljw2.L.in.08</t>
  </si>
  <si>
    <t>ljw2.L.in.09</t>
  </si>
  <si>
    <t>ljw2.L.in.10</t>
  </si>
  <si>
    <t>ljw2.L.in.11</t>
  </si>
  <si>
    <t>ljw2.L.in.12</t>
  </si>
  <si>
    <t>ljw2.L.in.13</t>
  </si>
  <si>
    <t>ljw2.L.in.14</t>
  </si>
  <si>
    <t>ljw2.L.in.15</t>
  </si>
  <si>
    <t>ljw2.L.in.16</t>
  </si>
  <si>
    <t>ljw2.L.in.17</t>
  </si>
  <si>
    <t>ljw2.L.in.18</t>
  </si>
  <si>
    <t>ljw2.L.in.19</t>
  </si>
  <si>
    <t>ljw2.L.in.20</t>
  </si>
  <si>
    <t>ljw2.L.in.21</t>
  </si>
  <si>
    <t>ljw2.L.in.22</t>
  </si>
  <si>
    <t>ljw2.L.in.23</t>
  </si>
  <si>
    <t>ljw2.L.in.24</t>
  </si>
  <si>
    <t>cmx.aes50.A.01</t>
  </si>
  <si>
    <t>cmx.aes50.A.02</t>
  </si>
  <si>
    <t>cmx.aes50.A.03</t>
  </si>
  <si>
    <t>cmx.aes50.A.04</t>
  </si>
  <si>
    <t>cmx.aes50.A.05</t>
  </si>
  <si>
    <t>cmx.aes50.A.06</t>
  </si>
  <si>
    <t>cmx.aes50.A.07</t>
  </si>
  <si>
    <t>cmx.aes50.A.08</t>
  </si>
  <si>
    <t>cmx.aes50.A.09</t>
  </si>
  <si>
    <t>cmx.aes50.A.10</t>
  </si>
  <si>
    <t>cmx.aes50.A.11</t>
  </si>
  <si>
    <t>cmx.aes50.A.12</t>
  </si>
  <si>
    <t>cmx.aes50.A.13</t>
  </si>
  <si>
    <t>cmx.aes50.A.14</t>
  </si>
  <si>
    <t>cmx.aes50.A.15</t>
  </si>
  <si>
    <t>cmx.aes50.A.16</t>
  </si>
  <si>
    <t>cmx.aes50.A.17</t>
  </si>
  <si>
    <t>cmx.aes50.A.18</t>
  </si>
  <si>
    <t>cmx.aes50.A.19</t>
  </si>
  <si>
    <t>cmx.aes50.A.20</t>
  </si>
  <si>
    <t>cmx.aes50.A.21</t>
  </si>
  <si>
    <t>cmx.aes50.A.22</t>
  </si>
  <si>
    <t>cmx.aes50.A.23</t>
  </si>
  <si>
    <t>cmx.aes50.A.24</t>
  </si>
  <si>
    <t>cmx.aes50.A.25</t>
  </si>
  <si>
    <t>cmx.aes50.A.26</t>
  </si>
  <si>
    <t>cmx.aes50.A.27</t>
  </si>
  <si>
    <t>cmx.aes50.A.28</t>
  </si>
  <si>
    <t>cmx.aes50.A.29</t>
  </si>
  <si>
    <t>cmx.aes50.A.30</t>
  </si>
  <si>
    <t>cmx.aes50.A.31</t>
  </si>
  <si>
    <t>cmx.aes50.A.32</t>
  </si>
  <si>
    <t>cmx.aes50.A.33</t>
  </si>
  <si>
    <t>cmx.aes50.A.34</t>
  </si>
  <si>
    <t>cmx.aes50.A.35</t>
  </si>
  <si>
    <t>cmx.aes50.A.36</t>
  </si>
  <si>
    <t>cmx.aes50.A.37</t>
  </si>
  <si>
    <t>cmx.aes50.A.38</t>
  </si>
  <si>
    <t>cmx.aes50.A.39</t>
  </si>
  <si>
    <t>cmx.aes50.A.40</t>
  </si>
  <si>
    <t>cmx.aes50.A.41</t>
  </si>
  <si>
    <t>cmx.aes50.A.42</t>
  </si>
  <si>
    <t>cmx.aes50.A.43</t>
  </si>
  <si>
    <t>cmx.aes50.A.44</t>
  </si>
  <si>
    <t>cmx.aes50.A.45</t>
  </si>
  <si>
    <t>cmx.aes50.A.46</t>
  </si>
  <si>
    <t>cmx.aes50.A.47</t>
  </si>
  <si>
    <t>cmx.aes50.A.48</t>
  </si>
  <si>
    <t>ljw2.aes50.A.01</t>
  </si>
  <si>
    <t>lj.DL16.1.16</t>
  </si>
  <si>
    <t>cm.DL16.1.01</t>
  </si>
  <si>
    <t>cm.DL16.1.02</t>
  </si>
  <si>
    <t>cm.DL16.1.03</t>
  </si>
  <si>
    <t>cm.DL16.1.04</t>
  </si>
  <si>
    <t>cm.DL16.1.05</t>
  </si>
  <si>
    <t>cm.DL16.1.06</t>
  </si>
  <si>
    <t>cm.DL16.1.07</t>
  </si>
  <si>
    <t>cm.DL16.1.08</t>
  </si>
  <si>
    <t>cm.DL16.1.09</t>
  </si>
  <si>
    <t>cm.DL16.1.10</t>
  </si>
  <si>
    <t>cm.DL16.1.11</t>
  </si>
  <si>
    <t>cm.DL16.1.12</t>
  </si>
  <si>
    <t>cm.DL16.1.13</t>
  </si>
  <si>
    <t>cm.DL16.1.14</t>
  </si>
  <si>
    <t>cm.DL16.1.15</t>
  </si>
  <si>
    <t>cm.DL16.1.16</t>
  </si>
  <si>
    <t>cm.DL16.2.01</t>
  </si>
  <si>
    <t>cm.DL16.2.02</t>
  </si>
  <si>
    <t>cm.DL16.2.03</t>
  </si>
  <si>
    <t>cm.DL16.2.04</t>
  </si>
  <si>
    <t>cm.DL16.2.05</t>
  </si>
  <si>
    <t>cm.DL16.2.06</t>
  </si>
  <si>
    <t>cm.DL16.2.07</t>
  </si>
  <si>
    <t>cm.DL16.2.08</t>
  </si>
  <si>
    <t>cm.DL16.2.09</t>
  </si>
  <si>
    <t>cm.DL16.2.10</t>
  </si>
  <si>
    <t>cm.DL16.2.11</t>
  </si>
  <si>
    <t>cm.DL16.2.12</t>
  </si>
  <si>
    <t>cm.DL16.2.13</t>
  </si>
  <si>
    <t>cm.DL16.2.14</t>
  </si>
  <si>
    <t>cm.DL16.2.15</t>
  </si>
  <si>
    <t>cm.DL16.2.16</t>
  </si>
  <si>
    <t>lj.DL16.1.01</t>
  </si>
  <si>
    <t>lj.DL16.1.02</t>
  </si>
  <si>
    <t>lj.DL16.1.03</t>
  </si>
  <si>
    <t>lj.DL16.1.04</t>
  </si>
  <si>
    <t>lj.DL16.1.05</t>
  </si>
  <si>
    <t>lj.DL16.1.06</t>
  </si>
  <si>
    <t>lj.DL16.1.07</t>
  </si>
  <si>
    <t>lj.DL16.1.08</t>
  </si>
  <si>
    <t>lj.DL16.1.09</t>
  </si>
  <si>
    <t>lj.DL16.1.10</t>
  </si>
  <si>
    <t>lj.DL16.1.11</t>
  </si>
  <si>
    <t>lj.DL16.1.12</t>
  </si>
  <si>
    <t>lj.DL16.1.13</t>
  </si>
  <si>
    <t>lj.DL16.1.14</t>
  </si>
  <si>
    <t>lj.DL16.1.15</t>
  </si>
  <si>
    <t>lj.DL16.2.01</t>
  </si>
  <si>
    <t>ljw2.aes50.A.02</t>
  </si>
  <si>
    <t>ljw2.aes50.A.03</t>
  </si>
  <si>
    <t>ljw2.aes50.A.04</t>
  </si>
  <si>
    <t>ljw2.aes50.A.05</t>
  </si>
  <si>
    <t>ljw2.aes50.A.06</t>
  </si>
  <si>
    <t>ljw2.aes50.A.07</t>
  </si>
  <si>
    <t>ljw2.aes50.A.08</t>
  </si>
  <si>
    <t>ljw2.aes50.A.09</t>
  </si>
  <si>
    <t>ljw2.aes50.A.10</t>
  </si>
  <si>
    <t>ljw2.aes50.A.11</t>
  </si>
  <si>
    <t>ljw2.aes50.A.12</t>
  </si>
  <si>
    <t>ljw2.aes50.A.13</t>
  </si>
  <si>
    <t>ljw2.aes50.A.14</t>
  </si>
  <si>
    <t>ljw2.aes50.A.15</t>
  </si>
  <si>
    <t>ljw2.aes50.A.16</t>
  </si>
  <si>
    <t>ljw2.aes50.A.17</t>
  </si>
  <si>
    <t>ljw2.aes50.A.18</t>
  </si>
  <si>
    <t>ljw2.aes50.A.19</t>
  </si>
  <si>
    <t>ljw2.aes50.A.20</t>
  </si>
  <si>
    <t>ljw2.aes50.A.21</t>
  </si>
  <si>
    <t>ljw2.aes50.A.22</t>
  </si>
  <si>
    <t>ljw2.aes50.A.23</t>
  </si>
  <si>
    <t>ljw2.aes50.A.24</t>
  </si>
  <si>
    <t>ljw2.aes50.A.25</t>
  </si>
  <si>
    <t>ljw2.aes50.A.26</t>
  </si>
  <si>
    <t>ljw2.aes50.A.27</t>
  </si>
  <si>
    <t>ljw2.aes50.A.28</t>
  </si>
  <si>
    <t>ljw2.aes50.A.29</t>
  </si>
  <si>
    <t>ljw2.aes50.A.30</t>
  </si>
  <si>
    <t>ljw2.aes50.A.31</t>
  </si>
  <si>
    <t>ljw2.aes50.A.32</t>
  </si>
  <si>
    <t>lj.DL16.2.02</t>
  </si>
  <si>
    <t>lj.DL16.2.03</t>
  </si>
  <si>
    <t>lj.DL16.2.04</t>
  </si>
  <si>
    <t>lj.DL16.2.05</t>
  </si>
  <si>
    <t>lj.DL16.2.06</t>
  </si>
  <si>
    <t>lj.DL16.2.07</t>
  </si>
  <si>
    <t>lj.DL16.2.08</t>
  </si>
  <si>
    <t>lj.DL16.2.09</t>
  </si>
  <si>
    <t>lj.DL16.2.10</t>
  </si>
  <si>
    <t>lj.DL16.2.11</t>
  </si>
  <si>
    <t>lj.DL16.2.12</t>
  </si>
  <si>
    <t>lj.DL16.2.13</t>
  </si>
  <si>
    <t>lj.DL16.2.14</t>
  </si>
  <si>
    <t>lj.DL16.2.15</t>
  </si>
  <si>
    <t>lj.DL16.2.16</t>
  </si>
  <si>
    <t>rewire</t>
  </si>
  <si>
    <t>unwire piano vocal mic</t>
  </si>
  <si>
    <t>Flute</t>
  </si>
  <si>
    <t>Violin1</t>
  </si>
  <si>
    <t>Violin2</t>
  </si>
  <si>
    <t>Viola</t>
  </si>
  <si>
    <t>Cello1</t>
  </si>
  <si>
    <t>Cello2</t>
  </si>
  <si>
    <t>Horn1</t>
  </si>
  <si>
    <t>Horn2</t>
  </si>
  <si>
    <t>Bone1</t>
  </si>
  <si>
    <t>Bone2</t>
  </si>
  <si>
    <t>Trumpet1</t>
  </si>
  <si>
    <t>Trumpet2</t>
  </si>
  <si>
    <t>Timpani1</t>
  </si>
  <si>
    <t>Timpani2</t>
  </si>
  <si>
    <t>Timpani3</t>
  </si>
  <si>
    <t>Timpani4</t>
  </si>
  <si>
    <t>cm.DL16.3.01</t>
  </si>
  <si>
    <t>cm.DL16.3.02</t>
  </si>
  <si>
    <t>cm.DL16.3.03</t>
  </si>
  <si>
    <t>cm.DL16.3.04</t>
  </si>
  <si>
    <t>cm.DL16.3.05</t>
  </si>
  <si>
    <t>cm.DL16.3.06</t>
  </si>
  <si>
    <t>cm.DL16.3.07</t>
  </si>
  <si>
    <t>cm.DL16.3.08</t>
  </si>
  <si>
    <t>cm.DL16.3.09</t>
  </si>
  <si>
    <t>cm.DL16.3.10</t>
  </si>
  <si>
    <t>cm.DL16.3.11</t>
  </si>
  <si>
    <t>cm.DL16.3.12</t>
  </si>
  <si>
    <t>cm.DL16.3.13</t>
  </si>
  <si>
    <t>cm.DL16.3.14</t>
  </si>
  <si>
    <t>cm.DL16.3.15</t>
  </si>
  <si>
    <t>cm.DL16.3.16</t>
  </si>
  <si>
    <t>reconnect from cmx.L.in.26 to wing2</t>
  </si>
  <si>
    <t>reconnect from cmx.L.in.27 to wing 2</t>
  </si>
  <si>
    <t>reconnect from cmx.L.in.28 to wing 2</t>
  </si>
  <si>
    <t>reconnect from cmx.L.in.29 to wing 2</t>
  </si>
  <si>
    <t>w2.L.in.01</t>
  </si>
  <si>
    <t>w2.L.in.02</t>
  </si>
  <si>
    <t>w2.L.in.03</t>
  </si>
  <si>
    <t>w2.L.in.04</t>
  </si>
  <si>
    <t>notes</t>
  </si>
  <si>
    <t>NAME</t>
  </si>
  <si>
    <t>SEN.hh.12</t>
  </si>
  <si>
    <t>SEN.hh.11</t>
  </si>
  <si>
    <t>SEN.hh.01</t>
  </si>
  <si>
    <t>SEN.hh.02</t>
  </si>
  <si>
    <t>SEN.hh.03</t>
  </si>
  <si>
    <t>SEN.hh.04</t>
  </si>
  <si>
    <t>SEN.hh.05</t>
  </si>
  <si>
    <t>BOARD SPOT</t>
  </si>
  <si>
    <t>WING1 PATH</t>
  </si>
  <si>
    <t>WING2 Path</t>
  </si>
  <si>
    <t>CMX32 PATH IN</t>
  </si>
  <si>
    <t>CMX-W1 B</t>
  </si>
  <si>
    <t>START</t>
  </si>
  <si>
    <t>Gst 1</t>
  </si>
  <si>
    <t>Gst 2</t>
  </si>
  <si>
    <t>Gst 3</t>
  </si>
  <si>
    <t>x</t>
  </si>
  <si>
    <t>SEN sing or skit.01</t>
  </si>
  <si>
    <t>SEN sing or skit.02</t>
  </si>
  <si>
    <t>SEN sing or skit.03</t>
  </si>
  <si>
    <t>SEN sing or skit.04</t>
  </si>
  <si>
    <t>SEN sing or skit.05</t>
  </si>
  <si>
    <t>SEN sing or skit.06</t>
  </si>
  <si>
    <t>SEN sing or skit.07</t>
  </si>
  <si>
    <t>SEN sing or skit.08</t>
  </si>
  <si>
    <t>SEN sing or skit.09</t>
  </si>
  <si>
    <t>SEN sing or skit.10</t>
  </si>
  <si>
    <t>SEN sing or skit.11</t>
  </si>
  <si>
    <t>SEN sing or skit.12</t>
  </si>
  <si>
    <t>Choir or Bells.01</t>
  </si>
  <si>
    <t>Choir or Bells.02</t>
  </si>
  <si>
    <t>Choir or Bells.03</t>
  </si>
  <si>
    <t>Choir or Bells.04</t>
  </si>
  <si>
    <t>Choir or Bells.05</t>
  </si>
  <si>
    <t>Choir or Bells.06</t>
  </si>
  <si>
    <t>Choir or Bells.07</t>
  </si>
  <si>
    <t>Choir or Bells.08</t>
  </si>
  <si>
    <t>GENERAL PLAN</t>
  </si>
  <si>
    <t>Sing or Skit</t>
  </si>
  <si>
    <t>HH or Skit</t>
  </si>
  <si>
    <t>Violin.01</t>
  </si>
  <si>
    <t>Violin.02</t>
  </si>
  <si>
    <t>Cello.01</t>
  </si>
  <si>
    <t>Cello.02</t>
  </si>
  <si>
    <t>Horn.01</t>
  </si>
  <si>
    <t>Horn.02</t>
  </si>
  <si>
    <t>Bone.01</t>
  </si>
  <si>
    <t>Bone.02</t>
  </si>
  <si>
    <t>Trumpet.01</t>
  </si>
  <si>
    <t>Trumpet.02</t>
  </si>
  <si>
    <t>VBM</t>
  </si>
  <si>
    <t>CH.27</t>
  </si>
  <si>
    <t>CH.28</t>
  </si>
  <si>
    <t>CH.29</t>
  </si>
  <si>
    <t>CH.30</t>
  </si>
  <si>
    <t>CH.31</t>
  </si>
  <si>
    <t>CH.32</t>
  </si>
  <si>
    <t>B.out.22</t>
  </si>
  <si>
    <t>B.out.23</t>
  </si>
  <si>
    <t>B.out.24</t>
  </si>
  <si>
    <t>B.out.25</t>
  </si>
  <si>
    <t>B.out.26</t>
  </si>
  <si>
    <t>B.out.27</t>
  </si>
  <si>
    <t>B.out.28</t>
  </si>
  <si>
    <t>B.out.29</t>
  </si>
  <si>
    <t>B.out.30</t>
  </si>
  <si>
    <t>B.out.31</t>
  </si>
  <si>
    <t>B.out.32</t>
  </si>
  <si>
    <t>B.out.33</t>
  </si>
  <si>
    <t>B.out.34</t>
  </si>
  <si>
    <t>B.out.35</t>
  </si>
  <si>
    <t>B.out.36</t>
  </si>
  <si>
    <t>B.out.37</t>
  </si>
  <si>
    <t>B.out.38</t>
  </si>
  <si>
    <t>B.out.39</t>
  </si>
  <si>
    <t>B.out.40</t>
  </si>
  <si>
    <t>B.out.41</t>
  </si>
  <si>
    <t>B.out.42</t>
  </si>
  <si>
    <t>C.out.09</t>
  </si>
  <si>
    <t>C.out.10</t>
  </si>
  <si>
    <t>C.out.11</t>
  </si>
  <si>
    <t>C.out.12</t>
  </si>
  <si>
    <t>C.out.13</t>
  </si>
  <si>
    <t>C.out.14</t>
  </si>
  <si>
    <t>C.out.15</t>
  </si>
  <si>
    <t>C.out.16</t>
  </si>
  <si>
    <t>C.out.17</t>
  </si>
  <si>
    <t>C.out.18</t>
  </si>
  <si>
    <t>C.out.19</t>
  </si>
  <si>
    <t>C.out.20</t>
  </si>
  <si>
    <t>C.out.21</t>
  </si>
  <si>
    <t>C.out.22</t>
  </si>
  <si>
    <t>2nd PC L</t>
  </si>
  <si>
    <t>2nd PC R</t>
  </si>
  <si>
    <t>CH.38L</t>
  </si>
  <si>
    <t>CH.38R</t>
  </si>
  <si>
    <t>VOX from Ext L</t>
  </si>
  <si>
    <t>VOX from Ext R</t>
  </si>
  <si>
    <t>INST from Ext L</t>
  </si>
  <si>
    <t>INST from Ext R</t>
  </si>
  <si>
    <t>CH.39L</t>
  </si>
  <si>
    <t>CH.39R</t>
  </si>
  <si>
    <t>CH.40L</t>
  </si>
  <si>
    <t>CH.40R</t>
  </si>
  <si>
    <t>41*</t>
  </si>
  <si>
    <t>42*</t>
  </si>
  <si>
    <t>43*</t>
  </si>
  <si>
    <t>VBM
fr uin/
crd out</t>
  </si>
  <si>
    <t>avail to vocals</t>
  </si>
  <si>
    <r>
      <rPr>
        <sz val="9"/>
        <color theme="1"/>
        <rFont val="Aptos Narrow"/>
        <family val="2"/>
        <scheme val="minor"/>
      </rPr>
      <t xml:space="preserve">20260306a </t>
    </r>
    <r>
      <rPr>
        <b/>
        <sz val="11"/>
        <color theme="1"/>
        <rFont val="Aptos Narrow"/>
        <family val="2"/>
        <scheme val="minor"/>
      </rPr>
      <t>INFO</t>
    </r>
  </si>
  <si>
    <t>mOvrChr</t>
  </si>
  <si>
    <t>mPiano</t>
  </si>
  <si>
    <t>mOrgan</t>
  </si>
  <si>
    <t>mGTR</t>
  </si>
  <si>
    <t>mVOX</t>
  </si>
  <si>
    <t>MDRUM</t>
  </si>
  <si>
    <t>USB
Rcdr.trk1</t>
  </si>
  <si>
    <t>USB
Rcdr.trk2</t>
  </si>
  <si>
    <t>Matrix 4
Rcd L</t>
  </si>
  <si>
    <t>Matrix 5
Rcd R</t>
  </si>
  <si>
    <t>BUS.01
UNET.13</t>
  </si>
  <si>
    <t>BUS.02
UNET.14</t>
  </si>
  <si>
    <t>BUS.03
UNET.15</t>
  </si>
  <si>
    <t>BUS.04
UNET.16</t>
  </si>
  <si>
    <t>CH#=usrin#
out B= usrout</t>
  </si>
  <si>
    <t>Group 1</t>
  </si>
  <si>
    <t>Group 2</t>
  </si>
  <si>
    <t>Group 3</t>
  </si>
  <si>
    <t>Group 4</t>
  </si>
  <si>
    <t>W2 Vox L</t>
  </si>
  <si>
    <t>W2 Vox R</t>
  </si>
  <si>
    <t>W2 Vox Vrb 1 L</t>
  </si>
  <si>
    <t>W2 Vox Vrb 1 R</t>
  </si>
  <si>
    <t>W2 Vox Vrb 2 L</t>
  </si>
  <si>
    <t>W2 Vox Vrb 2 R</t>
  </si>
  <si>
    <t>W2 Inst L</t>
  </si>
  <si>
    <t>W2 Inst R</t>
  </si>
  <si>
    <t>W2 Inst Vrb 1 L</t>
  </si>
  <si>
    <t>W2 Inst Vrb 1 R</t>
  </si>
  <si>
    <t>W2 Inst Vrb 2 L</t>
  </si>
  <si>
    <t>W2 Inst Vrb 2 R</t>
  </si>
  <si>
    <t>W1 Mon 1</t>
  </si>
  <si>
    <t>W1 Mon 2</t>
  </si>
  <si>
    <t>W1 Mon 3</t>
  </si>
  <si>
    <t>W1 Mon 4</t>
  </si>
  <si>
    <t>W1 Mon 5</t>
  </si>
  <si>
    <t>W1 Mon 6</t>
  </si>
  <si>
    <t>Spoken.01</t>
  </si>
  <si>
    <t>Spoken.02</t>
  </si>
  <si>
    <t>Spoken.03</t>
  </si>
  <si>
    <t>Spoken.04</t>
  </si>
  <si>
    <t>Spoken.05</t>
  </si>
  <si>
    <t>Spoken.06</t>
  </si>
  <si>
    <t>Guest.01</t>
  </si>
  <si>
    <t>Guest.02</t>
  </si>
  <si>
    <t>Guest.03</t>
  </si>
  <si>
    <t>Hang.01</t>
  </si>
  <si>
    <t>HS.25</t>
  </si>
  <si>
    <t>HS.29</t>
  </si>
  <si>
    <t>Hang.03</t>
  </si>
  <si>
    <t>SLS.01</t>
  </si>
  <si>
    <t>usb-L</t>
  </si>
  <si>
    <t>usb-R</t>
  </si>
  <si>
    <t>X32.in.LCL.01</t>
  </si>
  <si>
    <t>X32.in.LCL.02</t>
  </si>
  <si>
    <t>X32.in.LCL.03</t>
  </si>
  <si>
    <t>X32.in.LCL.04</t>
  </si>
  <si>
    <t>X32.in.LCL.05</t>
  </si>
  <si>
    <t>X32.in.LCL.06</t>
  </si>
  <si>
    <t>X32.in.LCL.07</t>
  </si>
  <si>
    <t>X32.in.LCL.08</t>
  </si>
  <si>
    <t>X32.in.LCL.09</t>
  </si>
  <si>
    <t>X32.in.LCL.10</t>
  </si>
  <si>
    <t>X32.in.LCL.11</t>
  </si>
  <si>
    <t>X32.in.LCL.12</t>
  </si>
  <si>
    <t>X32.in.LCL.13</t>
  </si>
  <si>
    <t>X32.in.LCL.14</t>
  </si>
  <si>
    <t>X32.in.LCL.15</t>
  </si>
  <si>
    <t>X32.in.LCL.16</t>
  </si>
  <si>
    <t>X32.in.LCL.17</t>
  </si>
  <si>
    <t>X32.in.LCL.18</t>
  </si>
  <si>
    <t>X32.in.LCL.19</t>
  </si>
  <si>
    <t>X32.in.LCL.20</t>
  </si>
  <si>
    <t>X32.in.LCL.21</t>
  </si>
  <si>
    <t>X32.in.LCL.22</t>
  </si>
  <si>
    <t>X32.in.LCL.23</t>
  </si>
  <si>
    <t>X32.in.LCL.24</t>
  </si>
  <si>
    <t>X32.in.LCL.25</t>
  </si>
  <si>
    <t>X32.in.LCL.26</t>
  </si>
  <si>
    <t>X32.in.LCL.27</t>
  </si>
  <si>
    <t>X32.in.LCL.28</t>
  </si>
  <si>
    <t>X32.in.LCL.29</t>
  </si>
  <si>
    <t>X32.in.LCL.30</t>
  </si>
  <si>
    <t>X32.in.LCL.31</t>
  </si>
  <si>
    <t>X32.in.LCL.32</t>
  </si>
  <si>
    <t>X32.in.AUX.01</t>
  </si>
  <si>
    <t>X32.in.AUX.02</t>
  </si>
  <si>
    <t>X32.in.AUX.03</t>
  </si>
  <si>
    <t>X32.in.AUX.04</t>
  </si>
  <si>
    <t>X32.in.AUX.05</t>
  </si>
  <si>
    <t>X32.in.AUX.06</t>
  </si>
  <si>
    <t>X32.in.AUX.07</t>
  </si>
  <si>
    <t>X32.in.AUX.08</t>
  </si>
  <si>
    <t>X32.in.DL16.1.01(A.01)</t>
  </si>
  <si>
    <t>X32.in.DL16.1.02(A.02)</t>
  </si>
  <si>
    <t>X32.in.DL16.1.03(A.03)</t>
  </si>
  <si>
    <t>X32.in.DL16.1.04(A.04)</t>
  </si>
  <si>
    <t>X32.in.DL16.1.05(A.05)</t>
  </si>
  <si>
    <t>X32.in.DL16.1.06(A.06)</t>
  </si>
  <si>
    <t>X32.in.DL16.1.07(A.07)</t>
  </si>
  <si>
    <t>X32.in.DL16.1.08(A.08)</t>
  </si>
  <si>
    <t>X32.in.DL16.1.09(A.09)</t>
  </si>
  <si>
    <t>X32.in.DL16.1.10(A.10)</t>
  </si>
  <si>
    <t>X32.in.DL16.1.11(A.11)</t>
  </si>
  <si>
    <t>X32.in.DL16.1.12(A.12)</t>
  </si>
  <si>
    <t>X32.in.DL16.1.13(A.13)</t>
  </si>
  <si>
    <t>X32.in.DL16.1.14(A.14)</t>
  </si>
  <si>
    <t>X32.in.DL16.1.15(A.15)</t>
  </si>
  <si>
    <t>X32.in.DL16.1.16(A.16)</t>
  </si>
  <si>
    <t>X32.in.DL16.2.01(A.17)</t>
  </si>
  <si>
    <t>X32.in.DL16.2.02(A.18)</t>
  </si>
  <si>
    <t>X32.in.DL16.2.03(A.19)</t>
  </si>
  <si>
    <t>X32.in.DL16.2.04(A.20)</t>
  </si>
  <si>
    <t>X32.in.DL16.2.05(A.21)</t>
  </si>
  <si>
    <t>X32.in.DL16.2.06(A.22)</t>
  </si>
  <si>
    <t>X32.in.DL16.2.07(A.23)</t>
  </si>
  <si>
    <t>X32.in.DL16.2.08(A.24)</t>
  </si>
  <si>
    <t>X32.in.DL16.2.09(A.25)</t>
  </si>
  <si>
    <t>X32.in.DL16.2.10(A.26)</t>
  </si>
  <si>
    <t>X32.in.DL16.2.11(A.27)</t>
  </si>
  <si>
    <t>X32.in.DL16.2.12(A.28)</t>
  </si>
  <si>
    <t>X32.in.DL16.2.13(A.29)</t>
  </si>
  <si>
    <t>X32.in.DL16.2.14(A.30)</t>
  </si>
  <si>
    <t>X32.in.DL16.2.15(A.31)</t>
  </si>
  <si>
    <t>X32.in.DL16.2.16(A.32)</t>
  </si>
  <si>
    <t>X32.in.DL16.3.01(A.33)</t>
  </si>
  <si>
    <t>X32.in.DL16.3.02(A.34)</t>
  </si>
  <si>
    <t>X32.in.DL16.3.03(A.35)</t>
  </si>
  <si>
    <t>X32.in.DL16.3.04(A.36)</t>
  </si>
  <si>
    <t>X32.in.DL16.3.05(A.37)</t>
  </si>
  <si>
    <t>X32.in.DL16.3.06(A.38)</t>
  </si>
  <si>
    <t>X32.in.DL16.3.07(A.39)</t>
  </si>
  <si>
    <t>X32.in.DL16.3.08(A.40)</t>
  </si>
  <si>
    <t>X32.in.DL16.3.09(A.41)</t>
  </si>
  <si>
    <t>X32.in.DL16.3.10(A.42)</t>
  </si>
  <si>
    <t>X32.in.DL16.3.11(A.43)</t>
  </si>
  <si>
    <t>X32.in.DL16.3.12(A.44)</t>
  </si>
  <si>
    <t>X32.in.DL16.3.13(A.45)</t>
  </si>
  <si>
    <t>X32.in.DL16.3.14(A.46)</t>
  </si>
  <si>
    <t>X32.in.DL16.3.15(A.47)</t>
  </si>
  <si>
    <t>X32.in.DL16.3.16(A.48)</t>
  </si>
  <si>
    <t>HH (or worn)</t>
  </si>
  <si>
    <t>X32.CH.01</t>
  </si>
  <si>
    <t>X32.CH.02</t>
  </si>
  <si>
    <t>X32.CH.03</t>
  </si>
  <si>
    <t>X32.CH.04</t>
  </si>
  <si>
    <t>X32.CH.05</t>
  </si>
  <si>
    <t>X32.CH.06</t>
  </si>
  <si>
    <t>X32.CH.07</t>
  </si>
  <si>
    <t>X32.CH.08</t>
  </si>
  <si>
    <t>X32.CH.15</t>
  </si>
  <si>
    <t>X32.CH.16</t>
  </si>
  <si>
    <t>X32.CH.27</t>
  </si>
  <si>
    <t>X32.CH.28</t>
  </si>
  <si>
    <t>X32.CH.29</t>
  </si>
  <si>
    <t>X32.CH.30</t>
  </si>
  <si>
    <t>X32.CH.31</t>
  </si>
  <si>
    <t>X32.CH.32</t>
  </si>
  <si>
    <t>X32.out.BUS.01-&gt;UNET.13</t>
  </si>
  <si>
    <t>X32.out.BUS.02-&gt;UNET.14</t>
  </si>
  <si>
    <t>X32.out.BUS.03-&gt;UNET.15</t>
  </si>
  <si>
    <t>X32.out.BUS.04-&gt;UNET.16</t>
  </si>
  <si>
    <t>Floor House Left</t>
  </si>
  <si>
    <t>Floor House Right</t>
  </si>
  <si>
    <t>Floor</t>
  </si>
  <si>
    <t>Riser House Left</t>
  </si>
  <si>
    <t>Riser House Right</t>
  </si>
  <si>
    <t>Riser</t>
  </si>
  <si>
    <t>X32.out.B.45</t>
  </si>
  <si>
    <t>X32.out.B.46</t>
  </si>
  <si>
    <t>X32.out.B.47</t>
  </si>
  <si>
    <t>X32.out.B.48</t>
  </si>
  <si>
    <t>X32.out.B.20</t>
  </si>
  <si>
    <t>X32.out.B.21</t>
  </si>
  <si>
    <t>X32.out.B.22</t>
  </si>
  <si>
    <t>X32.out.B.23</t>
  </si>
  <si>
    <t>X32.out.B.24</t>
  </si>
  <si>
    <t>X32.out.B.15</t>
  </si>
  <si>
    <t>X32.out.B.16</t>
  </si>
  <si>
    <t>X32.out.B.17</t>
  </si>
  <si>
    <t>X32.out.B.18</t>
  </si>
  <si>
    <t>X32.out.B.19</t>
  </si>
  <si>
    <t>X32.out.B.01</t>
  </si>
  <si>
    <t>X32.out.B.02</t>
  </si>
  <si>
    <t>B-5(6 of 9)</t>
  </si>
  <si>
    <t>B-5(7 of 9)</t>
  </si>
  <si>
    <t>B-5(1 of 9)</t>
  </si>
  <si>
    <t>B-5(2 of 9)</t>
  </si>
  <si>
    <t>B-5(3 of 9)</t>
  </si>
  <si>
    <t>B-5(4 of 9)</t>
  </si>
  <si>
    <t>B-5(5 of 9)</t>
  </si>
  <si>
    <t>B-5(8 of 9))</t>
  </si>
  <si>
    <t>SM57 (1 of 2)</t>
  </si>
  <si>
    <t>SM57 (2 of 2)</t>
  </si>
  <si>
    <t>gm CAD cm217 (1 of gm4)</t>
  </si>
  <si>
    <t>gm CAD cm217 (2 of gm4)</t>
  </si>
  <si>
    <t>X32.out.B.03</t>
  </si>
  <si>
    <t>X32.out.B.04</t>
  </si>
  <si>
    <t>X32.out.B.05</t>
  </si>
  <si>
    <t>X32.out.B.06</t>
  </si>
  <si>
    <t>X32.out.B.07</t>
  </si>
  <si>
    <t>X32.out.B.08</t>
  </si>
  <si>
    <t>X32.out.B.09</t>
  </si>
  <si>
    <t>X32.out.B.10</t>
  </si>
  <si>
    <t>X32.out.B.11</t>
  </si>
  <si>
    <t>X32.out.B.12</t>
  </si>
  <si>
    <t>X32.out.B.13</t>
  </si>
  <si>
    <t>X32.out.B.14</t>
  </si>
  <si>
    <t>formula</t>
  </si>
  <si>
    <t>WR1.CH.01</t>
  </si>
  <si>
    <t>WR1.CH.03</t>
  </si>
  <si>
    <t>WR1.CH.04</t>
  </si>
  <si>
    <t>WR1.CH.13</t>
  </si>
  <si>
    <t>WR1.CH.14</t>
  </si>
  <si>
    <t>WR1.CH.15</t>
  </si>
  <si>
    <t>WR1.CH.16</t>
  </si>
  <si>
    <t>WR1.CH.17</t>
  </si>
  <si>
    <t>WR1.CH.19</t>
  </si>
  <si>
    <t>WR1.out.C.01</t>
  </si>
  <si>
    <t>WR1.in.LCL.01</t>
  </si>
  <si>
    <t>WR1.in.LCL.02</t>
  </si>
  <si>
    <t>WR1.in.LCL.03</t>
  </si>
  <si>
    <t>WR1.in.LCL.04</t>
  </si>
  <si>
    <t>WR1.in.LCL.05</t>
  </si>
  <si>
    <t>WR1.in.LCL.06</t>
  </si>
  <si>
    <t>WR1.in.LCL.07</t>
  </si>
  <si>
    <t>WR1.in.LCL.08</t>
  </si>
  <si>
    <t>WR1.in.LCL.09</t>
  </si>
  <si>
    <t>WR1.in.LCL.10</t>
  </si>
  <si>
    <t>WR1.in.LCL.11</t>
  </si>
  <si>
    <t>WR1.in.LCL.12</t>
  </si>
  <si>
    <t>WR1.in.LCL.13</t>
  </si>
  <si>
    <t>WR1.in.LCL.14</t>
  </si>
  <si>
    <t>WR1.in.LCL.15</t>
  </si>
  <si>
    <t>WR1.in.LCL.16</t>
  </si>
  <si>
    <t>WR1.in.LCL.17</t>
  </si>
  <si>
    <t>WR1.in.LCL.18</t>
  </si>
  <si>
    <t>WR1.in.LCL.19</t>
  </si>
  <si>
    <t>WR1.in.LCL.20</t>
  </si>
  <si>
    <t>WR1.in.LCL.21</t>
  </si>
  <si>
    <t>WR1.in.LCL.22</t>
  </si>
  <si>
    <t>WR1.in.LCL.23</t>
  </si>
  <si>
    <t>WR1.in.LCL.24</t>
  </si>
  <si>
    <t>WR2.in.LCL.01</t>
  </si>
  <si>
    <t>WR2.in.LCL.02</t>
  </si>
  <si>
    <t>WR2.in.LCL.03</t>
  </si>
  <si>
    <t>WR2.in.LCL.04</t>
  </si>
  <si>
    <t>WR2.in.LCL.05</t>
  </si>
  <si>
    <t>WR2.in.LCL.06</t>
  </si>
  <si>
    <t>WR2.in.LCL.07</t>
  </si>
  <si>
    <t>WR2.in.LCL.08</t>
  </si>
  <si>
    <t>WR2.in.LCL.09</t>
  </si>
  <si>
    <t>WR2.in.LCL.10</t>
  </si>
  <si>
    <t>WR2.in.LCL.11</t>
  </si>
  <si>
    <t>WR2.in.LCL.12</t>
  </si>
  <si>
    <t>WR2.in.LCL.13</t>
  </si>
  <si>
    <t>WR2.in.LCL.14</t>
  </si>
  <si>
    <t>WR2.in.LCL.15</t>
  </si>
  <si>
    <t>WR2.in.LCL.16</t>
  </si>
  <si>
    <t>WR2.in.LCL.17</t>
  </si>
  <si>
    <t>WR2.in.LCL.18</t>
  </si>
  <si>
    <t>WR2.in.LCL.19</t>
  </si>
  <si>
    <t>WR2.in.LCL.20</t>
  </si>
  <si>
    <t>WR2.in.LCL.21</t>
  </si>
  <si>
    <t>WR2.in.LCL.22</t>
  </si>
  <si>
    <t>WR2.in.LCL.23</t>
  </si>
  <si>
    <t>WR2.in.LCL.24</t>
  </si>
  <si>
    <t>WR2.in.DL16.1.01(A.01)</t>
  </si>
  <si>
    <t>WR2.in.DL16.1.02(A.02)</t>
  </si>
  <si>
    <t>WR2.in.DL16.1.03(A.03)</t>
  </si>
  <si>
    <t>WR2.in.DL16.1.04(A.04)</t>
  </si>
  <si>
    <t>WR2.in.DL16.1.05(A.05)</t>
  </si>
  <si>
    <t>WR2.in.DL16.1.06(A.06)</t>
  </si>
  <si>
    <t>WR2.in.DL16.1.07(A.07)</t>
  </si>
  <si>
    <t>WR2.in.DL16.1.08(A.08)</t>
  </si>
  <si>
    <t>WR2.in.DL16.1.09(A.09)</t>
  </si>
  <si>
    <t>WR2.in.DL16.1.10(A.10)</t>
  </si>
  <si>
    <t>WR2.in.DL16.1.11(A.11)</t>
  </si>
  <si>
    <t>WR2.in.DL16.1.12(A.12)</t>
  </si>
  <si>
    <t>WR2.in.DL16.1.13(A.13)</t>
  </si>
  <si>
    <t>WR2.in.DL16.1.14(A.14)</t>
  </si>
  <si>
    <t>WR2.in.DL16.1.15(A.15)</t>
  </si>
  <si>
    <t>WR2.in.DL16.1.16(A.16)</t>
  </si>
  <si>
    <t>WR2.in.DL16.2.01(A.17)</t>
  </si>
  <si>
    <t>WR2.in.DL16.2.02(A.18)</t>
  </si>
  <si>
    <t>WR2.in.DL16.2.03(A.19)</t>
  </si>
  <si>
    <t>WR2.in.DL16.2.04(A.20)</t>
  </si>
  <si>
    <t>WR2.in.DL16.2.05(A.21)</t>
  </si>
  <si>
    <t>WR2.in.DL16.2.06(A.22)</t>
  </si>
  <si>
    <t>WR2.in.DL16.2.07(A.23)</t>
  </si>
  <si>
    <t>WR2.in.DL16.2.08(A.24)</t>
  </si>
  <si>
    <t>WR2.in.DL16.2.09(A.25)</t>
  </si>
  <si>
    <t>WR2.in.DL16.2.10(A.26)</t>
  </si>
  <si>
    <t>WR2.in.DL16.2.11(A.27)</t>
  </si>
  <si>
    <t>WR2.in.DL16.2.12(A.28)</t>
  </si>
  <si>
    <t>WR2.in.DL16.2.13(A.29)</t>
  </si>
  <si>
    <t>WR2.in.DL16.2.14(A.30)</t>
  </si>
  <si>
    <t>WR2.in.DL16.2.15(A.31)</t>
  </si>
  <si>
    <t>WR2.in.DL16.2.16(A.32)</t>
  </si>
  <si>
    <t>WR2.CH.01</t>
  </si>
  <si>
    <t>WR1.out.C.02</t>
  </si>
  <si>
    <t>WR1.out.C.03</t>
  </si>
  <si>
    <t>WR1.out.C.04</t>
  </si>
  <si>
    <t>WR1.out.C.05</t>
  </si>
  <si>
    <t>WR1.out.C.06</t>
  </si>
  <si>
    <t>WR1.out.C.07</t>
  </si>
  <si>
    <t>WR2.CH.02</t>
  </si>
  <si>
    <t>WR2.CH.03</t>
  </si>
  <si>
    <t>WR2.CH.04</t>
  </si>
  <si>
    <t>WR2.CH.05</t>
  </si>
  <si>
    <t>WR2.CH.06</t>
  </si>
  <si>
    <t>WR2.CH.07</t>
  </si>
  <si>
    <t>WR2.CH.08</t>
  </si>
  <si>
    <t>WR2.CH.09</t>
  </si>
  <si>
    <t>WR2.CH.10</t>
  </si>
  <si>
    <t>WR2.CH.11</t>
  </si>
  <si>
    <t>WR2.CH.12</t>
  </si>
  <si>
    <t>WR2.CH.13</t>
  </si>
  <si>
    <t>WR2.CH.14</t>
  </si>
  <si>
    <t>WR2.CH.15</t>
  </si>
  <si>
    <t>WR2.CH.16</t>
  </si>
  <si>
    <t>WR2.CH.17</t>
  </si>
  <si>
    <t>WR2.CH.18</t>
  </si>
  <si>
    <t>WR2.CH.19</t>
  </si>
  <si>
    <t>WR2.CH.20</t>
  </si>
  <si>
    <t>HH</t>
  </si>
  <si>
    <t>SLS.01-&gt;HS.18</t>
  </si>
  <si>
    <t>SLS.07-&gt;HS.36</t>
  </si>
  <si>
    <t>SLS.08-&gt;HS.09</t>
  </si>
  <si>
    <t>SEN.06-&gt;SLS.02-&gt;HS.31</t>
  </si>
  <si>
    <t>SEN.07-&gt;SLS.03-&gt;HS.32</t>
  </si>
  <si>
    <t>SEN.08-&gt;SLS-04-&gt;HS.33</t>
  </si>
  <si>
    <t>SEN.09-&gt;SLS-05-&gt;HS.34</t>
  </si>
  <si>
    <t>SEN.10-&gt;SLS.06-&gt;HS.35</t>
  </si>
  <si>
    <t>WR1.CH.20</t>
  </si>
  <si>
    <t>WR1.CH.21</t>
  </si>
  <si>
    <t>WR1.CH.22</t>
  </si>
  <si>
    <t>WR1.CH.23</t>
  </si>
  <si>
    <t>WR1.CH.24</t>
  </si>
  <si>
    <t>First Connection</t>
  </si>
  <si>
    <t>PATH Part 1</t>
  </si>
  <si>
    <t>PATH Part 2</t>
  </si>
  <si>
    <t>Final to MIX</t>
  </si>
  <si>
    <t>SM-58 (1 of 7)</t>
  </si>
  <si>
    <t>SM58 (2 of 7)</t>
  </si>
  <si>
    <t>Piano Singer</t>
  </si>
  <si>
    <t>WR1.CH.25</t>
  </si>
  <si>
    <t>C-2 (1 of 7)</t>
  </si>
  <si>
    <t>C-2 (2 of 7)</t>
  </si>
  <si>
    <t>C-2 (3 of 7)</t>
  </si>
  <si>
    <t>C-2 (5 of 7 or DI /adapter)</t>
  </si>
  <si>
    <t>C-2 (6 of 7 or DI /adapter)</t>
  </si>
  <si>
    <t>ATK 4050 (1 of 2)</t>
  </si>
  <si>
    <t>ATK 4050 (2 of 2)</t>
  </si>
  <si>
    <t>SM58 (3 of 7)</t>
  </si>
  <si>
    <t>SM58 (4 of 7)</t>
  </si>
  <si>
    <t>SM58 (5 of 7)</t>
  </si>
  <si>
    <t>SM58 (6 of 7)</t>
  </si>
  <si>
    <t>REWIRE</t>
  </si>
  <si>
    <t>DI (3 of 8)</t>
  </si>
  <si>
    <t>DI (2 of 8)</t>
  </si>
  <si>
    <t>DI (1 of 8)</t>
  </si>
  <si>
    <t>Percussion.01</t>
  </si>
  <si>
    <t>Percussion.02</t>
  </si>
  <si>
    <t>SM58 (7 of 7)</t>
  </si>
  <si>
    <t>WR2.CH.21</t>
  </si>
  <si>
    <t>WR2.CH.22</t>
  </si>
  <si>
    <t>WR2.CH.23</t>
  </si>
  <si>
    <t>WR2.CH.24</t>
  </si>
  <si>
    <t>WR2.CH.25</t>
  </si>
  <si>
    <t>WR2.CH.26</t>
  </si>
  <si>
    <t>WR2.CH.27</t>
  </si>
  <si>
    <t>WR2.CH.28</t>
  </si>
  <si>
    <t>WR2.CH.29</t>
  </si>
  <si>
    <t>Viola.01</t>
  </si>
  <si>
    <t>Oboe.01</t>
  </si>
  <si>
    <t>C-2 (4 of 7)</t>
  </si>
  <si>
    <t>C-2 (7 of 7 or DI /adapter)</t>
  </si>
  <si>
    <t>Piano.01</t>
  </si>
  <si>
    <t>gm CM217 (3 of 4)</t>
  </si>
  <si>
    <t>gm CM217 (4 of 4)</t>
  </si>
  <si>
    <t>lj CM217</t>
  </si>
  <si>
    <t>CAD C70 (1 of 1)</t>
  </si>
  <si>
    <t>lj SM57</t>
  </si>
  <si>
    <t>lj Aventone CK1</t>
  </si>
  <si>
    <t>WR1.CH.26</t>
  </si>
  <si>
    <t>WR1.CH.27</t>
  </si>
  <si>
    <t>WR1.CH.05
28</t>
  </si>
  <si>
    <t>WR1.CH.06
29</t>
  </si>
  <si>
    <t>WR1.CH.07
30</t>
  </si>
  <si>
    <t>WR1.CH.08
31</t>
  </si>
  <si>
    <t>WR1.CH.09
32</t>
  </si>
  <si>
    <t>WR1.CH.10
33</t>
  </si>
  <si>
    <t>WR1.CH.11
34</t>
  </si>
  <si>
    <t>WR1.CH.12
35</t>
  </si>
  <si>
    <t>Choir.01
PK.01</t>
  </si>
  <si>
    <t>Choir.02
PK.02</t>
  </si>
  <si>
    <t>Choir.03
PK.03</t>
  </si>
  <si>
    <t>Choir.04
PK.04</t>
  </si>
  <si>
    <t>Choir.05
PK.05</t>
  </si>
  <si>
    <t>Choir.06
PK.06</t>
  </si>
  <si>
    <t>Choir.07
PK.07</t>
  </si>
  <si>
    <t>Choir.08
PK.08</t>
  </si>
  <si>
    <t>Sing at Piano.01
Sing at Piano.02
Sing at Piano.03</t>
  </si>
  <si>
    <t>WR1.out.C.08</t>
  </si>
  <si>
    <t>WR1.CH.18
36
37</t>
  </si>
  <si>
    <t>v fr ext L</t>
  </si>
  <si>
    <t>v fr ext R</t>
  </si>
  <si>
    <t>I fr ext L</t>
  </si>
  <si>
    <t>I fr ext R</t>
  </si>
  <si>
    <t>Alt PC R</t>
  </si>
  <si>
    <t>WR1.CH.39L</t>
  </si>
  <si>
    <t>WR1.CH.39R</t>
  </si>
  <si>
    <t>WR1.CH.40L</t>
  </si>
  <si>
    <t>WR1.CH.40R</t>
  </si>
  <si>
    <t>WR2.CH.40L</t>
  </si>
  <si>
    <t>WR2.CH.40R</t>
  </si>
  <si>
    <t>WR2.in.AUX.01</t>
  </si>
  <si>
    <t>WR2.in.AUX.02</t>
  </si>
  <si>
    <t>WR2.in.AUX.03</t>
  </si>
  <si>
    <t>WR2.in.AUX.04</t>
  </si>
  <si>
    <t>WR2.in.AUX.05</t>
  </si>
  <si>
    <t>WR2.in.AUX.06</t>
  </si>
  <si>
    <t>WR2.in.AUX.07</t>
  </si>
  <si>
    <t>WR2.in.AUX.08</t>
  </si>
  <si>
    <t>Mon1 from WR1</t>
  </si>
  <si>
    <t>Mon2 from WR1</t>
  </si>
  <si>
    <t>Mon3 from WR1</t>
  </si>
  <si>
    <t>Mon4 from WR1</t>
  </si>
  <si>
    <t>Mon5 from WR1</t>
  </si>
  <si>
    <t>Mon6 from WR1</t>
  </si>
  <si>
    <t>Talkback</t>
  </si>
  <si>
    <t>WR1.in.AUX.01</t>
  </si>
  <si>
    <t>WR1.in.AUX.02</t>
  </si>
  <si>
    <t>WR1.in.AUX.03</t>
  </si>
  <si>
    <t>WR1.in.AUX.04</t>
  </si>
  <si>
    <t>WR1.in.AUX.05</t>
  </si>
  <si>
    <t>WR1.in.AUX.06</t>
  </si>
  <si>
    <t>WR1.in.AUX.07</t>
  </si>
  <si>
    <t>WR1.in.AUX.08</t>
  </si>
  <si>
    <t>v from WR2</t>
  </si>
  <si>
    <t>vvrb 1 from WR2</t>
  </si>
  <si>
    <t>vvrb2 from WR2</t>
  </si>
  <si>
    <t>I from WR2</t>
  </si>
  <si>
    <t>ivrb1 from WR2</t>
  </si>
  <si>
    <t>ivrb2 from WR2</t>
  </si>
  <si>
    <t>Alt PC L</t>
  </si>
  <si>
    <t>Timpani.01 hi</t>
  </si>
  <si>
    <t>Timpani.04 lo</t>
  </si>
  <si>
    <t>Horn.01 f</t>
  </si>
  <si>
    <t>Horn.02 b</t>
  </si>
  <si>
    <t>Bone.01 f</t>
  </si>
  <si>
    <t>Bone.02 m</t>
  </si>
  <si>
    <t>Bone.03 b</t>
  </si>
  <si>
    <t>Trumpet.01 f</t>
  </si>
  <si>
    <t>Flute.01 f</t>
  </si>
  <si>
    <t>Flute.02 b</t>
  </si>
  <si>
    <t>Violin.01 f</t>
  </si>
  <si>
    <t>Violin.02 b</t>
  </si>
  <si>
    <t>WR2.CH.30</t>
  </si>
  <si>
    <t>Annabell Violin Gst3</t>
  </si>
  <si>
    <t>X32.BUS.01</t>
  </si>
  <si>
    <t>X32.BUS.02</t>
  </si>
  <si>
    <t>WR1.CH.02</t>
  </si>
  <si>
    <t>YUTE.01 KATE</t>
  </si>
  <si>
    <t>PT.05 TONY</t>
  </si>
  <si>
    <t>YUTE.02 RIONA</t>
  </si>
  <si>
    <t>Yute.03 MADDIE</t>
  </si>
  <si>
    <t>Yute.04 CHLOE</t>
  </si>
  <si>
    <t>CONGA CAHON</t>
  </si>
  <si>
    <t>Trumpet.02 m</t>
  </si>
  <si>
    <t>Trumpet.03 b</t>
  </si>
  <si>
    <t>TBD</t>
  </si>
  <si>
    <t>WR2.CH.31</t>
  </si>
  <si>
    <t>TUBA</t>
  </si>
  <si>
    <t>WR2.CH.32</t>
  </si>
  <si>
    <t>Clarinet.01 f</t>
  </si>
  <si>
    <t>Clarinet.02 b</t>
  </si>
  <si>
    <t>Skit.01 JOCELYN</t>
  </si>
  <si>
    <t>Skit.02 AMELIA</t>
  </si>
  <si>
    <t>Skit.03 LOTTIE</t>
  </si>
  <si>
    <t>Skit.04 CARSON</t>
  </si>
  <si>
    <t>Skit.05 avail</t>
  </si>
  <si>
    <t>PT.01 KRISTY-my</t>
  </si>
  <si>
    <t>PT.02 DIANNE-my</t>
  </si>
  <si>
    <t>PT.03 KEITH-my</t>
  </si>
  <si>
    <t>PT.04 JAX-my</t>
  </si>
  <si>
    <t>WR2.CH.33</t>
  </si>
  <si>
    <t>Clarinet H</t>
  </si>
  <si>
    <t>WR2.CH.34</t>
  </si>
  <si>
    <t>v20260327a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</si>
</sst>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00B050"/>
      <name val="Tahoma"/>
      <family val="2"/>
    </font>
    <font>
      <b/>
      <sz val="10"/>
      <color rgb="FFFF0000"/>
      <name val="Tahoma"/>
      <family val="2"/>
    </font>
    <font>
      <b/>
      <sz val="10"/>
      <color rgb="FF0070C0"/>
      <name val="Tahoma"/>
      <family val="2"/>
    </font>
    <font>
      <b/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5"/>
      <name val="Tahoma"/>
      <family val="2"/>
    </font>
    <font>
      <b/>
      <sz val="8"/>
      <color rgb="FF0070C0"/>
      <name val="Tahoma"/>
      <family val="2"/>
    </font>
    <font>
      <b/>
      <i/>
      <sz val="10"/>
      <color rgb="FF00B050"/>
      <name val="Tahoma"/>
      <family val="2"/>
    </font>
    <font>
      <b/>
      <i/>
      <sz val="10"/>
      <color rgb="FFFF0000"/>
      <name val="Tahoma"/>
      <family val="2"/>
    </font>
    <font>
      <sz val="10"/>
      <color rgb="FF0070C0"/>
      <name val="Tahoma"/>
      <family val="2"/>
    </font>
    <font>
      <sz val="8"/>
      <name val="Tahoma"/>
      <family val="2"/>
    </font>
    <font>
      <sz val="9"/>
      <color theme="1"/>
      <name val="Tahoma"/>
      <family val="2"/>
    </font>
    <font>
      <b/>
      <sz val="9"/>
      <color rgb="FF00B050"/>
      <name val="Tahoma"/>
      <family val="2"/>
    </font>
    <font>
      <b/>
      <sz val="9"/>
      <color rgb="FFFF0000"/>
      <name val="Tahoma"/>
      <family val="2"/>
    </font>
    <font>
      <b/>
      <sz val="9"/>
      <color rgb="FF0070C0"/>
      <name val="Tahoma"/>
      <family val="2"/>
    </font>
    <font>
      <b/>
      <sz val="9"/>
      <color theme="9"/>
      <name val="Tahoma"/>
      <family val="2"/>
    </font>
    <font>
      <sz val="10"/>
      <color rgb="FFFF0000"/>
      <name val="Tahoma"/>
      <family val="2"/>
    </font>
    <font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>
        <fgColor rgb="FF7030A0"/>
        <bgColor auto="1"/>
      </patternFill>
    </fill>
    <fill>
      <patternFill patternType="gray0625">
        <fgColor rgb="FF7030A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medium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hair">
        <color theme="1"/>
      </bottom>
      <diagonal/>
    </border>
    <border>
      <left style="medium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FF0000"/>
      </left>
      <right style="hair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medium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medium">
        <color rgb="FFFF0000"/>
      </bottom>
      <diagonal/>
    </border>
    <border>
      <left style="medium">
        <color theme="8" tint="-0.24994659260841701"/>
      </left>
      <right style="hair">
        <color theme="8" tint="-0.24994659260841701"/>
      </right>
      <top style="medium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medium">
        <color theme="8" tint="-0.24994659260841701"/>
      </bottom>
      <diagonal/>
    </border>
    <border>
      <left style="hair">
        <color theme="8" tint="-0.24994659260841701"/>
      </left>
      <right style="medium">
        <color theme="8" tint="-0.24994659260841701"/>
      </right>
      <top style="hair">
        <color theme="8" tint="-0.24994659260841701"/>
      </top>
      <bottom style="medium">
        <color theme="8" tint="-0.24994659260841701"/>
      </bottom>
      <diagonal/>
    </border>
    <border>
      <left style="medium">
        <color theme="1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theme="8" tint="-0.24994659260841701"/>
      </right>
      <top/>
      <bottom/>
      <diagonal/>
    </border>
    <border>
      <left style="hair">
        <color rgb="FFFF0000"/>
      </left>
      <right/>
      <top style="medium">
        <color rgb="FFFF0000"/>
      </top>
      <bottom style="hair">
        <color rgb="FFFF0000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 style="hair">
        <color rgb="FFFF0000"/>
      </left>
      <right/>
      <top style="hair">
        <color rgb="FFFF0000"/>
      </top>
      <bottom style="medium">
        <color rgb="FFFF0000"/>
      </bottom>
      <diagonal/>
    </border>
    <border>
      <left style="hair">
        <color theme="8" tint="-0.24994659260841701"/>
      </left>
      <right/>
      <top style="medium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/>
      <top style="hair">
        <color theme="8" tint="-0.24994659260841701"/>
      </top>
      <bottom style="medium">
        <color theme="8" tint="-0.2499465926084170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20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7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30" fillId="0" borderId="0" xfId="0" applyFont="1"/>
    <xf numFmtId="0" fontId="29" fillId="7" borderId="0" xfId="0" applyFont="1" applyFill="1"/>
    <xf numFmtId="0" fontId="26" fillId="0" borderId="0" xfId="0" applyFont="1"/>
    <xf numFmtId="0" fontId="26" fillId="2" borderId="0" xfId="0" applyFont="1" applyFill="1"/>
    <xf numFmtId="0" fontId="26" fillId="0" borderId="1" xfId="0" applyFont="1" applyBorder="1"/>
    <xf numFmtId="0" fontId="26" fillId="2" borderId="1" xfId="0" applyFont="1" applyFill="1" applyBorder="1"/>
    <xf numFmtId="0" fontId="0" fillId="0" borderId="1" xfId="0" applyBorder="1"/>
    <xf numFmtId="0" fontId="26" fillId="0" borderId="20" xfId="0" applyFont="1" applyBorder="1"/>
    <xf numFmtId="0" fontId="32" fillId="0" borderId="0" xfId="0" applyFont="1"/>
    <xf numFmtId="0" fontId="30" fillId="2" borderId="0" xfId="0" applyFont="1" applyFill="1"/>
    <xf numFmtId="0" fontId="33" fillId="2" borderId="0" xfId="0" applyFont="1" applyFill="1"/>
    <xf numFmtId="0" fontId="34" fillId="5" borderId="17" xfId="0" applyFont="1" applyFill="1" applyBorder="1" applyAlignment="1">
      <alignment horizontal="center" vertical="center"/>
    </xf>
    <xf numFmtId="0" fontId="34" fillId="8" borderId="17" xfId="0" applyFont="1" applyFill="1" applyBorder="1" applyAlignment="1">
      <alignment horizontal="center" vertical="center"/>
    </xf>
    <xf numFmtId="0" fontId="34" fillId="8" borderId="19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0" fontId="24" fillId="8" borderId="17" xfId="0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0" fontId="26" fillId="8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wrapText="1"/>
    </xf>
    <xf numFmtId="0" fontId="35" fillId="8" borderId="13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35" fillId="9" borderId="13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8" borderId="26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35" fillId="9" borderId="11" xfId="0" applyFont="1" applyFill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23" fillId="8" borderId="25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0" fontId="31" fillId="10" borderId="17" xfId="0" applyFont="1" applyFill="1" applyBorder="1" applyAlignment="1">
      <alignment horizontal="center" vertical="center"/>
    </xf>
    <xf numFmtId="0" fontId="28" fillId="10" borderId="17" xfId="0" applyFont="1" applyFill="1" applyBorder="1" applyAlignment="1">
      <alignment horizontal="center" vertical="center"/>
    </xf>
    <xf numFmtId="0" fontId="28" fillId="10" borderId="17" xfId="0" applyFont="1" applyFill="1" applyBorder="1" applyAlignment="1">
      <alignment horizontal="center" vertical="center" wrapText="1"/>
    </xf>
    <xf numFmtId="0" fontId="31" fillId="8" borderId="17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5" fillId="10" borderId="11" xfId="0" applyFont="1" applyFill="1" applyBorder="1" applyAlignment="1">
      <alignment horizontal="center" vertical="center" wrapText="1"/>
    </xf>
    <xf numFmtId="0" fontId="35" fillId="10" borderId="12" xfId="0" applyFont="1" applyFill="1" applyBorder="1" applyAlignment="1">
      <alignment horizontal="center" vertical="center"/>
    </xf>
    <xf numFmtId="0" fontId="35" fillId="10" borderId="11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 wrapText="1"/>
    </xf>
    <xf numFmtId="0" fontId="22" fillId="10" borderId="30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35" fillId="8" borderId="11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9" borderId="9" xfId="0" applyFont="1" applyFill="1" applyBorder="1" applyAlignment="1">
      <alignment horizontal="center" vertical="center"/>
    </xf>
    <xf numFmtId="0" fontId="37" fillId="9" borderId="37" xfId="0" applyFont="1" applyFill="1" applyBorder="1" applyAlignment="1">
      <alignment horizontal="center" vertical="center"/>
    </xf>
    <xf numFmtId="0" fontId="37" fillId="9" borderId="10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7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horizontal="center" vertical="center"/>
    </xf>
    <xf numFmtId="0" fontId="37" fillId="10" borderId="37" xfId="0" applyFont="1" applyFill="1" applyBorder="1" applyAlignment="1">
      <alignment horizontal="center" vertical="center"/>
    </xf>
    <xf numFmtId="0" fontId="37" fillId="10" borderId="10" xfId="0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horizontal="center" vertical="center" wrapText="1"/>
    </xf>
    <xf numFmtId="0" fontId="37" fillId="10" borderId="37" xfId="0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0" fontId="37" fillId="8" borderId="9" xfId="0" applyFont="1" applyFill="1" applyBorder="1" applyAlignment="1">
      <alignment horizontal="center" vertical="center" wrapText="1"/>
    </xf>
    <xf numFmtId="0" fontId="37" fillId="8" borderId="37" xfId="0" applyFont="1" applyFill="1" applyBorder="1" applyAlignment="1">
      <alignment horizontal="center" vertical="center" wrapText="1"/>
    </xf>
    <xf numFmtId="0" fontId="37" fillId="8" borderId="10" xfId="0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2" fillId="10" borderId="3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8" fillId="8" borderId="1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9" borderId="45" xfId="0" applyFont="1" applyFill="1" applyBorder="1" applyAlignment="1">
      <alignment horizontal="center" vertical="center"/>
    </xf>
    <xf numFmtId="0" fontId="24" fillId="8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0" fontId="39" fillId="9" borderId="48" xfId="0" applyFont="1" applyFill="1" applyBorder="1" applyAlignment="1">
      <alignment horizontal="center" vertical="center"/>
    </xf>
    <xf numFmtId="0" fontId="39" fillId="8" borderId="48" xfId="0" applyFont="1" applyFill="1" applyBorder="1" applyAlignment="1">
      <alignment horizontal="center" vertical="center"/>
    </xf>
    <xf numFmtId="0" fontId="39" fillId="10" borderId="48" xfId="0" applyFont="1" applyFill="1" applyBorder="1" applyAlignment="1">
      <alignment horizontal="center" vertical="center"/>
    </xf>
    <xf numFmtId="0" fontId="39" fillId="10" borderId="48" xfId="0" applyFont="1" applyFill="1" applyBorder="1" applyAlignment="1">
      <alignment horizontal="center" vertical="center" wrapText="1"/>
    </xf>
    <xf numFmtId="0" fontId="39" fillId="8" borderId="48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5" fillId="5" borderId="11" xfId="0" applyFont="1" applyFill="1" applyBorder="1" applyAlignment="1">
      <alignment horizontal="center" vertical="center"/>
    </xf>
    <xf numFmtId="0" fontId="35" fillId="5" borderId="12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7" fillId="5" borderId="37" xfId="0" applyFont="1" applyFill="1" applyBorder="1" applyAlignment="1">
      <alignment horizontal="center" vertical="center"/>
    </xf>
    <xf numFmtId="0" fontId="39" fillId="5" borderId="48" xfId="0" applyFont="1" applyFill="1" applyBorder="1" applyAlignment="1">
      <alignment horizontal="center" vertical="center"/>
    </xf>
    <xf numFmtId="0" fontId="37" fillId="5" borderId="10" xfId="0" applyFont="1" applyFill="1" applyBorder="1" applyAlignment="1">
      <alignment horizontal="center" vertical="center"/>
    </xf>
    <xf numFmtId="0" fontId="39" fillId="8" borderId="37" xfId="0" applyFont="1" applyFill="1" applyBorder="1" applyAlignment="1">
      <alignment horizontal="center" vertical="center"/>
    </xf>
    <xf numFmtId="0" fontId="39" fillId="0" borderId="37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0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8" fillId="2" borderId="0" xfId="0" applyFont="1" applyFill="1" applyAlignment="1">
      <alignment horizontal="center" vertical="top"/>
    </xf>
    <xf numFmtId="0" fontId="26" fillId="0" borderId="0" xfId="0" applyFont="1" applyAlignment="1">
      <alignment horizontal="left" vertical="top"/>
    </xf>
    <xf numFmtId="0" fontId="26" fillId="2" borderId="0" xfId="0" applyFont="1" applyFill="1" applyAlignment="1">
      <alignment horizontal="center" vertical="top"/>
    </xf>
    <xf numFmtId="0" fontId="26" fillId="0" borderId="0" xfId="0" applyFont="1" applyAlignment="1">
      <alignment horizontal="center" vertical="top" wrapText="1"/>
    </xf>
    <xf numFmtId="0" fontId="41" fillId="9" borderId="0" xfId="0" applyFont="1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26" fillId="0" borderId="50" xfId="0" applyFont="1" applyBorder="1" applyAlignment="1">
      <alignment horizontal="center" vertical="top"/>
    </xf>
    <xf numFmtId="0" fontId="26" fillId="0" borderId="50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strike val="0"/>
      </font>
    </dxf>
    <dxf>
      <font>
        <b/>
        <i val="0"/>
        <strike val="0"/>
      </font>
    </dxf>
    <dxf>
      <font>
        <strike val="0"/>
        <color rgb="FF7030A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7030A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7030A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7030A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7030A0"/>
      </font>
    </dxf>
    <dxf>
      <font>
        <strike val="0"/>
        <color rgb="FF00B050"/>
      </font>
    </dxf>
    <dxf>
      <font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3235-B750-4253-A2B6-E38733994718}">
  <sheetPr>
    <pageSetUpPr fitToPage="1"/>
  </sheetPr>
  <dimension ref="A1:O189"/>
  <sheetViews>
    <sheetView tabSelected="1" workbookViewId="0">
      <pane xSplit="1" ySplit="1" topLeftCell="B14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4.7109375" style="207" customWidth="1"/>
    <col min="2" max="2" width="18.28515625" style="207" customWidth="1"/>
    <col min="3" max="3" width="16" style="207" customWidth="1"/>
    <col min="4" max="4" width="24" style="208" customWidth="1"/>
    <col min="5" max="5" width="3.42578125" style="208" customWidth="1"/>
    <col min="6" max="6" width="11.5703125" style="208" customWidth="1"/>
    <col min="7" max="7" width="3.140625" style="208" customWidth="1"/>
    <col min="8" max="8" width="11.28515625" style="208" customWidth="1"/>
    <col min="9" max="9" width="3.42578125" style="208" customWidth="1"/>
    <col min="10" max="10" width="12.28515625" style="208" customWidth="1"/>
    <col min="11" max="11" width="2" style="208" customWidth="1"/>
    <col min="12" max="12" width="11.28515625" style="208" customWidth="1"/>
    <col min="13" max="13" width="13.140625" style="217" customWidth="1"/>
    <col min="14" max="14" width="5.5703125" style="208" customWidth="1"/>
    <col min="15" max="15" width="3.140625" style="208" customWidth="1"/>
    <col min="16" max="16384" width="9.140625" style="208"/>
  </cols>
  <sheetData>
    <row r="1" spans="1:14" x14ac:dyDescent="0.25">
      <c r="A1" s="212" t="s">
        <v>2305</v>
      </c>
      <c r="C1" s="207">
        <f>COUNTA(C2:C200)</f>
        <v>73</v>
      </c>
      <c r="D1" s="208" t="s">
        <v>2154</v>
      </c>
      <c r="F1" s="208" t="s">
        <v>2155</v>
      </c>
      <c r="H1" s="208" t="s">
        <v>2023</v>
      </c>
      <c r="J1" s="208" t="s">
        <v>2156</v>
      </c>
      <c r="L1" s="208" t="s">
        <v>2023</v>
      </c>
      <c r="M1" s="217" t="s">
        <v>2157</v>
      </c>
      <c r="N1" s="207" t="s">
        <v>1755</v>
      </c>
    </row>
    <row r="2" spans="1:14" x14ac:dyDescent="0.25">
      <c r="D2" s="209" t="s">
        <v>1973</v>
      </c>
      <c r="E2" s="208" t="str">
        <f>"-&gt;"</f>
        <v>-&gt;</v>
      </c>
      <c r="F2" s="208" t="s">
        <v>1983</v>
      </c>
      <c r="G2" s="208" t="str">
        <f>"="</f>
        <v>=</v>
      </c>
      <c r="H2" s="208" t="str">
        <f>"WR1.in."&amp;MID(F2,9,4)</f>
        <v>WR1.in.B.45</v>
      </c>
      <c r="M2" s="217" t="s">
        <v>2024</v>
      </c>
      <c r="N2" s="208">
        <f>IF(MID(M2,1,3)="X32",VALUE(MID(M2,8,2)+96),
 IF(MID(M2,1,3)="WR1",VALUE(MID(M2,8,2)+0),
 IF(MID(M2,1,3)="WR2",VALUE(MID(M2,8,2)+48),".")))</f>
        <v>1</v>
      </c>
    </row>
    <row r="3" spans="1:14" x14ac:dyDescent="0.25">
      <c r="D3" s="209" t="s">
        <v>1974</v>
      </c>
      <c r="E3" s="208" t="str">
        <f t="shared" ref="E3:E12" si="0">"-&gt;"</f>
        <v>-&gt;</v>
      </c>
      <c r="F3" s="208" t="s">
        <v>1984</v>
      </c>
      <c r="G3" s="208" t="str">
        <f t="shared" ref="G3:G5" si="1">"="</f>
        <v>=</v>
      </c>
      <c r="H3" s="208" t="str">
        <f>"WR1.in."&amp;MID(F3,9,4)</f>
        <v>WR1.in.B.46</v>
      </c>
      <c r="M3" s="217" t="s">
        <v>2278</v>
      </c>
      <c r="N3" s="208">
        <f t="shared" ref="N3:N66" si="2">IF(MID(M3,1,3)="X32",VALUE(MID(M3,8,2)+96),
 IF(MID(M3,1,3)="WR1",VALUE(MID(M3,8,2)+0),
 IF(MID(M3,1,3)="WR2",VALUE(MID(M3,8,2)+48),".")))</f>
        <v>2</v>
      </c>
    </row>
    <row r="4" spans="1:14" x14ac:dyDescent="0.25">
      <c r="D4" s="209" t="s">
        <v>1975</v>
      </c>
      <c r="E4" s="208" t="str">
        <f t="shared" si="0"/>
        <v>-&gt;</v>
      </c>
      <c r="F4" s="208" t="s">
        <v>1985</v>
      </c>
      <c r="G4" s="208" t="str">
        <f t="shared" si="1"/>
        <v>=</v>
      </c>
      <c r="H4" s="208" t="str">
        <f>"WR1.in."&amp;MID(F4,9,4)</f>
        <v>WR1.in.B.47</v>
      </c>
      <c r="M4" s="217" t="s">
        <v>2025</v>
      </c>
      <c r="N4" s="208">
        <f t="shared" si="2"/>
        <v>3</v>
      </c>
    </row>
    <row r="5" spans="1:14" x14ac:dyDescent="0.25">
      <c r="D5" s="209" t="s">
        <v>1976</v>
      </c>
      <c r="E5" s="208" t="str">
        <f t="shared" si="0"/>
        <v>-&gt;</v>
      </c>
      <c r="F5" s="208" t="s">
        <v>1986</v>
      </c>
      <c r="G5" s="208" t="str">
        <f t="shared" si="1"/>
        <v>=</v>
      </c>
      <c r="H5" s="208" t="str">
        <f>"WR1.in."&amp;MID(F5,9,4)</f>
        <v>WR1.in.B.48</v>
      </c>
      <c r="M5" s="217" t="s">
        <v>2026</v>
      </c>
      <c r="N5" s="208">
        <f t="shared" si="2"/>
        <v>4</v>
      </c>
    </row>
    <row r="6" spans="1:14" x14ac:dyDescent="0.25">
      <c r="A6" s="207" t="s">
        <v>725</v>
      </c>
      <c r="B6" s="207" t="s">
        <v>714</v>
      </c>
      <c r="C6" s="207" t="s">
        <v>1852</v>
      </c>
      <c r="D6" s="208" t="s">
        <v>1868</v>
      </c>
      <c r="E6" s="208" t="str">
        <f t="shared" si="0"/>
        <v>-&gt;</v>
      </c>
      <c r="F6" s="208" t="s">
        <v>2276</v>
      </c>
      <c r="H6" s="216"/>
      <c r="M6" s="217" t="s">
        <v>1957</v>
      </c>
      <c r="N6" s="208">
        <f t="shared" si="2"/>
        <v>97</v>
      </c>
    </row>
    <row r="7" spans="1:14" x14ac:dyDescent="0.25">
      <c r="A7" s="207" t="s">
        <v>726</v>
      </c>
      <c r="B7" s="207" t="s">
        <v>1155</v>
      </c>
      <c r="C7" s="207" t="s">
        <v>1853</v>
      </c>
      <c r="D7" s="208" t="s">
        <v>1869</v>
      </c>
      <c r="E7" s="208" t="str">
        <f t="shared" si="0"/>
        <v>-&gt;</v>
      </c>
      <c r="F7" s="208" t="s">
        <v>2276</v>
      </c>
      <c r="H7" s="216"/>
      <c r="M7" s="217" t="s">
        <v>1958</v>
      </c>
      <c r="N7" s="208">
        <f t="shared" si="2"/>
        <v>98</v>
      </c>
    </row>
    <row r="8" spans="1:14" x14ac:dyDescent="0.25">
      <c r="A8" s="207" t="s">
        <v>727</v>
      </c>
      <c r="B8" s="207" t="s">
        <v>713</v>
      </c>
      <c r="C8" s="207" t="s">
        <v>1854</v>
      </c>
      <c r="D8" s="208" t="s">
        <v>1870</v>
      </c>
      <c r="E8" s="208" t="str">
        <f t="shared" si="0"/>
        <v>-&gt;</v>
      </c>
      <c r="F8" s="208" t="s">
        <v>2276</v>
      </c>
      <c r="H8" s="216"/>
      <c r="M8" s="217" t="s">
        <v>1959</v>
      </c>
      <c r="N8" s="208">
        <f t="shared" si="2"/>
        <v>99</v>
      </c>
    </row>
    <row r="9" spans="1:14" x14ac:dyDescent="0.25">
      <c r="A9" s="207" t="s">
        <v>728</v>
      </c>
      <c r="B9" s="207" t="s">
        <v>715</v>
      </c>
      <c r="C9" s="207" t="s">
        <v>1855</v>
      </c>
      <c r="D9" s="208" t="s">
        <v>1871</v>
      </c>
      <c r="E9" s="208" t="str">
        <f t="shared" si="0"/>
        <v>-&gt;</v>
      </c>
      <c r="F9" s="208" t="s">
        <v>2276</v>
      </c>
      <c r="H9" s="216"/>
      <c r="M9" s="217" t="s">
        <v>1960</v>
      </c>
      <c r="N9" s="208">
        <f t="shared" si="2"/>
        <v>100</v>
      </c>
    </row>
    <row r="10" spans="1:14" x14ac:dyDescent="0.25">
      <c r="A10" s="207" t="s">
        <v>729</v>
      </c>
      <c r="B10" s="207" t="s">
        <v>1858</v>
      </c>
      <c r="C10" s="207" t="s">
        <v>1856</v>
      </c>
      <c r="D10" s="208" t="s">
        <v>1872</v>
      </c>
      <c r="E10" s="208" t="str">
        <f t="shared" si="0"/>
        <v>-&gt;</v>
      </c>
      <c r="F10" s="208" t="s">
        <v>2276</v>
      </c>
      <c r="H10" s="216"/>
      <c r="M10" s="217" t="s">
        <v>1961</v>
      </c>
      <c r="N10" s="208">
        <f t="shared" si="2"/>
        <v>101</v>
      </c>
    </row>
    <row r="11" spans="1:14" x14ac:dyDescent="0.25">
      <c r="A11" s="207" t="s">
        <v>730</v>
      </c>
      <c r="B11" s="207" t="s">
        <v>1859</v>
      </c>
      <c r="C11" s="207" t="s">
        <v>1857</v>
      </c>
      <c r="D11" s="208" t="s">
        <v>1873</v>
      </c>
      <c r="E11" s="208" t="str">
        <f t="shared" si="0"/>
        <v>-&gt;</v>
      </c>
      <c r="F11" s="208" t="s">
        <v>2276</v>
      </c>
      <c r="H11" s="216"/>
      <c r="M11" s="217" t="s">
        <v>1962</v>
      </c>
      <c r="N11" s="208">
        <f t="shared" si="2"/>
        <v>102</v>
      </c>
    </row>
    <row r="12" spans="1:14" x14ac:dyDescent="0.25">
      <c r="A12" s="207" t="s">
        <v>731</v>
      </c>
      <c r="B12" s="207" t="s">
        <v>1860</v>
      </c>
      <c r="C12" s="207" t="s">
        <v>2275</v>
      </c>
      <c r="D12" s="208" t="s">
        <v>1874</v>
      </c>
      <c r="E12" s="208" t="str">
        <f t="shared" si="0"/>
        <v>-&gt;</v>
      </c>
      <c r="F12" s="208" t="s">
        <v>2277</v>
      </c>
      <c r="H12" s="216"/>
      <c r="M12" s="217" t="s">
        <v>1963</v>
      </c>
      <c r="N12" s="208">
        <f t="shared" si="2"/>
        <v>103</v>
      </c>
    </row>
    <row r="13" spans="1:14" x14ac:dyDescent="0.25">
      <c r="D13" s="208" t="s">
        <v>1875</v>
      </c>
      <c r="N13" s="208" t="str">
        <f t="shared" si="2"/>
        <v>.</v>
      </c>
    </row>
    <row r="14" spans="1:14" x14ac:dyDescent="0.25">
      <c r="D14" s="208" t="s">
        <v>1876</v>
      </c>
      <c r="N14" s="208" t="str">
        <f t="shared" si="2"/>
        <v>.</v>
      </c>
    </row>
    <row r="15" spans="1:14" x14ac:dyDescent="0.25">
      <c r="A15" s="213" t="s">
        <v>0</v>
      </c>
      <c r="B15" s="213" t="s">
        <v>2173</v>
      </c>
      <c r="D15" s="208" t="s">
        <v>1877</v>
      </c>
      <c r="N15" s="208" t="str">
        <f t="shared" si="2"/>
        <v>.</v>
      </c>
    </row>
    <row r="16" spans="1:14" x14ac:dyDescent="0.25">
      <c r="A16" s="207" t="s">
        <v>732</v>
      </c>
      <c r="B16" s="207" t="s">
        <v>1429</v>
      </c>
      <c r="C16" s="207" t="s">
        <v>1429</v>
      </c>
      <c r="D16" s="208" t="s">
        <v>1878</v>
      </c>
      <c r="M16" s="217" t="s">
        <v>1964</v>
      </c>
      <c r="N16" s="208">
        <f t="shared" si="2"/>
        <v>104</v>
      </c>
    </row>
    <row r="17" spans="1:14" x14ac:dyDescent="0.25">
      <c r="A17" s="213" t="s">
        <v>1</v>
      </c>
      <c r="B17" s="213" t="s">
        <v>2173</v>
      </c>
      <c r="D17" s="208" t="s">
        <v>1879</v>
      </c>
      <c r="N17" s="208" t="str">
        <f t="shared" si="2"/>
        <v>.</v>
      </c>
    </row>
    <row r="18" spans="1:14" x14ac:dyDescent="0.25">
      <c r="A18" s="207" t="s">
        <v>77</v>
      </c>
      <c r="D18" s="208" t="s">
        <v>1880</v>
      </c>
      <c r="N18" s="208" t="str">
        <f t="shared" si="2"/>
        <v>.</v>
      </c>
    </row>
    <row r="19" spans="1:14" x14ac:dyDescent="0.25">
      <c r="A19" s="207" t="s">
        <v>78</v>
      </c>
      <c r="D19" s="208" t="s">
        <v>1881</v>
      </c>
      <c r="N19" s="208" t="str">
        <f t="shared" si="2"/>
        <v>.</v>
      </c>
    </row>
    <row r="20" spans="1:14" x14ac:dyDescent="0.25">
      <c r="A20" s="207" t="s">
        <v>1862</v>
      </c>
      <c r="B20" s="207" t="s">
        <v>1861</v>
      </c>
      <c r="C20" s="207" t="s">
        <v>723</v>
      </c>
      <c r="D20" s="208" t="s">
        <v>1882</v>
      </c>
      <c r="M20" s="217" t="s">
        <v>1965</v>
      </c>
      <c r="N20" s="208">
        <f t="shared" si="2"/>
        <v>111</v>
      </c>
    </row>
    <row r="21" spans="1:14" x14ac:dyDescent="0.25">
      <c r="A21" s="207" t="s">
        <v>1863</v>
      </c>
      <c r="B21" s="207" t="s">
        <v>1864</v>
      </c>
      <c r="C21" s="207" t="s">
        <v>724</v>
      </c>
      <c r="D21" s="208" t="s">
        <v>1883</v>
      </c>
      <c r="M21" s="217" t="s">
        <v>1966</v>
      </c>
      <c r="N21" s="208">
        <f t="shared" si="2"/>
        <v>112</v>
      </c>
    </row>
    <row r="22" spans="1:14" x14ac:dyDescent="0.25">
      <c r="A22" s="207" t="s">
        <v>2141</v>
      </c>
      <c r="B22" s="207" t="s">
        <v>1865</v>
      </c>
      <c r="D22" s="208" t="s">
        <v>1884</v>
      </c>
      <c r="N22" s="208" t="str">
        <f t="shared" si="2"/>
        <v>.</v>
      </c>
    </row>
    <row r="23" spans="1:14" x14ac:dyDescent="0.25">
      <c r="D23" s="208" t="s">
        <v>1885</v>
      </c>
      <c r="N23" s="208" t="str">
        <f t="shared" si="2"/>
        <v>.</v>
      </c>
    </row>
    <row r="24" spans="1:14" x14ac:dyDescent="0.25">
      <c r="A24" s="211" t="s">
        <v>2144</v>
      </c>
      <c r="B24" s="211" t="s">
        <v>2173</v>
      </c>
      <c r="C24" s="210"/>
      <c r="D24" s="208" t="s">
        <v>1886</v>
      </c>
      <c r="N24" s="208" t="str">
        <f t="shared" si="2"/>
        <v>.</v>
      </c>
    </row>
    <row r="25" spans="1:14" x14ac:dyDescent="0.25">
      <c r="A25" s="211" t="s">
        <v>2145</v>
      </c>
      <c r="B25" s="211" t="s">
        <v>2173</v>
      </c>
      <c r="C25" s="210"/>
      <c r="D25" s="208" t="s">
        <v>1887</v>
      </c>
      <c r="N25" s="208" t="str">
        <f t="shared" si="2"/>
        <v>.</v>
      </c>
    </row>
    <row r="26" spans="1:14" x14ac:dyDescent="0.25">
      <c r="A26" s="211" t="s">
        <v>2146</v>
      </c>
      <c r="B26" s="211" t="s">
        <v>2173</v>
      </c>
      <c r="C26" s="210"/>
      <c r="D26" s="208" t="s">
        <v>1888</v>
      </c>
      <c r="N26" s="208" t="str">
        <f t="shared" si="2"/>
        <v>.</v>
      </c>
    </row>
    <row r="27" spans="1:14" x14ac:dyDescent="0.25">
      <c r="A27" s="211" t="s">
        <v>2147</v>
      </c>
      <c r="B27" s="211" t="s">
        <v>2173</v>
      </c>
      <c r="C27" s="210"/>
      <c r="D27" s="208" t="s">
        <v>1889</v>
      </c>
      <c r="N27" s="208" t="str">
        <f t="shared" si="2"/>
        <v>.</v>
      </c>
    </row>
    <row r="28" spans="1:14" x14ac:dyDescent="0.25">
      <c r="A28" s="211" t="s">
        <v>2148</v>
      </c>
      <c r="B28" s="211" t="s">
        <v>2173</v>
      </c>
      <c r="C28" s="210"/>
      <c r="D28" s="208" t="s">
        <v>1890</v>
      </c>
      <c r="N28" s="208" t="str">
        <f t="shared" si="2"/>
        <v>.</v>
      </c>
    </row>
    <row r="29" spans="1:14" x14ac:dyDescent="0.25">
      <c r="A29" s="207" t="s">
        <v>2142</v>
      </c>
      <c r="D29" s="208" t="s">
        <v>1891</v>
      </c>
      <c r="N29" s="208" t="str">
        <f t="shared" si="2"/>
        <v>.</v>
      </c>
    </row>
    <row r="30" spans="1:14" x14ac:dyDescent="0.25">
      <c r="A30" s="207" t="s">
        <v>2143</v>
      </c>
      <c r="D30" s="208" t="s">
        <v>1892</v>
      </c>
      <c r="N30" s="208" t="str">
        <f t="shared" si="2"/>
        <v>.</v>
      </c>
    </row>
    <row r="31" spans="1:14" x14ac:dyDescent="0.25">
      <c r="D31" s="208" t="s">
        <v>1893</v>
      </c>
      <c r="N31" s="208" t="str">
        <f t="shared" si="2"/>
        <v>.</v>
      </c>
    </row>
    <row r="32" spans="1:14" x14ac:dyDescent="0.25">
      <c r="D32" s="208" t="s">
        <v>1894</v>
      </c>
      <c r="N32" s="208" t="str">
        <f t="shared" si="2"/>
        <v>.</v>
      </c>
    </row>
    <row r="33" spans="1:14" x14ac:dyDescent="0.25">
      <c r="D33" s="208" t="s">
        <v>1895</v>
      </c>
      <c r="N33" s="208" t="str">
        <f t="shared" si="2"/>
        <v>.</v>
      </c>
    </row>
    <row r="34" spans="1:14" x14ac:dyDescent="0.25">
      <c r="D34" s="208" t="s">
        <v>1896</v>
      </c>
      <c r="N34" s="208" t="str">
        <f t="shared" si="2"/>
        <v>.</v>
      </c>
    </row>
    <row r="35" spans="1:14" x14ac:dyDescent="0.25">
      <c r="D35" s="208" t="s">
        <v>1897</v>
      </c>
      <c r="N35" s="208" t="str">
        <f t="shared" si="2"/>
        <v>.</v>
      </c>
    </row>
    <row r="36" spans="1:14" x14ac:dyDescent="0.25">
      <c r="D36" s="208" t="s">
        <v>1898</v>
      </c>
      <c r="N36" s="208" t="str">
        <f t="shared" si="2"/>
        <v>.</v>
      </c>
    </row>
    <row r="37" spans="1:14" x14ac:dyDescent="0.25">
      <c r="D37" s="208" t="s">
        <v>1899</v>
      </c>
      <c r="N37" s="208" t="str">
        <f t="shared" si="2"/>
        <v>.</v>
      </c>
    </row>
    <row r="38" spans="1:14" x14ac:dyDescent="0.25">
      <c r="A38" s="207" t="s">
        <v>808</v>
      </c>
      <c r="D38" s="208" t="s">
        <v>1900</v>
      </c>
      <c r="M38" s="217" t="s">
        <v>1967</v>
      </c>
      <c r="N38" s="208">
        <f t="shared" si="2"/>
        <v>123</v>
      </c>
    </row>
    <row r="39" spans="1:14" x14ac:dyDescent="0.25">
      <c r="A39" s="207" t="s">
        <v>809</v>
      </c>
      <c r="D39" s="208" t="s">
        <v>1901</v>
      </c>
      <c r="M39" s="217" t="s">
        <v>1968</v>
      </c>
      <c r="N39" s="208">
        <f t="shared" si="2"/>
        <v>124</v>
      </c>
    </row>
    <row r="40" spans="1:14" x14ac:dyDescent="0.25">
      <c r="A40" s="207" t="s">
        <v>810</v>
      </c>
      <c r="D40" s="208" t="s">
        <v>1902</v>
      </c>
      <c r="M40" s="217" t="s">
        <v>1969</v>
      </c>
      <c r="N40" s="208">
        <f t="shared" si="2"/>
        <v>125</v>
      </c>
    </row>
    <row r="41" spans="1:14" x14ac:dyDescent="0.25">
      <c r="A41" s="207" t="s">
        <v>811</v>
      </c>
      <c r="D41" s="208" t="s">
        <v>1903</v>
      </c>
      <c r="M41" s="217" t="s">
        <v>1970</v>
      </c>
      <c r="N41" s="208">
        <f t="shared" si="2"/>
        <v>126</v>
      </c>
    </row>
    <row r="42" spans="1:14" x14ac:dyDescent="0.25">
      <c r="A42" s="207" t="s">
        <v>812</v>
      </c>
      <c r="D42" s="208" t="s">
        <v>1904</v>
      </c>
      <c r="M42" s="217" t="s">
        <v>1971</v>
      </c>
      <c r="N42" s="208">
        <f t="shared" si="2"/>
        <v>127</v>
      </c>
    </row>
    <row r="43" spans="1:14" x14ac:dyDescent="0.25">
      <c r="A43" s="207" t="s">
        <v>813</v>
      </c>
      <c r="D43" s="208" t="s">
        <v>1905</v>
      </c>
      <c r="M43" s="217" t="s">
        <v>1972</v>
      </c>
      <c r="N43" s="208">
        <f t="shared" si="2"/>
        <v>128</v>
      </c>
    </row>
    <row r="44" spans="1:14" x14ac:dyDescent="0.25">
      <c r="A44" s="207" t="s">
        <v>1866</v>
      </c>
      <c r="D44" s="208" t="s">
        <v>1906</v>
      </c>
      <c r="N44" s="208" t="str">
        <f t="shared" si="2"/>
        <v>.</v>
      </c>
    </row>
    <row r="45" spans="1:14" x14ac:dyDescent="0.25">
      <c r="A45" s="207" t="s">
        <v>1867</v>
      </c>
      <c r="D45" s="208" t="s">
        <v>1907</v>
      </c>
      <c r="N45" s="208" t="str">
        <f t="shared" si="2"/>
        <v>.</v>
      </c>
    </row>
    <row r="46" spans="1:14" x14ac:dyDescent="0.25">
      <c r="A46" s="207" t="s">
        <v>736</v>
      </c>
      <c r="B46" s="207" t="s">
        <v>1956</v>
      </c>
      <c r="C46" s="207" t="s">
        <v>2279</v>
      </c>
      <c r="D46" s="208" t="s">
        <v>1908</v>
      </c>
      <c r="E46" s="208" t="str">
        <f t="shared" ref="E46:E55" si="3">"-&gt;"</f>
        <v>-&gt;</v>
      </c>
      <c r="F46" s="208" t="s">
        <v>1997</v>
      </c>
      <c r="G46" s="208" t="str">
        <f t="shared" ref="G46" si="4">"="</f>
        <v>=</v>
      </c>
      <c r="H46" s="208" t="str">
        <f>"WR1.in."&amp;MID(F46,9,4)</f>
        <v>WR1.in.B.01</v>
      </c>
      <c r="M46" s="217" t="s">
        <v>2032</v>
      </c>
      <c r="N46" s="208">
        <f t="shared" si="2"/>
        <v>19</v>
      </c>
    </row>
    <row r="47" spans="1:14" x14ac:dyDescent="0.25">
      <c r="D47" s="208" t="s">
        <v>1909</v>
      </c>
      <c r="N47" s="208" t="str">
        <f t="shared" si="2"/>
        <v>.</v>
      </c>
    </row>
    <row r="48" spans="1:14" x14ac:dyDescent="0.25">
      <c r="A48" s="207" t="s">
        <v>2176</v>
      </c>
      <c r="C48" s="207" t="s">
        <v>823</v>
      </c>
      <c r="D48" s="208" t="s">
        <v>1910</v>
      </c>
      <c r="E48" s="208" t="str">
        <f t="shared" si="3"/>
        <v>-&gt;</v>
      </c>
      <c r="F48" s="208" t="s">
        <v>1998</v>
      </c>
      <c r="G48" s="208" t="str">
        <f t="shared" ref="G48:G49" si="5">"="</f>
        <v>=</v>
      </c>
      <c r="H48" s="208" t="str">
        <f>"WR1.in."&amp;MID(F48,9,4)</f>
        <v>WR1.in.B.02</v>
      </c>
      <c r="I48" s="208" t="str">
        <f t="shared" ref="I48:I55" si="6">"-&gt;"</f>
        <v>-&gt;</v>
      </c>
      <c r="J48" s="208" t="s">
        <v>2115</v>
      </c>
      <c r="K48" s="208" t="str">
        <f t="shared" ref="K48:K49" si="7">"="</f>
        <v>=</v>
      </c>
      <c r="L48" s="208" t="str">
        <f>"WR2.in."&amp;MID(J48,9,4)</f>
        <v>WR2.in.C.02</v>
      </c>
      <c r="M48" s="217" t="s">
        <v>2127</v>
      </c>
      <c r="N48" s="208">
        <f t="shared" si="2"/>
        <v>56</v>
      </c>
    </row>
    <row r="49" spans="1:14" x14ac:dyDescent="0.25">
      <c r="A49" s="207" t="s">
        <v>2007</v>
      </c>
      <c r="C49" s="207" t="s">
        <v>824</v>
      </c>
      <c r="D49" s="208" t="s">
        <v>1911</v>
      </c>
      <c r="E49" s="208" t="str">
        <f t="shared" si="3"/>
        <v>-&gt;</v>
      </c>
      <c r="F49" s="208" t="s">
        <v>2011</v>
      </c>
      <c r="G49" s="208" t="str">
        <f t="shared" si="5"/>
        <v>=</v>
      </c>
      <c r="H49" s="208" t="str">
        <f>"WR1.in."&amp;MID(F49,9,4)</f>
        <v>WR1.in.B.03</v>
      </c>
      <c r="I49" s="208" t="str">
        <f t="shared" si="6"/>
        <v>-&gt;</v>
      </c>
      <c r="J49" s="208" t="s">
        <v>2219</v>
      </c>
      <c r="K49" s="208" t="str">
        <f t="shared" si="7"/>
        <v>=</v>
      </c>
      <c r="L49" s="208" t="str">
        <f>"WR2.in."&amp;MID(J49,9,4)</f>
        <v>WR2.in.C.08</v>
      </c>
      <c r="M49" s="217" t="s">
        <v>2126</v>
      </c>
      <c r="N49" s="208">
        <f t="shared" si="2"/>
        <v>55</v>
      </c>
    </row>
    <row r="50" spans="1:14" x14ac:dyDescent="0.25">
      <c r="D50" s="208" t="s">
        <v>1912</v>
      </c>
      <c r="N50" s="208" t="str">
        <f t="shared" si="2"/>
        <v>.</v>
      </c>
    </row>
    <row r="51" spans="1:14" x14ac:dyDescent="0.25">
      <c r="A51" s="207" t="s">
        <v>2175</v>
      </c>
      <c r="C51" s="207" t="s">
        <v>826</v>
      </c>
      <c r="D51" s="208" t="s">
        <v>1913</v>
      </c>
      <c r="E51" s="208" t="str">
        <f t="shared" si="3"/>
        <v>-&gt;</v>
      </c>
      <c r="F51" s="208" t="s">
        <v>2012</v>
      </c>
      <c r="G51" s="208" t="str">
        <f t="shared" ref="G51:G70" si="8">"="</f>
        <v>=</v>
      </c>
      <c r="H51" s="208" t="str">
        <f t="shared" ref="H51:H70" si="9">"WR1.in."&amp;MID(F51,9,4)</f>
        <v>WR1.in.B.04</v>
      </c>
      <c r="I51" s="208" t="str">
        <f t="shared" si="6"/>
        <v>-&gt;</v>
      </c>
      <c r="J51" s="208" t="s">
        <v>2116</v>
      </c>
      <c r="K51" s="208" t="str">
        <f t="shared" ref="K51:K55" si="10">"="</f>
        <v>=</v>
      </c>
      <c r="L51" s="208" t="str">
        <f t="shared" ref="L51:L55" si="11">"WR2.in."&amp;MID(J51,9,4)</f>
        <v>WR2.in.C.03</v>
      </c>
      <c r="M51" s="217" t="s">
        <v>2125</v>
      </c>
      <c r="N51" s="208">
        <f t="shared" si="2"/>
        <v>54</v>
      </c>
    </row>
    <row r="52" spans="1:14" x14ac:dyDescent="0.25">
      <c r="A52" s="207" t="s">
        <v>2158</v>
      </c>
      <c r="C52" s="207" t="s">
        <v>827</v>
      </c>
      <c r="D52" s="208" t="s">
        <v>1914</v>
      </c>
      <c r="E52" s="208" t="str">
        <f t="shared" si="3"/>
        <v>-&gt;</v>
      </c>
      <c r="F52" s="208" t="s">
        <v>2013</v>
      </c>
      <c r="G52" s="208" t="str">
        <f t="shared" si="8"/>
        <v>=</v>
      </c>
      <c r="H52" s="208" t="str">
        <f t="shared" si="9"/>
        <v>WR1.in.B.05</v>
      </c>
      <c r="I52" s="208" t="str">
        <f t="shared" si="6"/>
        <v>-&gt;</v>
      </c>
      <c r="J52" s="208" t="s">
        <v>2117</v>
      </c>
      <c r="K52" s="208" t="str">
        <f t="shared" si="10"/>
        <v>=</v>
      </c>
      <c r="L52" s="208" t="str">
        <f t="shared" si="11"/>
        <v>WR2.in.C.04</v>
      </c>
      <c r="M52" s="217" t="s">
        <v>2121</v>
      </c>
      <c r="N52" s="208">
        <f t="shared" si="2"/>
        <v>50</v>
      </c>
    </row>
    <row r="53" spans="1:14" x14ac:dyDescent="0.25">
      <c r="A53" s="207" t="s">
        <v>2008</v>
      </c>
      <c r="C53" s="207" t="s">
        <v>828</v>
      </c>
      <c r="D53" s="208" t="s">
        <v>1915</v>
      </c>
      <c r="E53" s="208" t="str">
        <f t="shared" si="3"/>
        <v>-&gt;</v>
      </c>
      <c r="F53" s="208" t="s">
        <v>2014</v>
      </c>
      <c r="G53" s="208" t="str">
        <f t="shared" si="8"/>
        <v>=</v>
      </c>
      <c r="H53" s="208" t="str">
        <f t="shared" si="9"/>
        <v>WR1.in.B.06</v>
      </c>
      <c r="I53" s="208" t="str">
        <f t="shared" si="6"/>
        <v>-&gt;</v>
      </c>
      <c r="J53" s="208" t="s">
        <v>2118</v>
      </c>
      <c r="K53" s="208" t="str">
        <f t="shared" si="10"/>
        <v>=</v>
      </c>
      <c r="L53" s="208" t="str">
        <f t="shared" si="11"/>
        <v>WR2.in.C.05</v>
      </c>
      <c r="M53" s="217" t="s">
        <v>2122</v>
      </c>
      <c r="N53" s="208">
        <f t="shared" si="2"/>
        <v>51</v>
      </c>
    </row>
    <row r="54" spans="1:14" x14ac:dyDescent="0.25">
      <c r="A54" s="207" t="s">
        <v>2009</v>
      </c>
      <c r="C54" s="207" t="s">
        <v>829</v>
      </c>
      <c r="D54" s="208" t="s">
        <v>1916</v>
      </c>
      <c r="E54" s="208" t="str">
        <f t="shared" si="3"/>
        <v>-&gt;</v>
      </c>
      <c r="F54" s="208" t="s">
        <v>2015</v>
      </c>
      <c r="G54" s="208" t="str">
        <f t="shared" si="8"/>
        <v>=</v>
      </c>
      <c r="H54" s="208" t="str">
        <f t="shared" si="9"/>
        <v>WR1.in.B.07</v>
      </c>
      <c r="I54" s="208" t="str">
        <f t="shared" si="6"/>
        <v>-&gt;</v>
      </c>
      <c r="J54" s="208" t="s">
        <v>2119</v>
      </c>
      <c r="K54" s="208" t="str">
        <f t="shared" si="10"/>
        <v>=</v>
      </c>
      <c r="L54" s="208" t="str">
        <f t="shared" si="11"/>
        <v>WR2.in.C.06</v>
      </c>
      <c r="M54" s="217" t="s">
        <v>2123</v>
      </c>
      <c r="N54" s="208">
        <f t="shared" si="2"/>
        <v>52</v>
      </c>
    </row>
    <row r="55" spans="1:14" x14ac:dyDescent="0.25">
      <c r="A55" s="207" t="s">
        <v>2010</v>
      </c>
      <c r="C55" s="207" t="s">
        <v>830</v>
      </c>
      <c r="D55" s="208" t="s">
        <v>1917</v>
      </c>
      <c r="E55" s="208" t="str">
        <f t="shared" si="3"/>
        <v>-&gt;</v>
      </c>
      <c r="F55" s="208" t="s">
        <v>2016</v>
      </c>
      <c r="G55" s="208" t="str">
        <f t="shared" si="8"/>
        <v>=</v>
      </c>
      <c r="H55" s="208" t="str">
        <f t="shared" si="9"/>
        <v>WR1.in.B.08</v>
      </c>
      <c r="I55" s="208" t="str">
        <f t="shared" si="6"/>
        <v>-&gt;</v>
      </c>
      <c r="J55" s="208" t="s">
        <v>2120</v>
      </c>
      <c r="K55" s="208" t="str">
        <f t="shared" si="10"/>
        <v>=</v>
      </c>
      <c r="L55" s="208" t="str">
        <f t="shared" si="11"/>
        <v>WR2.in.C.07</v>
      </c>
      <c r="M55" s="217" t="s">
        <v>2124</v>
      </c>
      <c r="N55" s="208">
        <f t="shared" si="2"/>
        <v>53</v>
      </c>
    </row>
    <row r="56" spans="1:14" x14ac:dyDescent="0.25">
      <c r="A56" s="207" t="s">
        <v>1379</v>
      </c>
      <c r="B56" s="207" t="s">
        <v>2140</v>
      </c>
      <c r="C56" s="207" t="s">
        <v>2298</v>
      </c>
      <c r="D56" s="208" t="s">
        <v>1918</v>
      </c>
      <c r="E56" s="208" t="str">
        <f t="shared" ref="E56:E61" si="12">"-&gt;"</f>
        <v>-&gt;</v>
      </c>
      <c r="F56" s="208" t="s">
        <v>2017</v>
      </c>
      <c r="G56" s="208" t="str">
        <f t="shared" si="8"/>
        <v>=</v>
      </c>
      <c r="H56" s="208" t="str">
        <f t="shared" si="9"/>
        <v>WR1.in.B.09</v>
      </c>
      <c r="M56" s="217" t="s">
        <v>2027</v>
      </c>
      <c r="N56" s="208">
        <f t="shared" si="2"/>
        <v>13</v>
      </c>
    </row>
    <row r="57" spans="1:14" x14ac:dyDescent="0.25">
      <c r="A57" s="207" t="s">
        <v>1380</v>
      </c>
      <c r="B57" s="207" t="s">
        <v>2140</v>
      </c>
      <c r="C57" s="207" t="s">
        <v>2299</v>
      </c>
      <c r="D57" s="208" t="s">
        <v>1919</v>
      </c>
      <c r="E57" s="208" t="str">
        <f t="shared" si="12"/>
        <v>-&gt;</v>
      </c>
      <c r="F57" s="208" t="s">
        <v>2018</v>
      </c>
      <c r="G57" s="208" t="str">
        <f t="shared" si="8"/>
        <v>=</v>
      </c>
      <c r="H57" s="208" t="str">
        <f t="shared" si="9"/>
        <v>WR1.in.B.10</v>
      </c>
      <c r="M57" s="217" t="s">
        <v>2028</v>
      </c>
      <c r="N57" s="208">
        <f t="shared" si="2"/>
        <v>14</v>
      </c>
    </row>
    <row r="58" spans="1:14" x14ac:dyDescent="0.25">
      <c r="A58" s="207" t="s">
        <v>1381</v>
      </c>
      <c r="B58" s="207" t="s">
        <v>2140</v>
      </c>
      <c r="C58" s="207" t="s">
        <v>2300</v>
      </c>
      <c r="D58" s="208" t="s">
        <v>1920</v>
      </c>
      <c r="E58" s="208" t="str">
        <f t="shared" si="12"/>
        <v>-&gt;</v>
      </c>
      <c r="F58" s="208" t="s">
        <v>2019</v>
      </c>
      <c r="G58" s="208" t="str">
        <f t="shared" si="8"/>
        <v>=</v>
      </c>
      <c r="H58" s="208" t="str">
        <f t="shared" si="9"/>
        <v>WR1.in.B.11</v>
      </c>
      <c r="M58" s="217" t="s">
        <v>2029</v>
      </c>
      <c r="N58" s="208">
        <f t="shared" si="2"/>
        <v>15</v>
      </c>
    </row>
    <row r="59" spans="1:14" x14ac:dyDescent="0.25">
      <c r="A59" s="207" t="s">
        <v>1382</v>
      </c>
      <c r="B59" s="207" t="s">
        <v>2140</v>
      </c>
      <c r="C59" s="207" t="s">
        <v>2301</v>
      </c>
      <c r="D59" s="208" t="s">
        <v>1921</v>
      </c>
      <c r="E59" s="208" t="str">
        <f t="shared" si="12"/>
        <v>-&gt;</v>
      </c>
      <c r="F59" s="208" t="s">
        <v>2020</v>
      </c>
      <c r="G59" s="208" t="str">
        <f t="shared" si="8"/>
        <v>=</v>
      </c>
      <c r="H59" s="208" t="str">
        <f t="shared" si="9"/>
        <v>WR1.in.B.12</v>
      </c>
      <c r="M59" s="217" t="s">
        <v>2030</v>
      </c>
      <c r="N59" s="208">
        <f t="shared" si="2"/>
        <v>16</v>
      </c>
    </row>
    <row r="60" spans="1:14" x14ac:dyDescent="0.25">
      <c r="A60" s="207" t="s">
        <v>1383</v>
      </c>
      <c r="B60" s="207" t="s">
        <v>2140</v>
      </c>
      <c r="C60" s="207" t="s">
        <v>2280</v>
      </c>
      <c r="D60" s="208" t="s">
        <v>1922</v>
      </c>
      <c r="E60" s="208" t="str">
        <f t="shared" si="12"/>
        <v>-&gt;</v>
      </c>
      <c r="F60" s="208" t="s">
        <v>2021</v>
      </c>
      <c r="G60" s="208" t="str">
        <f t="shared" si="8"/>
        <v>=</v>
      </c>
      <c r="H60" s="208" t="str">
        <f t="shared" si="9"/>
        <v>WR1.in.B.13</v>
      </c>
      <c r="M60" s="217" t="s">
        <v>2031</v>
      </c>
      <c r="N60" s="208">
        <f t="shared" si="2"/>
        <v>17</v>
      </c>
    </row>
    <row r="61" spans="1:14" x14ac:dyDescent="0.25">
      <c r="A61" s="207" t="s">
        <v>739</v>
      </c>
      <c r="B61" s="207" t="s">
        <v>2140</v>
      </c>
      <c r="C61" s="207" t="s">
        <v>2281</v>
      </c>
      <c r="D61" s="208" t="s">
        <v>1923</v>
      </c>
      <c r="E61" s="208" t="str">
        <f t="shared" si="12"/>
        <v>-&gt;</v>
      </c>
      <c r="F61" s="208" t="s">
        <v>2022</v>
      </c>
      <c r="G61" s="208" t="str">
        <f t="shared" si="8"/>
        <v>=</v>
      </c>
      <c r="H61" s="208" t="str">
        <f t="shared" si="9"/>
        <v>WR1.in.B.14</v>
      </c>
      <c r="M61" s="217" t="s">
        <v>2149</v>
      </c>
      <c r="N61" s="208">
        <f t="shared" si="2"/>
        <v>20</v>
      </c>
    </row>
    <row r="62" spans="1:14" ht="30" x14ac:dyDescent="0.25">
      <c r="A62" s="207" t="s">
        <v>2001</v>
      </c>
      <c r="B62" s="207" t="s">
        <v>1977</v>
      </c>
      <c r="C62" s="214" t="s">
        <v>2210</v>
      </c>
      <c r="D62" s="208" t="s">
        <v>1924</v>
      </c>
      <c r="E62" s="208" t="str">
        <f t="shared" ref="E62:I70" si="13">"-&gt;"</f>
        <v>-&gt;</v>
      </c>
      <c r="F62" s="208" t="s">
        <v>1992</v>
      </c>
      <c r="G62" s="208" t="str">
        <f t="shared" si="8"/>
        <v>=</v>
      </c>
      <c r="H62" s="208" t="str">
        <f t="shared" si="9"/>
        <v>WR1.in.B.15</v>
      </c>
      <c r="M62" s="218" t="s">
        <v>2202</v>
      </c>
      <c r="N62" s="208">
        <f t="shared" si="2"/>
        <v>5</v>
      </c>
    </row>
    <row r="63" spans="1:14" ht="30" x14ac:dyDescent="0.25">
      <c r="A63" s="207" t="s">
        <v>2002</v>
      </c>
      <c r="B63" s="207" t="s">
        <v>1979</v>
      </c>
      <c r="C63" s="214" t="s">
        <v>2211</v>
      </c>
      <c r="D63" s="208" t="s">
        <v>1925</v>
      </c>
      <c r="E63" s="208" t="str">
        <f t="shared" si="13"/>
        <v>-&gt;</v>
      </c>
      <c r="F63" s="208" t="s">
        <v>1993</v>
      </c>
      <c r="G63" s="208" t="str">
        <f t="shared" si="8"/>
        <v>=</v>
      </c>
      <c r="H63" s="208" t="str">
        <f t="shared" si="9"/>
        <v>WR1.in.B.16</v>
      </c>
      <c r="M63" s="218" t="s">
        <v>2203</v>
      </c>
      <c r="N63" s="208">
        <f t="shared" si="2"/>
        <v>6</v>
      </c>
    </row>
    <row r="64" spans="1:14" ht="30" x14ac:dyDescent="0.25">
      <c r="A64" s="207" t="s">
        <v>2003</v>
      </c>
      <c r="B64" s="207" t="s">
        <v>1979</v>
      </c>
      <c r="C64" s="214" t="s">
        <v>2212</v>
      </c>
      <c r="D64" s="208" t="s">
        <v>1926</v>
      </c>
      <c r="E64" s="208" t="str">
        <f t="shared" si="13"/>
        <v>-&gt;</v>
      </c>
      <c r="F64" s="208" t="s">
        <v>1994</v>
      </c>
      <c r="G64" s="208" t="str">
        <f t="shared" si="8"/>
        <v>=</v>
      </c>
      <c r="H64" s="208" t="str">
        <f t="shared" si="9"/>
        <v>WR1.in.B.17</v>
      </c>
      <c r="M64" s="218" t="s">
        <v>2204</v>
      </c>
      <c r="N64" s="208">
        <f t="shared" si="2"/>
        <v>7</v>
      </c>
    </row>
    <row r="65" spans="1:14" ht="30" x14ac:dyDescent="0.25">
      <c r="A65" s="207" t="s">
        <v>2004</v>
      </c>
      <c r="B65" s="207" t="s">
        <v>1978</v>
      </c>
      <c r="C65" s="214" t="s">
        <v>2213</v>
      </c>
      <c r="D65" s="208" t="s">
        <v>1927</v>
      </c>
      <c r="E65" s="208" t="str">
        <f t="shared" si="13"/>
        <v>-&gt;</v>
      </c>
      <c r="F65" s="208" t="s">
        <v>1995</v>
      </c>
      <c r="G65" s="208" t="str">
        <f t="shared" si="8"/>
        <v>=</v>
      </c>
      <c r="H65" s="208" t="str">
        <f t="shared" si="9"/>
        <v>WR1.in.B.18</v>
      </c>
      <c r="M65" s="218" t="s">
        <v>2205</v>
      </c>
      <c r="N65" s="208">
        <f t="shared" si="2"/>
        <v>8</v>
      </c>
    </row>
    <row r="66" spans="1:14" ht="30" x14ac:dyDescent="0.25">
      <c r="A66" s="207" t="s">
        <v>2005</v>
      </c>
      <c r="B66" s="207" t="s">
        <v>1980</v>
      </c>
      <c r="C66" s="214" t="s">
        <v>2214</v>
      </c>
      <c r="D66" s="208" t="s">
        <v>1928</v>
      </c>
      <c r="E66" s="208" t="str">
        <f t="shared" si="13"/>
        <v>-&gt;</v>
      </c>
      <c r="F66" s="208" t="s">
        <v>1996</v>
      </c>
      <c r="G66" s="208" t="str">
        <f t="shared" si="8"/>
        <v>=</v>
      </c>
      <c r="H66" s="208" t="str">
        <f t="shared" si="9"/>
        <v>WR1.in.B.19</v>
      </c>
      <c r="M66" s="218" t="s">
        <v>2206</v>
      </c>
      <c r="N66" s="208">
        <f t="shared" si="2"/>
        <v>9</v>
      </c>
    </row>
    <row r="67" spans="1:14" ht="30" x14ac:dyDescent="0.25">
      <c r="A67" s="207" t="s">
        <v>1999</v>
      </c>
      <c r="B67" s="207" t="s">
        <v>1982</v>
      </c>
      <c r="C67" s="214" t="s">
        <v>2215</v>
      </c>
      <c r="D67" s="208" t="s">
        <v>1929</v>
      </c>
      <c r="E67" s="208" t="str">
        <f t="shared" si="13"/>
        <v>-&gt;</v>
      </c>
      <c r="F67" s="208" t="s">
        <v>1987</v>
      </c>
      <c r="G67" s="208" t="str">
        <f t="shared" si="8"/>
        <v>=</v>
      </c>
      <c r="H67" s="208" t="str">
        <f t="shared" si="9"/>
        <v>WR1.in.B.20</v>
      </c>
      <c r="M67" s="218" t="s">
        <v>2207</v>
      </c>
      <c r="N67" s="208">
        <f t="shared" ref="N67:N137" si="14">IF(MID(M67,1,3)="X32",VALUE(MID(M67,8,2)+96),
 IF(MID(M67,1,3)="WR1",VALUE(MID(M67,8,2)+0),
 IF(MID(M67,1,3)="WR2",VALUE(MID(M67,8,2)+48),".")))</f>
        <v>10</v>
      </c>
    </row>
    <row r="68" spans="1:14" ht="30" x14ac:dyDescent="0.25">
      <c r="A68" s="207" t="s">
        <v>2000</v>
      </c>
      <c r="B68" s="207" t="s">
        <v>1982</v>
      </c>
      <c r="C68" s="214" t="s">
        <v>2216</v>
      </c>
      <c r="D68" s="208" t="s">
        <v>1930</v>
      </c>
      <c r="E68" s="208" t="str">
        <f t="shared" si="13"/>
        <v>-&gt;</v>
      </c>
      <c r="F68" s="208" t="s">
        <v>1988</v>
      </c>
      <c r="G68" s="208" t="str">
        <f t="shared" si="8"/>
        <v>=</v>
      </c>
      <c r="H68" s="208" t="str">
        <f t="shared" si="9"/>
        <v>WR1.in.B.21</v>
      </c>
      <c r="M68" s="218" t="s">
        <v>2208</v>
      </c>
      <c r="N68" s="208">
        <f t="shared" si="14"/>
        <v>11</v>
      </c>
    </row>
    <row r="69" spans="1:14" ht="30" x14ac:dyDescent="0.25">
      <c r="A69" s="207" t="s">
        <v>2006</v>
      </c>
      <c r="B69" s="207" t="s">
        <v>1981</v>
      </c>
      <c r="C69" s="214" t="s">
        <v>2217</v>
      </c>
      <c r="D69" s="208" t="s">
        <v>1931</v>
      </c>
      <c r="E69" s="208" t="str">
        <f t="shared" si="13"/>
        <v>-&gt;</v>
      </c>
      <c r="F69" s="208" t="s">
        <v>1989</v>
      </c>
      <c r="G69" s="208" t="str">
        <f t="shared" si="8"/>
        <v>=</v>
      </c>
      <c r="H69" s="208" t="str">
        <f t="shared" si="9"/>
        <v>WR1.in.B.22</v>
      </c>
      <c r="M69" s="218" t="s">
        <v>2209</v>
      </c>
      <c r="N69" s="208">
        <f t="shared" si="14"/>
        <v>12</v>
      </c>
    </row>
    <row r="70" spans="1:14" x14ac:dyDescent="0.25">
      <c r="A70" s="207" t="s">
        <v>2174</v>
      </c>
      <c r="C70" s="207" t="s">
        <v>2193</v>
      </c>
      <c r="D70" s="208" t="s">
        <v>1932</v>
      </c>
      <c r="E70" s="208" t="str">
        <f t="shared" si="13"/>
        <v>-&gt;</v>
      </c>
      <c r="F70" s="208" t="s">
        <v>1990</v>
      </c>
      <c r="G70" s="208" t="str">
        <f t="shared" si="8"/>
        <v>=</v>
      </c>
      <c r="H70" s="208" t="str">
        <f t="shared" si="9"/>
        <v>WR1.in.B.23</v>
      </c>
      <c r="I70" s="208" t="str">
        <f t="shared" si="13"/>
        <v>-&gt;</v>
      </c>
      <c r="J70" s="208" t="s">
        <v>2033</v>
      </c>
      <c r="K70" s="208" t="str">
        <f t="shared" ref="K70" si="15">"="</f>
        <v>=</v>
      </c>
      <c r="L70" s="208" t="str">
        <f>"WR2.in."&amp;MID(J70,9,4)</f>
        <v>WR2.in.C.01</v>
      </c>
      <c r="M70" s="217" t="s">
        <v>2114</v>
      </c>
      <c r="N70" s="208">
        <f t="shared" si="14"/>
        <v>49</v>
      </c>
    </row>
    <row r="71" spans="1:14" x14ac:dyDescent="0.25">
      <c r="D71" s="208" t="s">
        <v>1933</v>
      </c>
      <c r="N71" s="208" t="str">
        <f t="shared" si="14"/>
        <v>.</v>
      </c>
    </row>
    <row r="72" spans="1:14" x14ac:dyDescent="0.25">
      <c r="D72" s="208" t="s">
        <v>1934</v>
      </c>
      <c r="N72" s="208" t="str">
        <f t="shared" si="14"/>
        <v>.</v>
      </c>
    </row>
    <row r="73" spans="1:14" x14ac:dyDescent="0.25">
      <c r="D73" s="208" t="s">
        <v>1935</v>
      </c>
      <c r="N73" s="208" t="str">
        <f t="shared" si="14"/>
        <v>.</v>
      </c>
    </row>
    <row r="74" spans="1:14" x14ac:dyDescent="0.25">
      <c r="D74" s="208" t="s">
        <v>1936</v>
      </c>
      <c r="N74" s="208" t="str">
        <f t="shared" si="14"/>
        <v>.</v>
      </c>
    </row>
    <row r="75" spans="1:14" x14ac:dyDescent="0.25">
      <c r="D75" s="208" t="s">
        <v>1937</v>
      </c>
      <c r="N75" s="208" t="str">
        <f t="shared" si="14"/>
        <v>.</v>
      </c>
    </row>
    <row r="76" spans="1:14" x14ac:dyDescent="0.25">
      <c r="D76" s="208" t="s">
        <v>1938</v>
      </c>
      <c r="N76" s="208" t="str">
        <f t="shared" si="14"/>
        <v>.</v>
      </c>
    </row>
    <row r="77" spans="1:14" ht="45" x14ac:dyDescent="0.25">
      <c r="A77" s="207" t="s">
        <v>2159</v>
      </c>
      <c r="B77" s="207" t="s">
        <v>2160</v>
      </c>
      <c r="C77" s="214" t="s">
        <v>2218</v>
      </c>
      <c r="D77" s="208" t="s">
        <v>1939</v>
      </c>
      <c r="E77" s="208" t="str">
        <f t="shared" ref="E77" si="16">"-&gt;"</f>
        <v>-&gt;</v>
      </c>
      <c r="F77" s="208" t="s">
        <v>1991</v>
      </c>
      <c r="G77" s="208" t="str">
        <f t="shared" ref="G77" si="17">"="</f>
        <v>=</v>
      </c>
      <c r="H77" s="208" t="str">
        <f>"WR1.in."&amp;MID(F77,9,4)</f>
        <v>WR1.in.B.24</v>
      </c>
      <c r="M77" s="218" t="s">
        <v>2220</v>
      </c>
      <c r="N77" s="208">
        <f t="shared" si="14"/>
        <v>18</v>
      </c>
    </row>
    <row r="78" spans="1:14" x14ac:dyDescent="0.25">
      <c r="D78" s="208" t="s">
        <v>1940</v>
      </c>
      <c r="N78" s="208" t="str">
        <f t="shared" si="14"/>
        <v>.</v>
      </c>
    </row>
    <row r="79" spans="1:14" x14ac:dyDescent="0.25">
      <c r="D79" s="208" t="s">
        <v>1941</v>
      </c>
      <c r="N79" s="208" t="str">
        <f t="shared" si="14"/>
        <v>.</v>
      </c>
    </row>
    <row r="80" spans="1:14" x14ac:dyDescent="0.25">
      <c r="D80" s="208" t="s">
        <v>1942</v>
      </c>
      <c r="N80" s="208" t="str">
        <f t="shared" si="14"/>
        <v>.</v>
      </c>
    </row>
    <row r="81" spans="1:14" x14ac:dyDescent="0.25">
      <c r="D81" s="208" t="s">
        <v>1943</v>
      </c>
      <c r="N81" s="208" t="str">
        <f t="shared" si="14"/>
        <v>.</v>
      </c>
    </row>
    <row r="82" spans="1:14" x14ac:dyDescent="0.25">
      <c r="D82" s="208" t="s">
        <v>1944</v>
      </c>
      <c r="N82" s="208" t="str">
        <f t="shared" si="14"/>
        <v>.</v>
      </c>
    </row>
    <row r="83" spans="1:14" x14ac:dyDescent="0.25">
      <c r="D83" s="208" t="s">
        <v>1945</v>
      </c>
      <c r="N83" s="208" t="str">
        <f t="shared" si="14"/>
        <v>.</v>
      </c>
    </row>
    <row r="84" spans="1:14" x14ac:dyDescent="0.25">
      <c r="D84" s="208" t="s">
        <v>1946</v>
      </c>
      <c r="N84" s="208" t="str">
        <f t="shared" si="14"/>
        <v>.</v>
      </c>
    </row>
    <row r="85" spans="1:14" x14ac:dyDescent="0.25">
      <c r="D85" s="208" t="s">
        <v>1947</v>
      </c>
      <c r="N85" s="208" t="str">
        <f t="shared" si="14"/>
        <v>.</v>
      </c>
    </row>
    <row r="86" spans="1:14" x14ac:dyDescent="0.25">
      <c r="D86" s="208" t="s">
        <v>1948</v>
      </c>
      <c r="N86" s="208" t="str">
        <f t="shared" si="14"/>
        <v>.</v>
      </c>
    </row>
    <row r="87" spans="1:14" x14ac:dyDescent="0.25">
      <c r="D87" s="208" t="s">
        <v>1949</v>
      </c>
      <c r="N87" s="208" t="str">
        <f t="shared" si="14"/>
        <v>.</v>
      </c>
    </row>
    <row r="88" spans="1:14" x14ac:dyDescent="0.25">
      <c r="D88" s="208" t="s">
        <v>1950</v>
      </c>
      <c r="N88" s="208" t="str">
        <f t="shared" si="14"/>
        <v>.</v>
      </c>
    </row>
    <row r="89" spans="1:14" x14ac:dyDescent="0.25">
      <c r="D89" s="208" t="s">
        <v>1951</v>
      </c>
      <c r="N89" s="208" t="str">
        <f t="shared" si="14"/>
        <v>.</v>
      </c>
    </row>
    <row r="90" spans="1:14" x14ac:dyDescent="0.25">
      <c r="D90" s="208" t="s">
        <v>1952</v>
      </c>
      <c r="N90" s="208" t="str">
        <f t="shared" si="14"/>
        <v>.</v>
      </c>
    </row>
    <row r="91" spans="1:14" x14ac:dyDescent="0.25">
      <c r="D91" s="208" t="s">
        <v>1953</v>
      </c>
      <c r="N91" s="208" t="str">
        <f t="shared" si="14"/>
        <v>.</v>
      </c>
    </row>
    <row r="92" spans="1:14" x14ac:dyDescent="0.25">
      <c r="D92" s="208" t="s">
        <v>1954</v>
      </c>
      <c r="N92" s="208" t="str">
        <f t="shared" si="14"/>
        <v>.</v>
      </c>
    </row>
    <row r="93" spans="1:14" x14ac:dyDescent="0.25">
      <c r="D93" s="208" t="s">
        <v>1955</v>
      </c>
      <c r="N93" s="208" t="str">
        <f t="shared" si="14"/>
        <v>.</v>
      </c>
    </row>
    <row r="94" spans="1:14" x14ac:dyDescent="0.25">
      <c r="A94" s="211" t="s">
        <v>2144</v>
      </c>
      <c r="B94" s="211" t="s">
        <v>2173</v>
      </c>
      <c r="C94" s="211" t="s">
        <v>2293</v>
      </c>
      <c r="D94" s="208" t="s">
        <v>2034</v>
      </c>
      <c r="M94" s="217" t="s">
        <v>2152</v>
      </c>
      <c r="N94" s="208">
        <f t="shared" si="14"/>
        <v>23</v>
      </c>
    </row>
    <row r="95" spans="1:14" x14ac:dyDescent="0.25">
      <c r="A95" s="211" t="s">
        <v>2145</v>
      </c>
      <c r="B95" s="211" t="s">
        <v>2173</v>
      </c>
      <c r="C95" s="211" t="s">
        <v>2294</v>
      </c>
      <c r="D95" s="208" t="s">
        <v>2035</v>
      </c>
      <c r="M95" s="217" t="s">
        <v>2153</v>
      </c>
      <c r="N95" s="208">
        <f t="shared" si="14"/>
        <v>24</v>
      </c>
    </row>
    <row r="96" spans="1:14" x14ac:dyDescent="0.25">
      <c r="A96" s="211" t="s">
        <v>2146</v>
      </c>
      <c r="B96" s="211" t="s">
        <v>2173</v>
      </c>
      <c r="C96" s="211" t="s">
        <v>2295</v>
      </c>
      <c r="D96" s="208" t="s">
        <v>2036</v>
      </c>
      <c r="M96" s="217" t="s">
        <v>2161</v>
      </c>
      <c r="N96" s="208">
        <f t="shared" si="14"/>
        <v>25</v>
      </c>
    </row>
    <row r="97" spans="1:14" x14ac:dyDescent="0.25">
      <c r="A97" s="211" t="s">
        <v>2147</v>
      </c>
      <c r="B97" s="211" t="s">
        <v>2173</v>
      </c>
      <c r="C97" s="211" t="s">
        <v>2296</v>
      </c>
      <c r="D97" s="208" t="s">
        <v>2037</v>
      </c>
      <c r="M97" s="217" t="s">
        <v>2200</v>
      </c>
      <c r="N97" s="208">
        <f t="shared" si="14"/>
        <v>26</v>
      </c>
    </row>
    <row r="98" spans="1:14" x14ac:dyDescent="0.25">
      <c r="A98" s="211" t="s">
        <v>2148</v>
      </c>
      <c r="B98" s="211" t="s">
        <v>2173</v>
      </c>
      <c r="C98" s="211" t="s">
        <v>2297</v>
      </c>
      <c r="D98" s="208" t="s">
        <v>2038</v>
      </c>
      <c r="M98" s="217" t="s">
        <v>2201</v>
      </c>
      <c r="N98" s="208">
        <f t="shared" si="14"/>
        <v>27</v>
      </c>
    </row>
    <row r="99" spans="1:14" x14ac:dyDescent="0.25">
      <c r="A99" s="213" t="s">
        <v>0</v>
      </c>
      <c r="B99" s="213" t="s">
        <v>2173</v>
      </c>
      <c r="C99" s="213" t="s">
        <v>2282</v>
      </c>
      <c r="D99" s="208" t="s">
        <v>2039</v>
      </c>
      <c r="M99" s="217" t="s">
        <v>2150</v>
      </c>
      <c r="N99" s="208">
        <f t="shared" si="14"/>
        <v>21</v>
      </c>
    </row>
    <row r="100" spans="1:14" x14ac:dyDescent="0.25">
      <c r="A100" s="213" t="s">
        <v>1</v>
      </c>
      <c r="B100" s="213" t="s">
        <v>2173</v>
      </c>
      <c r="C100" s="213" t="s">
        <v>2283</v>
      </c>
      <c r="D100" s="208" t="s">
        <v>2040</v>
      </c>
      <c r="M100" s="217" t="s">
        <v>2151</v>
      </c>
      <c r="N100" s="208">
        <f t="shared" si="14"/>
        <v>22</v>
      </c>
    </row>
    <row r="101" spans="1:14" x14ac:dyDescent="0.25">
      <c r="D101" s="208" t="s">
        <v>2041</v>
      </c>
      <c r="N101" s="208" t="str">
        <f t="shared" si="14"/>
        <v>.</v>
      </c>
    </row>
    <row r="102" spans="1:14" x14ac:dyDescent="0.25">
      <c r="D102" s="208" t="s">
        <v>2042</v>
      </c>
      <c r="N102" s="208" t="str">
        <f t="shared" si="14"/>
        <v>.</v>
      </c>
    </row>
    <row r="103" spans="1:14" x14ac:dyDescent="0.25">
      <c r="D103" s="208" t="s">
        <v>2043</v>
      </c>
      <c r="N103" s="208" t="str">
        <f t="shared" si="14"/>
        <v>.</v>
      </c>
    </row>
    <row r="104" spans="1:14" x14ac:dyDescent="0.25">
      <c r="D104" s="208" t="s">
        <v>2044</v>
      </c>
      <c r="N104" s="208" t="str">
        <f t="shared" si="14"/>
        <v>.</v>
      </c>
    </row>
    <row r="105" spans="1:14" x14ac:dyDescent="0.25">
      <c r="D105" s="208" t="s">
        <v>2045</v>
      </c>
      <c r="N105" s="208" t="str">
        <f t="shared" si="14"/>
        <v>.</v>
      </c>
    </row>
    <row r="106" spans="1:14" x14ac:dyDescent="0.25">
      <c r="D106" s="208" t="s">
        <v>2046</v>
      </c>
      <c r="N106" s="208" t="str">
        <f t="shared" si="14"/>
        <v>.</v>
      </c>
    </row>
    <row r="107" spans="1:14" x14ac:dyDescent="0.25">
      <c r="D107" s="208" t="s">
        <v>2047</v>
      </c>
      <c r="N107" s="208" t="str">
        <f t="shared" si="14"/>
        <v>.</v>
      </c>
    </row>
    <row r="108" spans="1:14" x14ac:dyDescent="0.25">
      <c r="D108" s="208" t="s">
        <v>2048</v>
      </c>
      <c r="N108" s="208" t="str">
        <f t="shared" si="14"/>
        <v>.</v>
      </c>
    </row>
    <row r="109" spans="1:14" x14ac:dyDescent="0.25">
      <c r="D109" s="208" t="s">
        <v>2049</v>
      </c>
      <c r="N109" s="208" t="str">
        <f t="shared" si="14"/>
        <v>.</v>
      </c>
    </row>
    <row r="110" spans="1:14" x14ac:dyDescent="0.25">
      <c r="D110" s="208" t="s">
        <v>2050</v>
      </c>
      <c r="N110" s="208" t="str">
        <f t="shared" si="14"/>
        <v>.</v>
      </c>
    </row>
    <row r="111" spans="1:14" x14ac:dyDescent="0.25">
      <c r="D111" s="208" t="s">
        <v>2051</v>
      </c>
      <c r="N111" s="208" t="str">
        <f t="shared" si="14"/>
        <v>.</v>
      </c>
    </row>
    <row r="112" spans="1:14" x14ac:dyDescent="0.25">
      <c r="D112" s="208" t="s">
        <v>2052</v>
      </c>
      <c r="N112" s="208" t="str">
        <f t="shared" si="14"/>
        <v>.</v>
      </c>
    </row>
    <row r="113" spans="2:14" x14ac:dyDescent="0.25">
      <c r="D113" s="208" t="s">
        <v>2053</v>
      </c>
      <c r="N113" s="208" t="str">
        <f t="shared" si="14"/>
        <v>.</v>
      </c>
    </row>
    <row r="114" spans="2:14" x14ac:dyDescent="0.25">
      <c r="C114" s="207" t="s">
        <v>2221</v>
      </c>
      <c r="D114" s="208" t="s">
        <v>2054</v>
      </c>
      <c r="M114" s="217" t="s">
        <v>2226</v>
      </c>
      <c r="N114" s="215">
        <v>45</v>
      </c>
    </row>
    <row r="115" spans="2:14" x14ac:dyDescent="0.25">
      <c r="C115" s="207" t="s">
        <v>2222</v>
      </c>
      <c r="D115" s="208" t="s">
        <v>2055</v>
      </c>
      <c r="M115" s="217" t="s">
        <v>2227</v>
      </c>
      <c r="N115" s="215">
        <v>46</v>
      </c>
    </row>
    <row r="116" spans="2:14" x14ac:dyDescent="0.25">
      <c r="C116" s="207" t="s">
        <v>2223</v>
      </c>
      <c r="D116" s="208" t="s">
        <v>2056</v>
      </c>
      <c r="M116" s="217" t="s">
        <v>2228</v>
      </c>
      <c r="N116" s="215">
        <v>47</v>
      </c>
    </row>
    <row r="117" spans="2:14" x14ac:dyDescent="0.25">
      <c r="C117" s="207" t="s">
        <v>2224</v>
      </c>
      <c r="D117" s="208" t="s">
        <v>2057</v>
      </c>
      <c r="M117" s="217" t="s">
        <v>2229</v>
      </c>
      <c r="N117" s="215">
        <v>48</v>
      </c>
    </row>
    <row r="118" spans="2:14" x14ac:dyDescent="0.25">
      <c r="B118" s="207" t="s">
        <v>2255</v>
      </c>
      <c r="D118" s="208" t="s">
        <v>2247</v>
      </c>
    </row>
    <row r="119" spans="2:14" x14ac:dyDescent="0.25">
      <c r="B119" s="207" t="s">
        <v>2256</v>
      </c>
      <c r="D119" s="208" t="s">
        <v>2248</v>
      </c>
    </row>
    <row r="120" spans="2:14" x14ac:dyDescent="0.25">
      <c r="B120" s="207" t="s">
        <v>2257</v>
      </c>
      <c r="D120" s="208" t="s">
        <v>2249</v>
      </c>
    </row>
    <row r="121" spans="2:14" x14ac:dyDescent="0.25">
      <c r="B121" s="207" t="s">
        <v>2258</v>
      </c>
      <c r="D121" s="208" t="s">
        <v>2250</v>
      </c>
    </row>
    <row r="122" spans="2:14" x14ac:dyDescent="0.25">
      <c r="B122" s="207" t="s">
        <v>2259</v>
      </c>
      <c r="D122" s="208" t="s">
        <v>2251</v>
      </c>
    </row>
    <row r="123" spans="2:14" x14ac:dyDescent="0.25">
      <c r="B123" s="207" t="s">
        <v>2260</v>
      </c>
      <c r="D123" s="208" t="s">
        <v>2252</v>
      </c>
    </row>
    <row r="124" spans="2:14" x14ac:dyDescent="0.25">
      <c r="D124" s="208" t="s">
        <v>2253</v>
      </c>
    </row>
    <row r="125" spans="2:14" x14ac:dyDescent="0.25">
      <c r="B125" s="207" t="s">
        <v>2246</v>
      </c>
      <c r="D125" s="208" t="s">
        <v>2254</v>
      </c>
    </row>
    <row r="126" spans="2:14" x14ac:dyDescent="0.25">
      <c r="D126" s="208" t="s">
        <v>2058</v>
      </c>
      <c r="N126" s="208" t="str">
        <f t="shared" si="14"/>
        <v>.</v>
      </c>
    </row>
    <row r="127" spans="2:14" x14ac:dyDescent="0.25">
      <c r="D127" s="208" t="s">
        <v>2059</v>
      </c>
      <c r="N127" s="208" t="str">
        <f t="shared" si="14"/>
        <v>.</v>
      </c>
    </row>
    <row r="128" spans="2:14" x14ac:dyDescent="0.25">
      <c r="D128" s="208" t="s">
        <v>2060</v>
      </c>
      <c r="N128" s="208" t="str">
        <f t="shared" si="14"/>
        <v>.</v>
      </c>
    </row>
    <row r="129" spans="4:14" x14ac:dyDescent="0.25">
      <c r="D129" s="208" t="s">
        <v>2061</v>
      </c>
      <c r="N129" s="208" t="str">
        <f t="shared" si="14"/>
        <v>.</v>
      </c>
    </row>
    <row r="130" spans="4:14" x14ac:dyDescent="0.25">
      <c r="D130" s="208" t="s">
        <v>2062</v>
      </c>
      <c r="N130" s="208" t="str">
        <f t="shared" si="14"/>
        <v>.</v>
      </c>
    </row>
    <row r="131" spans="4:14" x14ac:dyDescent="0.25">
      <c r="D131" s="208" t="s">
        <v>2063</v>
      </c>
      <c r="N131" s="208" t="str">
        <f t="shared" si="14"/>
        <v>.</v>
      </c>
    </row>
    <row r="132" spans="4:14" x14ac:dyDescent="0.25">
      <c r="D132" s="208" t="s">
        <v>2064</v>
      </c>
      <c r="N132" s="208" t="str">
        <f t="shared" si="14"/>
        <v>.</v>
      </c>
    </row>
    <row r="133" spans="4:14" x14ac:dyDescent="0.25">
      <c r="D133" s="208" t="s">
        <v>2065</v>
      </c>
      <c r="N133" s="208" t="str">
        <f t="shared" si="14"/>
        <v>.</v>
      </c>
    </row>
    <row r="134" spans="4:14" x14ac:dyDescent="0.25">
      <c r="D134" s="208" t="s">
        <v>2066</v>
      </c>
      <c r="N134" s="208" t="str">
        <f t="shared" si="14"/>
        <v>.</v>
      </c>
    </row>
    <row r="135" spans="4:14" x14ac:dyDescent="0.25">
      <c r="D135" s="208" t="s">
        <v>2067</v>
      </c>
      <c r="N135" s="208" t="str">
        <f t="shared" si="14"/>
        <v>.</v>
      </c>
    </row>
    <row r="136" spans="4:14" x14ac:dyDescent="0.25">
      <c r="D136" s="208" t="s">
        <v>2068</v>
      </c>
      <c r="N136" s="208" t="str">
        <f t="shared" si="14"/>
        <v>.</v>
      </c>
    </row>
    <row r="137" spans="4:14" x14ac:dyDescent="0.25">
      <c r="D137" s="208" t="s">
        <v>2069</v>
      </c>
      <c r="N137" s="208" t="str">
        <f t="shared" si="14"/>
        <v>.</v>
      </c>
    </row>
    <row r="138" spans="4:14" x14ac:dyDescent="0.25">
      <c r="D138" s="208" t="s">
        <v>2070</v>
      </c>
      <c r="N138" s="208" t="str">
        <f t="shared" ref="N138:N181" si="18">IF(MID(M138,1,3)="X32",VALUE(MID(M138,8,2)+96),
 IF(MID(M138,1,3)="WR1",VALUE(MID(M138,8,2)+0),
 IF(MID(M138,1,3)="WR2",VALUE(MID(M138,8,2)+48),".")))</f>
        <v>.</v>
      </c>
    </row>
    <row r="139" spans="4:14" x14ac:dyDescent="0.25">
      <c r="D139" s="208" t="s">
        <v>2071</v>
      </c>
      <c r="N139" s="208" t="str">
        <f t="shared" si="18"/>
        <v>.</v>
      </c>
    </row>
    <row r="140" spans="4:14" x14ac:dyDescent="0.25">
      <c r="D140" s="208" t="s">
        <v>2072</v>
      </c>
      <c r="N140" s="208" t="str">
        <f t="shared" si="18"/>
        <v>.</v>
      </c>
    </row>
    <row r="141" spans="4:14" x14ac:dyDescent="0.25">
      <c r="D141" s="208" t="s">
        <v>2073</v>
      </c>
      <c r="N141" s="208" t="str">
        <f t="shared" si="18"/>
        <v>.</v>
      </c>
    </row>
    <row r="142" spans="4:14" x14ac:dyDescent="0.25">
      <c r="D142" s="208" t="s">
        <v>2074</v>
      </c>
      <c r="N142" s="208" t="str">
        <f t="shared" si="18"/>
        <v>.</v>
      </c>
    </row>
    <row r="143" spans="4:14" x14ac:dyDescent="0.25">
      <c r="D143" s="208" t="s">
        <v>2075</v>
      </c>
      <c r="N143" s="208" t="str">
        <f t="shared" si="18"/>
        <v>.</v>
      </c>
    </row>
    <row r="144" spans="4:14" x14ac:dyDescent="0.25">
      <c r="D144" s="208" t="s">
        <v>2076</v>
      </c>
      <c r="N144" s="208" t="str">
        <f t="shared" si="18"/>
        <v>.</v>
      </c>
    </row>
    <row r="145" spans="1:15" x14ac:dyDescent="0.25">
      <c r="D145" s="208" t="s">
        <v>2077</v>
      </c>
      <c r="N145" s="208" t="str">
        <f t="shared" si="18"/>
        <v>.</v>
      </c>
    </row>
    <row r="146" spans="1:15" x14ac:dyDescent="0.25">
      <c r="D146" s="208" t="s">
        <v>2078</v>
      </c>
      <c r="N146" s="208" t="str">
        <f t="shared" si="18"/>
        <v>.</v>
      </c>
    </row>
    <row r="147" spans="1:15" x14ac:dyDescent="0.25">
      <c r="D147" s="208" t="s">
        <v>2079</v>
      </c>
      <c r="N147" s="208" t="str">
        <f t="shared" si="18"/>
        <v>.</v>
      </c>
    </row>
    <row r="148" spans="1:15" x14ac:dyDescent="0.25">
      <c r="C148" s="207" t="s">
        <v>2261</v>
      </c>
      <c r="D148" s="208" t="s">
        <v>2080</v>
      </c>
      <c r="M148" s="217" t="s">
        <v>2230</v>
      </c>
      <c r="N148" s="215">
        <v>89</v>
      </c>
      <c r="O148" s="208">
        <v>41</v>
      </c>
    </row>
    <row r="149" spans="1:15" x14ac:dyDescent="0.25">
      <c r="C149" s="207" t="s">
        <v>2225</v>
      </c>
      <c r="D149" s="208" t="s">
        <v>2081</v>
      </c>
      <c r="M149" s="217" t="s">
        <v>2231</v>
      </c>
      <c r="N149" s="215">
        <v>90</v>
      </c>
      <c r="O149" s="208">
        <v>42</v>
      </c>
    </row>
    <row r="150" spans="1:15" x14ac:dyDescent="0.25">
      <c r="A150" s="207" t="s">
        <v>2194</v>
      </c>
      <c r="C150" s="207" t="s">
        <v>2262</v>
      </c>
      <c r="D150" s="208" t="s">
        <v>2082</v>
      </c>
      <c r="M150" s="217" t="s">
        <v>2128</v>
      </c>
      <c r="N150" s="208">
        <f t="shared" si="18"/>
        <v>57</v>
      </c>
    </row>
    <row r="151" spans="1:15" x14ac:dyDescent="0.25">
      <c r="A151" s="207" t="s">
        <v>2195</v>
      </c>
      <c r="C151" s="207" t="s">
        <v>1329</v>
      </c>
      <c r="D151" s="208" t="s">
        <v>2083</v>
      </c>
      <c r="M151" s="217" t="s">
        <v>2129</v>
      </c>
      <c r="N151" s="208">
        <f t="shared" si="18"/>
        <v>58</v>
      </c>
    </row>
    <row r="152" spans="1:15" x14ac:dyDescent="0.25">
      <c r="A152" s="207" t="s">
        <v>2198</v>
      </c>
      <c r="C152" s="207" t="s">
        <v>1330</v>
      </c>
      <c r="D152" s="208" t="s">
        <v>2084</v>
      </c>
      <c r="M152" s="217" t="s">
        <v>2130</v>
      </c>
      <c r="N152" s="208">
        <f t="shared" si="18"/>
        <v>59</v>
      </c>
    </row>
    <row r="153" spans="1:15" x14ac:dyDescent="0.25">
      <c r="A153" s="207" t="s">
        <v>2198</v>
      </c>
      <c r="C153" s="207" t="s">
        <v>2263</v>
      </c>
      <c r="D153" s="208" t="s">
        <v>2085</v>
      </c>
      <c r="M153" s="217" t="s">
        <v>2131</v>
      </c>
      <c r="N153" s="208">
        <f t="shared" si="18"/>
        <v>60</v>
      </c>
    </row>
    <row r="154" spans="1:15" x14ac:dyDescent="0.25">
      <c r="A154" s="207" t="s">
        <v>2197</v>
      </c>
      <c r="C154" s="207" t="s">
        <v>2177</v>
      </c>
      <c r="D154" s="208" t="s">
        <v>2086</v>
      </c>
      <c r="M154" s="217" t="s">
        <v>2132</v>
      </c>
      <c r="N154" s="208">
        <f t="shared" si="18"/>
        <v>61</v>
      </c>
    </row>
    <row r="155" spans="1:15" x14ac:dyDescent="0.25">
      <c r="A155" s="207" t="s">
        <v>2196</v>
      </c>
      <c r="C155" s="207" t="s">
        <v>2178</v>
      </c>
      <c r="D155" s="208" t="s">
        <v>2087</v>
      </c>
      <c r="M155" s="217" t="s">
        <v>2133</v>
      </c>
      <c r="N155" s="208">
        <f t="shared" si="18"/>
        <v>62</v>
      </c>
    </row>
    <row r="156" spans="1:15" x14ac:dyDescent="0.25">
      <c r="A156" s="207" t="s">
        <v>2196</v>
      </c>
      <c r="C156" s="207" t="s">
        <v>2284</v>
      </c>
      <c r="D156" s="208" t="s">
        <v>2088</v>
      </c>
      <c r="M156" s="217" t="s">
        <v>2134</v>
      </c>
      <c r="N156" s="208">
        <f t="shared" si="18"/>
        <v>63</v>
      </c>
    </row>
    <row r="157" spans="1:15" x14ac:dyDescent="0.25">
      <c r="A157" s="207" t="s">
        <v>2169</v>
      </c>
      <c r="C157" s="207" t="s">
        <v>2264</v>
      </c>
      <c r="D157" s="208" t="s">
        <v>2089</v>
      </c>
      <c r="M157" s="217" t="s">
        <v>2135</v>
      </c>
      <c r="N157" s="208">
        <f t="shared" si="18"/>
        <v>64</v>
      </c>
    </row>
    <row r="158" spans="1:15" x14ac:dyDescent="0.25">
      <c r="A158" s="207" t="s">
        <v>2170</v>
      </c>
      <c r="C158" s="207" t="s">
        <v>2265</v>
      </c>
      <c r="D158" s="208" t="s">
        <v>2090</v>
      </c>
      <c r="M158" s="217" t="s">
        <v>2136</v>
      </c>
      <c r="N158" s="208">
        <f t="shared" si="18"/>
        <v>65</v>
      </c>
    </row>
    <row r="159" spans="1:15" x14ac:dyDescent="0.25">
      <c r="A159" s="207" t="s">
        <v>2171</v>
      </c>
      <c r="C159" s="207" t="s">
        <v>2266</v>
      </c>
      <c r="D159" s="208" t="s">
        <v>2091</v>
      </c>
      <c r="M159" s="217" t="s">
        <v>2137</v>
      </c>
      <c r="N159" s="208">
        <f t="shared" si="18"/>
        <v>66</v>
      </c>
    </row>
    <row r="160" spans="1:15" x14ac:dyDescent="0.25">
      <c r="A160" s="207" t="s">
        <v>2172</v>
      </c>
      <c r="C160" s="207" t="s">
        <v>2267</v>
      </c>
      <c r="D160" s="208" t="s">
        <v>2092</v>
      </c>
      <c r="M160" s="217" t="s">
        <v>2138</v>
      </c>
      <c r="N160" s="208">
        <f t="shared" si="18"/>
        <v>67</v>
      </c>
    </row>
    <row r="161" spans="1:14" x14ac:dyDescent="0.25">
      <c r="A161" s="207" t="s">
        <v>2179</v>
      </c>
      <c r="C161" s="207" t="s">
        <v>2268</v>
      </c>
      <c r="D161" s="208" t="s">
        <v>2093</v>
      </c>
      <c r="M161" s="217" t="s">
        <v>2139</v>
      </c>
      <c r="N161" s="208">
        <f t="shared" si="18"/>
        <v>68</v>
      </c>
    </row>
    <row r="162" spans="1:14" x14ac:dyDescent="0.25">
      <c r="A162" s="207" t="s">
        <v>2167</v>
      </c>
      <c r="C162" s="207" t="s">
        <v>2269</v>
      </c>
      <c r="D162" s="208" t="s">
        <v>2094</v>
      </c>
      <c r="M162" s="217" t="s">
        <v>2180</v>
      </c>
      <c r="N162" s="208">
        <f t="shared" si="18"/>
        <v>69</v>
      </c>
    </row>
    <row r="163" spans="1:14" x14ac:dyDescent="0.25">
      <c r="A163" s="207" t="s">
        <v>2168</v>
      </c>
      <c r="C163" s="207" t="s">
        <v>2285</v>
      </c>
      <c r="D163" s="208" t="s">
        <v>2095</v>
      </c>
      <c r="M163" s="217" t="s">
        <v>2181</v>
      </c>
      <c r="N163" s="208">
        <f t="shared" si="18"/>
        <v>70</v>
      </c>
    </row>
    <row r="164" spans="1:14" x14ac:dyDescent="0.25">
      <c r="A164" s="207" t="s">
        <v>2287</v>
      </c>
      <c r="C164" s="207" t="s">
        <v>2286</v>
      </c>
      <c r="D164" s="208" t="s">
        <v>2096</v>
      </c>
      <c r="M164" s="217" t="s">
        <v>2288</v>
      </c>
      <c r="N164" s="208">
        <f t="shared" si="18"/>
        <v>79</v>
      </c>
    </row>
    <row r="165" spans="1:14" x14ac:dyDescent="0.25">
      <c r="A165" s="207" t="s">
        <v>2287</v>
      </c>
      <c r="C165" s="207" t="s">
        <v>2289</v>
      </c>
      <c r="D165" s="208" t="s">
        <v>2097</v>
      </c>
      <c r="M165" s="217" t="s">
        <v>2290</v>
      </c>
      <c r="N165" s="208">
        <f t="shared" si="18"/>
        <v>80</v>
      </c>
    </row>
    <row r="166" spans="1:14" x14ac:dyDescent="0.25">
      <c r="A166" s="207" t="s">
        <v>2162</v>
      </c>
      <c r="C166" s="207" t="s">
        <v>2291</v>
      </c>
      <c r="D166" s="208" t="s">
        <v>2098</v>
      </c>
      <c r="M166" s="217" t="s">
        <v>2182</v>
      </c>
      <c r="N166" s="208">
        <f t="shared" si="18"/>
        <v>71</v>
      </c>
    </row>
    <row r="167" spans="1:14" x14ac:dyDescent="0.25">
      <c r="A167" s="207" t="s">
        <v>2163</v>
      </c>
      <c r="C167" s="207" t="s">
        <v>2190</v>
      </c>
      <c r="D167" s="208" t="s">
        <v>2099</v>
      </c>
      <c r="M167" s="217" t="s">
        <v>2183</v>
      </c>
      <c r="N167" s="208">
        <f t="shared" si="18"/>
        <v>72</v>
      </c>
    </row>
    <row r="168" spans="1:14" x14ac:dyDescent="0.25">
      <c r="A168" s="207" t="s">
        <v>2164</v>
      </c>
      <c r="C168" s="207" t="s">
        <v>2270</v>
      </c>
      <c r="D168" s="208" t="s">
        <v>2100</v>
      </c>
      <c r="M168" s="217" t="s">
        <v>2184</v>
      </c>
      <c r="N168" s="208">
        <f t="shared" si="18"/>
        <v>73</v>
      </c>
    </row>
    <row r="169" spans="1:14" x14ac:dyDescent="0.25">
      <c r="A169" s="207" t="s">
        <v>2191</v>
      </c>
      <c r="C169" s="207" t="s">
        <v>2271</v>
      </c>
      <c r="D169" s="208" t="s">
        <v>2101</v>
      </c>
      <c r="M169" s="217" t="s">
        <v>2185</v>
      </c>
      <c r="N169" s="208">
        <f t="shared" si="18"/>
        <v>74</v>
      </c>
    </row>
    <row r="170" spans="1:14" x14ac:dyDescent="0.25">
      <c r="A170" s="207" t="s">
        <v>2165</v>
      </c>
      <c r="C170" s="207" t="s">
        <v>2272</v>
      </c>
      <c r="D170" s="208" t="s">
        <v>2102</v>
      </c>
      <c r="M170" s="217" t="s">
        <v>2186</v>
      </c>
      <c r="N170" s="208">
        <f t="shared" si="18"/>
        <v>75</v>
      </c>
    </row>
    <row r="171" spans="1:14" x14ac:dyDescent="0.25">
      <c r="A171" s="207" t="s">
        <v>2166</v>
      </c>
      <c r="C171" s="207" t="s">
        <v>2273</v>
      </c>
      <c r="D171" s="208" t="s">
        <v>2103</v>
      </c>
      <c r="M171" s="217" t="s">
        <v>2187</v>
      </c>
      <c r="N171" s="208">
        <f t="shared" si="18"/>
        <v>76</v>
      </c>
    </row>
    <row r="172" spans="1:14" x14ac:dyDescent="0.25">
      <c r="A172" s="207" t="s">
        <v>2192</v>
      </c>
      <c r="C172" s="207" t="s">
        <v>2189</v>
      </c>
      <c r="D172" s="208" t="s">
        <v>2104</v>
      </c>
      <c r="M172" s="217" t="s">
        <v>2188</v>
      </c>
      <c r="N172" s="208">
        <f t="shared" si="18"/>
        <v>77</v>
      </c>
    </row>
    <row r="173" spans="1:14" x14ac:dyDescent="0.25">
      <c r="A173" s="207" t="s">
        <v>2199</v>
      </c>
      <c r="C173" s="207" t="s">
        <v>1747</v>
      </c>
      <c r="D173" s="208" t="s">
        <v>2105</v>
      </c>
      <c r="M173" s="217" t="s">
        <v>2274</v>
      </c>
      <c r="N173" s="208">
        <f t="shared" si="18"/>
        <v>78</v>
      </c>
    </row>
    <row r="174" spans="1:14" x14ac:dyDescent="0.25">
      <c r="A174" s="207" t="s">
        <v>2287</v>
      </c>
      <c r="C174" s="207" t="s">
        <v>2292</v>
      </c>
      <c r="D174" s="208" t="s">
        <v>2106</v>
      </c>
      <c r="M174" s="217" t="s">
        <v>2302</v>
      </c>
      <c r="N174" s="208">
        <f t="shared" si="18"/>
        <v>81</v>
      </c>
    </row>
    <row r="175" spans="1:14" x14ac:dyDescent="0.25">
      <c r="A175" s="207" t="s">
        <v>2287</v>
      </c>
      <c r="C175" s="207" t="s">
        <v>2303</v>
      </c>
      <c r="D175" s="208" t="s">
        <v>2107</v>
      </c>
      <c r="M175" s="217" t="s">
        <v>2304</v>
      </c>
      <c r="N175" s="208">
        <f t="shared" si="18"/>
        <v>82</v>
      </c>
    </row>
    <row r="176" spans="1:14" x14ac:dyDescent="0.25">
      <c r="D176" s="208" t="s">
        <v>2108</v>
      </c>
      <c r="N176" s="208" t="str">
        <f t="shared" si="18"/>
        <v>.</v>
      </c>
    </row>
    <row r="177" spans="2:14" x14ac:dyDescent="0.25">
      <c r="D177" s="208" t="s">
        <v>2109</v>
      </c>
      <c r="N177" s="208" t="str">
        <f t="shared" si="18"/>
        <v>.</v>
      </c>
    </row>
    <row r="178" spans="2:14" x14ac:dyDescent="0.25">
      <c r="D178" s="208" t="s">
        <v>2110</v>
      </c>
      <c r="N178" s="208" t="str">
        <f t="shared" si="18"/>
        <v>.</v>
      </c>
    </row>
    <row r="179" spans="2:14" x14ac:dyDescent="0.25">
      <c r="D179" s="208" t="s">
        <v>2111</v>
      </c>
      <c r="N179" s="208" t="str">
        <f t="shared" si="18"/>
        <v>.</v>
      </c>
    </row>
    <row r="180" spans="2:14" x14ac:dyDescent="0.25">
      <c r="D180" s="208" t="s">
        <v>2112</v>
      </c>
      <c r="N180" s="208" t="str">
        <f t="shared" si="18"/>
        <v>.</v>
      </c>
    </row>
    <row r="181" spans="2:14" x14ac:dyDescent="0.25">
      <c r="D181" s="208" t="s">
        <v>2113</v>
      </c>
      <c r="N181" s="208" t="str">
        <f t="shared" si="18"/>
        <v>.</v>
      </c>
    </row>
    <row r="182" spans="2:14" x14ac:dyDescent="0.25">
      <c r="B182" s="207" t="s">
        <v>2240</v>
      </c>
      <c r="D182" s="208" t="s">
        <v>2232</v>
      </c>
    </row>
    <row r="183" spans="2:14" x14ac:dyDescent="0.25">
      <c r="B183" s="207" t="s">
        <v>2241</v>
      </c>
      <c r="D183" s="208" t="s">
        <v>2233</v>
      </c>
    </row>
    <row r="184" spans="2:14" x14ac:dyDescent="0.25">
      <c r="B184" s="207" t="s">
        <v>2242</v>
      </c>
      <c r="D184" s="208" t="s">
        <v>2234</v>
      </c>
    </row>
    <row r="185" spans="2:14" x14ac:dyDescent="0.25">
      <c r="B185" s="207" t="s">
        <v>2243</v>
      </c>
      <c r="D185" s="208" t="s">
        <v>2235</v>
      </c>
    </row>
    <row r="186" spans="2:14" x14ac:dyDescent="0.25">
      <c r="B186" s="207" t="s">
        <v>2244</v>
      </c>
      <c r="D186" s="208" t="s">
        <v>2236</v>
      </c>
    </row>
    <row r="187" spans="2:14" x14ac:dyDescent="0.25">
      <c r="B187" s="207" t="s">
        <v>2245</v>
      </c>
      <c r="D187" s="208" t="s">
        <v>2237</v>
      </c>
    </row>
    <row r="188" spans="2:14" x14ac:dyDescent="0.25">
      <c r="D188" s="208" t="s">
        <v>2238</v>
      </c>
    </row>
    <row r="189" spans="2:14" x14ac:dyDescent="0.25">
      <c r="B189" s="207" t="s">
        <v>2246</v>
      </c>
      <c r="D189" s="208" t="s">
        <v>2239</v>
      </c>
    </row>
  </sheetData>
  <phoneticPr fontId="1" type="noConversion"/>
  <conditionalFormatting sqref="B165:L173">
    <cfRule type="beginsWith" dxfId="16" priority="28" operator="beginsWith" text="WR1">
      <formula>LEFT(B165,LEN("WR1"))="WR1"</formula>
    </cfRule>
    <cfRule type="beginsWith" dxfId="15" priority="29" operator="beginsWith" text="X32">
      <formula>LEFT(B165,LEN("X32"))="X32"</formula>
    </cfRule>
    <cfRule type="beginsWith" dxfId="14" priority="30" operator="beginsWith" text="WR2">
      <formula>LEFT(B165,LEN("WR2"))="WR2"</formula>
    </cfRule>
  </conditionalFormatting>
  <conditionalFormatting sqref="D118:D125">
    <cfRule type="beginsWith" dxfId="13" priority="4" operator="beginsWith" text="WR1">
      <formula>LEFT(D118,LEN("WR1"))="WR1"</formula>
    </cfRule>
    <cfRule type="beginsWith" dxfId="12" priority="5" operator="beginsWith" text="X32">
      <formula>LEFT(D118,LEN("X32"))="X32"</formula>
    </cfRule>
    <cfRule type="beginsWith" dxfId="11" priority="6" operator="beginsWith" text="WR2">
      <formula>LEFT(D118,LEN("WR2"))="WR2"</formula>
    </cfRule>
  </conditionalFormatting>
  <conditionalFormatting sqref="D182:D189">
    <cfRule type="beginsWith" dxfId="10" priority="7" operator="beginsWith" text="WR1">
      <formula>LEFT(D182,LEN("WR1"))="WR1"</formula>
    </cfRule>
    <cfRule type="beginsWith" dxfId="9" priority="8" operator="beginsWith" text="X32">
      <formula>LEFT(D182,LEN("X32"))="X32"</formula>
    </cfRule>
    <cfRule type="beginsWith" dxfId="8" priority="9" operator="beginsWith" text="WR2">
      <formula>LEFT(D182,LEN("WR2"))="WR2"</formula>
    </cfRule>
  </conditionalFormatting>
  <conditionalFormatting sqref="M165:M175">
    <cfRule type="beginsWith" dxfId="7" priority="1" operator="beginsWith" text="WR1">
      <formula>LEFT(M165,LEN("WR1"))="WR1"</formula>
    </cfRule>
    <cfRule type="beginsWith" dxfId="6" priority="2" operator="beginsWith" text="X32">
      <formula>LEFT(M165,LEN("X32"))="X32"</formula>
    </cfRule>
    <cfRule type="beginsWith" dxfId="5" priority="3" operator="beginsWith" text="WR2">
      <formula>LEFT(M165,LEN("WR2"))="WR2"</formula>
    </cfRule>
  </conditionalFormatting>
  <conditionalFormatting sqref="N1 B1:M117 B126:M149 B150:C160 D150:M163 C161 B162:C163 B164:M164 D176:M179 B180:M181 D174:L175">
    <cfRule type="beginsWith" dxfId="4" priority="34" operator="beginsWith" text="WR1">
      <formula>LEFT(B1,LEN("WR1"))="WR1"</formula>
    </cfRule>
    <cfRule type="beginsWith" dxfId="3" priority="35" operator="beginsWith" text="X32">
      <formula>LEFT(B1,LEN("X32"))="X32"</formula>
    </cfRule>
    <cfRule type="beginsWith" dxfId="2" priority="36" operator="beginsWith" text="WR2">
      <formula>LEFT(B1,LEN("WR2"))="WR2"</formula>
    </cfRule>
  </conditionalFormatting>
  <printOptions gridLines="1"/>
  <pageMargins left="0.25" right="0.25" top="0.5" bottom="0.5" header="0.3" footer="0.3"/>
  <pageSetup scale="81" fitToHeight="13" orientation="landscape" r:id="rId1"/>
  <headerFooter>
    <oddHeader>&amp;L&amp;F</oddHeader>
    <oddFooter>&amp;L&amp;P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88F6-7DF3-43E0-B7AE-241AB0EB8EA8}">
  <sheetPr>
    <pageSetUpPr fitToPage="1"/>
  </sheetPr>
  <dimension ref="A1:I186"/>
  <sheetViews>
    <sheetView workbookViewId="0">
      <selection activeCell="C74" sqref="C74"/>
    </sheetView>
  </sheetViews>
  <sheetFormatPr defaultRowHeight="15" x14ac:dyDescent="0.25"/>
  <cols>
    <col min="1" max="1" width="32.5703125" customWidth="1"/>
    <col min="2" max="2" width="16.42578125" style="68" customWidth="1"/>
    <col min="3" max="3" width="18" customWidth="1"/>
    <col min="4" max="4" width="16.7109375" customWidth="1"/>
    <col min="6" max="6" width="18.7109375" style="67" customWidth="1"/>
    <col min="7" max="7" width="14" style="67" customWidth="1"/>
    <col min="8" max="8" width="14.140625" customWidth="1"/>
    <col min="9" max="9" width="15.140625" customWidth="1"/>
  </cols>
  <sheetData>
    <row r="1" spans="1:9" x14ac:dyDescent="0.25">
      <c r="A1" s="71" t="s">
        <v>1703</v>
      </c>
      <c r="B1" s="70" t="s">
        <v>1704</v>
      </c>
      <c r="C1" s="69" t="s">
        <v>1378</v>
      </c>
      <c r="D1" s="69" t="s">
        <v>1391</v>
      </c>
      <c r="E1" s="69" t="s">
        <v>1390</v>
      </c>
      <c r="F1" s="69" t="s">
        <v>1715</v>
      </c>
      <c r="G1" s="72" t="s">
        <v>1716</v>
      </c>
      <c r="H1" s="72" t="s">
        <v>1713</v>
      </c>
      <c r="I1" s="72" t="s">
        <v>1714</v>
      </c>
    </row>
    <row r="2" spans="1:9" x14ac:dyDescent="0.25">
      <c r="A2" s="71"/>
      <c r="B2" s="70"/>
      <c r="C2" s="71"/>
      <c r="D2" s="71" t="s">
        <v>762</v>
      </c>
      <c r="E2" s="71" t="s">
        <v>780</v>
      </c>
      <c r="F2" s="69"/>
    </row>
    <row r="3" spans="1:9" x14ac:dyDescent="0.25">
      <c r="A3" s="71"/>
      <c r="B3" s="70"/>
      <c r="C3" s="71"/>
      <c r="D3" s="71" t="s">
        <v>763</v>
      </c>
      <c r="E3" s="71" t="s">
        <v>1377</v>
      </c>
      <c r="F3" s="69"/>
    </row>
    <row r="4" spans="1:9" x14ac:dyDescent="0.25">
      <c r="A4" s="71"/>
      <c r="B4" s="70"/>
      <c r="C4" s="71"/>
      <c r="D4" s="71" t="s">
        <v>765</v>
      </c>
      <c r="E4" s="71" t="s">
        <v>1377</v>
      </c>
    </row>
    <row r="5" spans="1:9" x14ac:dyDescent="0.25">
      <c r="A5" s="71"/>
      <c r="B5" s="70"/>
      <c r="C5" s="71"/>
      <c r="D5" s="71" t="s">
        <v>796</v>
      </c>
      <c r="E5" s="71" t="s">
        <v>781</v>
      </c>
      <c r="F5" s="69"/>
    </row>
    <row r="6" spans="1:9" x14ac:dyDescent="0.25">
      <c r="A6" s="71"/>
      <c r="B6" s="70"/>
      <c r="C6" s="71"/>
      <c r="D6" s="71" t="s">
        <v>797</v>
      </c>
      <c r="E6" s="71" t="s">
        <v>782</v>
      </c>
      <c r="F6" s="69"/>
    </row>
    <row r="7" spans="1:9" x14ac:dyDescent="0.25">
      <c r="A7" s="71"/>
      <c r="B7" s="70"/>
      <c r="C7" s="71"/>
      <c r="D7" s="71" t="s">
        <v>798</v>
      </c>
      <c r="E7" s="71" t="s">
        <v>783</v>
      </c>
      <c r="F7" s="69"/>
    </row>
    <row r="8" spans="1:9" x14ac:dyDescent="0.25">
      <c r="A8" s="71"/>
      <c r="B8" s="70"/>
      <c r="C8" s="71"/>
      <c r="D8" s="71" t="s">
        <v>799</v>
      </c>
      <c r="E8" s="71" t="s">
        <v>784</v>
      </c>
      <c r="F8" s="69"/>
    </row>
    <row r="9" spans="1:9" x14ac:dyDescent="0.25">
      <c r="A9" s="71"/>
      <c r="B9" s="70"/>
      <c r="C9" s="71"/>
      <c r="D9" s="71" t="s">
        <v>800</v>
      </c>
      <c r="E9" s="71" t="s">
        <v>785</v>
      </c>
      <c r="F9" s="69"/>
    </row>
    <row r="10" spans="1:9" x14ac:dyDescent="0.25">
      <c r="A10" s="71"/>
      <c r="B10" s="70"/>
      <c r="C10" s="71"/>
      <c r="D10" s="71" t="s">
        <v>753</v>
      </c>
      <c r="E10" s="71" t="s">
        <v>745</v>
      </c>
      <c r="F10" s="69" t="s">
        <v>1425</v>
      </c>
    </row>
    <row r="11" spans="1:9" x14ac:dyDescent="0.25">
      <c r="A11" s="71"/>
      <c r="B11" s="70"/>
      <c r="C11" s="71"/>
      <c r="D11" s="71" t="s">
        <v>766</v>
      </c>
      <c r="E11" s="71" t="s">
        <v>1377</v>
      </c>
      <c r="F11" s="69"/>
    </row>
    <row r="12" spans="1:9" x14ac:dyDescent="0.25">
      <c r="A12" s="71" t="s">
        <v>1695</v>
      </c>
      <c r="B12" s="70" t="s">
        <v>1675</v>
      </c>
      <c r="C12" s="71"/>
      <c r="D12" s="71" t="s">
        <v>754</v>
      </c>
      <c r="E12" s="71" t="s">
        <v>746</v>
      </c>
      <c r="F12" s="69" t="s">
        <v>1699</v>
      </c>
    </row>
    <row r="13" spans="1:9" x14ac:dyDescent="0.25">
      <c r="A13" s="71" t="s">
        <v>1696</v>
      </c>
      <c r="B13" s="70" t="s">
        <v>1676</v>
      </c>
      <c r="C13" s="71"/>
      <c r="D13" s="71" t="s">
        <v>759</v>
      </c>
      <c r="E13" s="71" t="s">
        <v>747</v>
      </c>
      <c r="F13" s="69" t="s">
        <v>1700</v>
      </c>
    </row>
    <row r="14" spans="1:9" x14ac:dyDescent="0.25">
      <c r="A14" s="71" t="s">
        <v>1697</v>
      </c>
      <c r="B14" s="70" t="s">
        <v>1677</v>
      </c>
      <c r="C14" s="71"/>
      <c r="D14" s="71" t="s">
        <v>755</v>
      </c>
      <c r="E14" s="71" t="s">
        <v>748</v>
      </c>
      <c r="F14" s="69" t="s">
        <v>1701</v>
      </c>
    </row>
    <row r="15" spans="1:9" x14ac:dyDescent="0.25">
      <c r="A15" s="71" t="s">
        <v>1698</v>
      </c>
      <c r="B15" s="70" t="s">
        <v>1678</v>
      </c>
      <c r="C15" s="71"/>
      <c r="D15" s="71" t="s">
        <v>756</v>
      </c>
      <c r="E15" s="71" t="s">
        <v>749</v>
      </c>
      <c r="F15" s="69" t="s">
        <v>1702</v>
      </c>
    </row>
    <row r="16" spans="1:9" x14ac:dyDescent="0.25">
      <c r="A16" s="71"/>
      <c r="B16" s="70"/>
      <c r="C16" s="71" t="s">
        <v>764</v>
      </c>
      <c r="D16" s="71" t="s">
        <v>760</v>
      </c>
      <c r="E16" s="71" t="s">
        <v>752</v>
      </c>
      <c r="F16" s="69"/>
    </row>
    <row r="17" spans="1:6" x14ac:dyDescent="0.25">
      <c r="A17" s="71"/>
      <c r="B17" s="70"/>
      <c r="C17" s="71"/>
      <c r="D17" s="71" t="s">
        <v>757</v>
      </c>
      <c r="E17" s="71" t="s">
        <v>750</v>
      </c>
      <c r="F17" s="69" t="s">
        <v>1426</v>
      </c>
    </row>
    <row r="18" spans="1:6" x14ac:dyDescent="0.25">
      <c r="A18" s="71"/>
      <c r="B18" s="70"/>
      <c r="C18" s="71"/>
      <c r="D18" s="71" t="s">
        <v>758</v>
      </c>
      <c r="E18" s="71" t="s">
        <v>751</v>
      </c>
      <c r="F18" s="69" t="s">
        <v>1427</v>
      </c>
    </row>
    <row r="19" spans="1:6" x14ac:dyDescent="0.25">
      <c r="A19" s="71"/>
      <c r="B19" s="70" t="s">
        <v>1706</v>
      </c>
      <c r="C19" s="71" t="s">
        <v>736</v>
      </c>
      <c r="D19" s="71" t="s">
        <v>722</v>
      </c>
      <c r="E19" s="71" t="s">
        <v>735</v>
      </c>
      <c r="F19" s="69" t="s">
        <v>1417</v>
      </c>
    </row>
    <row r="20" spans="1:6" x14ac:dyDescent="0.25">
      <c r="A20" s="71"/>
      <c r="B20" s="70"/>
      <c r="C20" s="71"/>
      <c r="D20" s="71" t="s">
        <v>801</v>
      </c>
      <c r="E20" s="71" t="s">
        <v>786</v>
      </c>
      <c r="F20" s="69"/>
    </row>
    <row r="21" spans="1:6" x14ac:dyDescent="0.25">
      <c r="A21" s="71"/>
      <c r="B21" s="70"/>
      <c r="C21" s="71"/>
      <c r="D21" s="71" t="s">
        <v>802</v>
      </c>
      <c r="E21" s="71" t="s">
        <v>787</v>
      </c>
      <c r="F21" s="69"/>
    </row>
    <row r="22" spans="1:6" x14ac:dyDescent="0.25">
      <c r="A22" s="71"/>
      <c r="B22" s="70"/>
      <c r="C22" s="71"/>
      <c r="D22" s="71" t="s">
        <v>803</v>
      </c>
      <c r="E22" s="71" t="s">
        <v>788</v>
      </c>
      <c r="F22" s="69"/>
    </row>
    <row r="23" spans="1:6" x14ac:dyDescent="0.25">
      <c r="A23" s="71"/>
      <c r="B23" s="70"/>
      <c r="C23" s="71"/>
      <c r="D23" s="71" t="s">
        <v>804</v>
      </c>
      <c r="E23" s="71" t="s">
        <v>789</v>
      </c>
      <c r="F23" s="69"/>
    </row>
    <row r="24" spans="1:6" x14ac:dyDescent="0.25">
      <c r="A24" s="71"/>
      <c r="B24" s="70"/>
      <c r="C24" s="71"/>
      <c r="D24" s="71" t="s">
        <v>805</v>
      </c>
      <c r="E24" s="71" t="s">
        <v>790</v>
      </c>
      <c r="F24" s="69"/>
    </row>
    <row r="25" spans="1:6" x14ac:dyDescent="0.25">
      <c r="A25" s="71"/>
      <c r="B25" s="70"/>
      <c r="C25" s="71"/>
      <c r="D25" s="71" t="s">
        <v>769</v>
      </c>
      <c r="E25" s="71" t="s">
        <v>791</v>
      </c>
      <c r="F25" s="69"/>
    </row>
    <row r="26" spans="1:6" x14ac:dyDescent="0.25">
      <c r="A26" s="71"/>
      <c r="B26" s="70" t="s">
        <v>723</v>
      </c>
      <c r="C26" s="71" t="s">
        <v>1410</v>
      </c>
      <c r="D26" s="71" t="s">
        <v>720</v>
      </c>
      <c r="E26" s="71" t="s">
        <v>734</v>
      </c>
      <c r="F26" s="69" t="s">
        <v>1415</v>
      </c>
    </row>
    <row r="27" spans="1:6" x14ac:dyDescent="0.25">
      <c r="A27" s="71"/>
      <c r="B27" s="70"/>
      <c r="C27" s="71"/>
      <c r="D27" s="71" t="s">
        <v>806</v>
      </c>
      <c r="E27" s="71" t="s">
        <v>792</v>
      </c>
      <c r="F27" s="69"/>
    </row>
    <row r="28" spans="1:6" x14ac:dyDescent="0.25">
      <c r="A28" s="71"/>
      <c r="B28" s="70"/>
      <c r="C28" s="71"/>
      <c r="D28" s="71" t="s">
        <v>807</v>
      </c>
      <c r="E28" s="71" t="s">
        <v>793</v>
      </c>
      <c r="F28" s="69"/>
    </row>
    <row r="29" spans="1:6" x14ac:dyDescent="0.25">
      <c r="A29" s="71"/>
      <c r="B29" s="70"/>
      <c r="C29" s="71"/>
      <c r="D29" s="71" t="s">
        <v>721</v>
      </c>
      <c r="E29" s="71" t="s">
        <v>794</v>
      </c>
      <c r="F29" s="69"/>
    </row>
    <row r="30" spans="1:6" x14ac:dyDescent="0.25">
      <c r="A30" s="71"/>
      <c r="B30" s="70" t="s">
        <v>724</v>
      </c>
      <c r="C30" s="71" t="s">
        <v>1409</v>
      </c>
      <c r="D30" s="71" t="s">
        <v>768</v>
      </c>
      <c r="E30" s="71" t="s">
        <v>733</v>
      </c>
      <c r="F30" s="69" t="s">
        <v>1416</v>
      </c>
    </row>
    <row r="31" spans="1:6" x14ac:dyDescent="0.25">
      <c r="A31" s="71"/>
      <c r="B31" s="70"/>
      <c r="C31" s="71"/>
      <c r="D31" s="71" t="s">
        <v>1376</v>
      </c>
      <c r="E31" s="71" t="s">
        <v>752</v>
      </c>
      <c r="F31" s="69" t="s">
        <v>1428</v>
      </c>
    </row>
    <row r="32" spans="1:6" x14ac:dyDescent="0.25">
      <c r="A32" s="71"/>
      <c r="B32" s="70" t="s">
        <v>1705</v>
      </c>
      <c r="C32" s="71" t="s">
        <v>739</v>
      </c>
      <c r="D32" s="71" t="s">
        <v>738</v>
      </c>
      <c r="E32" s="71" t="s">
        <v>737</v>
      </c>
      <c r="F32" s="69" t="s">
        <v>1419</v>
      </c>
    </row>
    <row r="33" spans="1:6" x14ac:dyDescent="0.25">
      <c r="A33" s="71" t="s">
        <v>1434</v>
      </c>
      <c r="B33" s="70" t="s">
        <v>1384</v>
      </c>
      <c r="C33" s="71" t="s">
        <v>1384</v>
      </c>
      <c r="D33" s="71" t="s">
        <v>708</v>
      </c>
      <c r="E33" s="71" t="s">
        <v>740</v>
      </c>
      <c r="F33" s="69" t="s">
        <v>1420</v>
      </c>
    </row>
    <row r="34" spans="1:6" x14ac:dyDescent="0.25">
      <c r="A34" s="71" t="s">
        <v>1434</v>
      </c>
      <c r="B34" s="70" t="s">
        <v>1385</v>
      </c>
      <c r="C34" s="71" t="s">
        <v>1385</v>
      </c>
      <c r="D34" s="71" t="s">
        <v>709</v>
      </c>
      <c r="E34" s="71" t="s">
        <v>741</v>
      </c>
      <c r="F34" s="69" t="s">
        <v>1421</v>
      </c>
    </row>
    <row r="35" spans="1:6" x14ac:dyDescent="0.25">
      <c r="A35" s="71" t="s">
        <v>1434</v>
      </c>
      <c r="B35" s="70" t="s">
        <v>1386</v>
      </c>
      <c r="C35" s="71" t="s">
        <v>1386</v>
      </c>
      <c r="D35" s="71" t="s">
        <v>710</v>
      </c>
      <c r="E35" s="71" t="s">
        <v>742</v>
      </c>
      <c r="F35" s="69" t="s">
        <v>1422</v>
      </c>
    </row>
    <row r="36" spans="1:6" x14ac:dyDescent="0.25">
      <c r="A36" s="71" t="s">
        <v>1434</v>
      </c>
      <c r="B36" s="70" t="s">
        <v>1387</v>
      </c>
      <c r="C36" s="71" t="s">
        <v>1387</v>
      </c>
      <c r="D36" s="71" t="s">
        <v>711</v>
      </c>
      <c r="E36" s="71" t="s">
        <v>743</v>
      </c>
      <c r="F36" s="69" t="s">
        <v>1423</v>
      </c>
    </row>
    <row r="37" spans="1:6" x14ac:dyDescent="0.25">
      <c r="A37" s="71" t="s">
        <v>1434</v>
      </c>
      <c r="B37" s="70" t="s">
        <v>1388</v>
      </c>
      <c r="C37" s="71" t="s">
        <v>1388</v>
      </c>
      <c r="D37" s="71" t="s">
        <v>712</v>
      </c>
      <c r="E37" s="71" t="s">
        <v>744</v>
      </c>
      <c r="F37" s="69" t="s">
        <v>1424</v>
      </c>
    </row>
    <row r="38" spans="1:6" x14ac:dyDescent="0.25">
      <c r="A38" s="71"/>
      <c r="B38" s="70" t="s">
        <v>714</v>
      </c>
      <c r="C38" s="71" t="s">
        <v>725</v>
      </c>
      <c r="D38" s="71" t="s">
        <v>1394</v>
      </c>
      <c r="E38" s="71"/>
      <c r="F38" s="69" t="s">
        <v>1389</v>
      </c>
    </row>
    <row r="39" spans="1:6" x14ac:dyDescent="0.25">
      <c r="A39" s="71"/>
      <c r="B39" s="70" t="s">
        <v>1155</v>
      </c>
      <c r="C39" s="71" t="s">
        <v>726</v>
      </c>
      <c r="D39" s="71" t="s">
        <v>1395</v>
      </c>
      <c r="E39" s="71"/>
      <c r="F39" s="69" t="s">
        <v>1392</v>
      </c>
    </row>
    <row r="40" spans="1:6" x14ac:dyDescent="0.25">
      <c r="A40" s="71"/>
      <c r="B40" s="70" t="s">
        <v>713</v>
      </c>
      <c r="C40" s="71" t="s">
        <v>727</v>
      </c>
      <c r="D40" s="71" t="s">
        <v>1396</v>
      </c>
      <c r="E40" s="71"/>
      <c r="F40" s="69" t="s">
        <v>1393</v>
      </c>
    </row>
    <row r="41" spans="1:6" x14ac:dyDescent="0.25">
      <c r="A41" s="71"/>
      <c r="B41" s="70" t="s">
        <v>715</v>
      </c>
      <c r="C41" s="71" t="s">
        <v>728</v>
      </c>
      <c r="D41" s="71" t="s">
        <v>1397</v>
      </c>
      <c r="E41" s="71"/>
      <c r="F41" s="69" t="s">
        <v>1398</v>
      </c>
    </row>
    <row r="42" spans="1:6" x14ac:dyDescent="0.25">
      <c r="A42" s="71"/>
      <c r="B42" s="70" t="s">
        <v>716</v>
      </c>
      <c r="C42" s="71" t="s">
        <v>729</v>
      </c>
      <c r="D42" s="71" t="s">
        <v>1399</v>
      </c>
      <c r="E42" s="71"/>
      <c r="F42" s="69" t="s">
        <v>1400</v>
      </c>
    </row>
    <row r="43" spans="1:6" x14ac:dyDescent="0.25">
      <c r="A43" s="71"/>
      <c r="B43" s="70" t="s">
        <v>717</v>
      </c>
      <c r="C43" s="71" t="s">
        <v>730</v>
      </c>
      <c r="D43" s="71" t="s">
        <v>1401</v>
      </c>
      <c r="E43" s="71"/>
      <c r="F43" s="69" t="s">
        <v>1402</v>
      </c>
    </row>
    <row r="44" spans="1:6" x14ac:dyDescent="0.25">
      <c r="A44" s="71"/>
      <c r="B44" s="70" t="s">
        <v>718</v>
      </c>
      <c r="C44" s="71" t="s">
        <v>726</v>
      </c>
      <c r="D44" s="71" t="s">
        <v>1403</v>
      </c>
      <c r="E44" s="71"/>
      <c r="F44" s="69" t="s">
        <v>1404</v>
      </c>
    </row>
    <row r="45" spans="1:6" x14ac:dyDescent="0.25">
      <c r="A45" s="71"/>
      <c r="B45" s="70"/>
      <c r="C45" s="71"/>
      <c r="D45" s="71"/>
      <c r="E45" s="71"/>
      <c r="F45" s="69" t="s">
        <v>1405</v>
      </c>
    </row>
    <row r="46" spans="1:6" x14ac:dyDescent="0.25">
      <c r="A46" s="71"/>
      <c r="B46" s="70"/>
      <c r="C46" s="71"/>
      <c r="D46" s="71"/>
      <c r="E46" s="71"/>
      <c r="F46" s="69" t="s">
        <v>1406</v>
      </c>
    </row>
    <row r="47" spans="1:6" x14ac:dyDescent="0.25">
      <c r="A47" s="71"/>
      <c r="B47" s="70"/>
      <c r="C47" s="71" t="s">
        <v>0</v>
      </c>
      <c r="D47" s="71" t="s">
        <v>1408</v>
      </c>
      <c r="E47" s="71"/>
      <c r="F47" s="69" t="s">
        <v>1407</v>
      </c>
    </row>
    <row r="48" spans="1:6" x14ac:dyDescent="0.25">
      <c r="A48" s="71"/>
      <c r="B48" s="70" t="s">
        <v>1429</v>
      </c>
      <c r="C48" s="71" t="s">
        <v>732</v>
      </c>
      <c r="D48" s="71" t="s">
        <v>1430</v>
      </c>
      <c r="E48" s="71"/>
      <c r="F48" s="69" t="s">
        <v>1411</v>
      </c>
    </row>
    <row r="49" spans="1:6" x14ac:dyDescent="0.25">
      <c r="A49" s="71"/>
      <c r="B49" s="70"/>
      <c r="C49" s="71" t="s">
        <v>1</v>
      </c>
      <c r="D49" s="71" t="s">
        <v>1431</v>
      </c>
      <c r="E49" s="71"/>
      <c r="F49" s="69" t="s">
        <v>1412</v>
      </c>
    </row>
    <row r="50" spans="1:6" x14ac:dyDescent="0.25">
      <c r="A50" s="71"/>
      <c r="B50" s="70"/>
      <c r="C50" s="71" t="s">
        <v>77</v>
      </c>
      <c r="D50" s="71" t="s">
        <v>1432</v>
      </c>
      <c r="E50" s="71"/>
      <c r="F50" s="69" t="s">
        <v>1413</v>
      </c>
    </row>
    <row r="51" spans="1:6" x14ac:dyDescent="0.25">
      <c r="A51" s="71"/>
      <c r="B51" s="70"/>
      <c r="C51" s="71" t="s">
        <v>78</v>
      </c>
      <c r="D51" s="71" t="s">
        <v>1433</v>
      </c>
      <c r="E51" s="71"/>
      <c r="F51" s="69" t="s">
        <v>1414</v>
      </c>
    </row>
    <row r="52" spans="1:6" x14ac:dyDescent="0.25">
      <c r="A52" s="71"/>
      <c r="B52" s="70"/>
      <c r="C52" s="71"/>
      <c r="D52" s="71"/>
      <c r="E52" s="71"/>
      <c r="F52" s="69" t="s">
        <v>1418</v>
      </c>
    </row>
    <row r="53" spans="1:6" x14ac:dyDescent="0.25">
      <c r="A53" s="71"/>
      <c r="B53" s="70"/>
      <c r="C53" s="71"/>
      <c r="D53" s="71" t="s">
        <v>1517</v>
      </c>
      <c r="E53" s="71"/>
      <c r="F53" s="69" t="s">
        <v>1567</v>
      </c>
    </row>
    <row r="54" spans="1:6" x14ac:dyDescent="0.25">
      <c r="A54" s="71"/>
      <c r="B54" s="70"/>
      <c r="C54" s="71"/>
      <c r="D54" s="71" t="s">
        <v>1518</v>
      </c>
      <c r="E54" s="71"/>
      <c r="F54" s="69" t="s">
        <v>1568</v>
      </c>
    </row>
    <row r="55" spans="1:6" x14ac:dyDescent="0.25">
      <c r="A55" s="71"/>
      <c r="B55" s="70" t="s">
        <v>823</v>
      </c>
      <c r="C55" s="71" t="s">
        <v>1448</v>
      </c>
      <c r="D55" s="71" t="s">
        <v>1519</v>
      </c>
      <c r="E55" s="71"/>
      <c r="F55" s="69" t="s">
        <v>1569</v>
      </c>
    </row>
    <row r="56" spans="1:6" x14ac:dyDescent="0.25">
      <c r="A56" s="71"/>
      <c r="B56" s="70" t="s">
        <v>824</v>
      </c>
      <c r="C56" s="71" t="s">
        <v>1449</v>
      </c>
      <c r="D56" s="71" t="s">
        <v>1520</v>
      </c>
      <c r="E56" s="71"/>
      <c r="F56" s="69" t="s">
        <v>1570</v>
      </c>
    </row>
    <row r="57" spans="1:6" x14ac:dyDescent="0.25">
      <c r="A57" s="71"/>
      <c r="B57" s="70"/>
      <c r="C57" s="71"/>
      <c r="D57" s="71" t="s">
        <v>1521</v>
      </c>
      <c r="E57" s="71"/>
      <c r="F57" s="69" t="s">
        <v>1571</v>
      </c>
    </row>
    <row r="58" spans="1:6" x14ac:dyDescent="0.25">
      <c r="A58" s="71"/>
      <c r="B58" s="70" t="s">
        <v>826</v>
      </c>
      <c r="C58" s="71" t="s">
        <v>1450</v>
      </c>
      <c r="D58" s="71" t="s">
        <v>1522</v>
      </c>
      <c r="E58" s="71"/>
      <c r="F58" s="69" t="s">
        <v>1572</v>
      </c>
    </row>
    <row r="59" spans="1:6" x14ac:dyDescent="0.25">
      <c r="A59" s="71"/>
      <c r="B59" s="70" t="s">
        <v>827</v>
      </c>
      <c r="C59" s="71" t="s">
        <v>1451</v>
      </c>
      <c r="D59" s="71" t="s">
        <v>1523</v>
      </c>
      <c r="E59" s="71"/>
      <c r="F59" s="69" t="s">
        <v>1573</v>
      </c>
    </row>
    <row r="60" spans="1:6" x14ac:dyDescent="0.25">
      <c r="A60" s="71"/>
      <c r="B60" s="70" t="s">
        <v>828</v>
      </c>
      <c r="C60" s="71" t="s">
        <v>1452</v>
      </c>
      <c r="D60" s="71" t="s">
        <v>1524</v>
      </c>
      <c r="E60" s="71"/>
      <c r="F60" s="69" t="s">
        <v>1574</v>
      </c>
    </row>
    <row r="61" spans="1:6" x14ac:dyDescent="0.25">
      <c r="A61" s="71"/>
      <c r="B61" s="70" t="s">
        <v>829</v>
      </c>
      <c r="C61" s="71" t="s">
        <v>1447</v>
      </c>
      <c r="D61" s="71" t="s">
        <v>1525</v>
      </c>
      <c r="E61" s="71"/>
      <c r="F61" s="69" t="s">
        <v>1575</v>
      </c>
    </row>
    <row r="62" spans="1:6" x14ac:dyDescent="0.25">
      <c r="A62" s="71"/>
      <c r="B62" s="70" t="s">
        <v>830</v>
      </c>
      <c r="C62" s="71" t="s">
        <v>1453</v>
      </c>
      <c r="D62" s="71" t="s">
        <v>1526</v>
      </c>
      <c r="E62" s="71"/>
      <c r="F62" s="69" t="s">
        <v>1576</v>
      </c>
    </row>
    <row r="63" spans="1:6" x14ac:dyDescent="0.25">
      <c r="A63" s="71" t="s">
        <v>1661</v>
      </c>
      <c r="B63" s="70" t="s">
        <v>1707</v>
      </c>
      <c r="C63" s="71" t="s">
        <v>1379</v>
      </c>
      <c r="D63" s="71" t="s">
        <v>1527</v>
      </c>
      <c r="E63" s="71"/>
      <c r="F63" s="69" t="s">
        <v>1577</v>
      </c>
    </row>
    <row r="64" spans="1:6" x14ac:dyDescent="0.25">
      <c r="A64" s="71" t="s">
        <v>1661</v>
      </c>
      <c r="B64" s="70" t="s">
        <v>1708</v>
      </c>
      <c r="C64" s="71" t="s">
        <v>1380</v>
      </c>
      <c r="D64" s="71" t="s">
        <v>1528</v>
      </c>
      <c r="E64" s="71"/>
      <c r="F64" s="69" t="s">
        <v>1578</v>
      </c>
    </row>
    <row r="65" spans="1:6" x14ac:dyDescent="0.25">
      <c r="A65" s="71" t="s">
        <v>1661</v>
      </c>
      <c r="B65" s="70" t="s">
        <v>1709</v>
      </c>
      <c r="C65" s="71" t="s">
        <v>1381</v>
      </c>
      <c r="D65" s="71" t="s">
        <v>1529</v>
      </c>
      <c r="E65" s="71"/>
      <c r="F65" s="69" t="s">
        <v>1579</v>
      </c>
    </row>
    <row r="66" spans="1:6" x14ac:dyDescent="0.25">
      <c r="A66" s="71" t="s">
        <v>1661</v>
      </c>
      <c r="B66" s="70" t="s">
        <v>1710</v>
      </c>
      <c r="C66" s="71" t="s">
        <v>1382</v>
      </c>
      <c r="D66" s="71" t="s">
        <v>1530</v>
      </c>
      <c r="E66" s="71"/>
      <c r="F66" s="69" t="s">
        <v>1580</v>
      </c>
    </row>
    <row r="67" spans="1:6" x14ac:dyDescent="0.25">
      <c r="A67" s="71" t="s">
        <v>1661</v>
      </c>
      <c r="B67" s="70" t="s">
        <v>1711</v>
      </c>
      <c r="C67" s="71" t="s">
        <v>1383</v>
      </c>
      <c r="D67" s="71" t="s">
        <v>1531</v>
      </c>
      <c r="E67" s="71"/>
      <c r="F67" s="69" t="s">
        <v>1581</v>
      </c>
    </row>
    <row r="68" spans="1:6" x14ac:dyDescent="0.25">
      <c r="A68" s="71"/>
      <c r="B68" s="70"/>
      <c r="C68" s="71"/>
      <c r="D68" s="71" t="s">
        <v>1532</v>
      </c>
      <c r="E68" s="71"/>
      <c r="F68" s="69" t="s">
        <v>1582</v>
      </c>
    </row>
    <row r="69" spans="1:6" x14ac:dyDescent="0.25">
      <c r="A69" s="71"/>
      <c r="B69" s="70" t="s">
        <v>1198</v>
      </c>
      <c r="C69" s="71" t="s">
        <v>1454</v>
      </c>
      <c r="D69" s="71" t="s">
        <v>1533</v>
      </c>
      <c r="E69" s="71"/>
      <c r="F69" s="69" t="s">
        <v>1583</v>
      </c>
    </row>
    <row r="70" spans="1:6" x14ac:dyDescent="0.25">
      <c r="A70" s="71"/>
      <c r="B70" s="70" t="s">
        <v>1199</v>
      </c>
      <c r="C70" s="71" t="s">
        <v>1455</v>
      </c>
      <c r="D70" s="71" t="s">
        <v>1534</v>
      </c>
      <c r="E70" s="71"/>
      <c r="F70" s="69" t="s">
        <v>1584</v>
      </c>
    </row>
    <row r="71" spans="1:6" x14ac:dyDescent="0.25">
      <c r="A71" s="71"/>
      <c r="B71" s="70" t="s">
        <v>1200</v>
      </c>
      <c r="C71" s="71" t="s">
        <v>1456</v>
      </c>
      <c r="D71" s="71" t="s">
        <v>1535</v>
      </c>
      <c r="E71" s="71"/>
      <c r="F71" s="69" t="s">
        <v>1585</v>
      </c>
    </row>
    <row r="72" spans="1:6" x14ac:dyDescent="0.25">
      <c r="A72" s="71"/>
      <c r="B72" s="70" t="s">
        <v>1201</v>
      </c>
      <c r="C72" s="71" t="s">
        <v>1457</v>
      </c>
      <c r="D72" s="71" t="s">
        <v>1536</v>
      </c>
      <c r="E72" s="71"/>
      <c r="F72" s="69" t="s">
        <v>1586</v>
      </c>
    </row>
    <row r="73" spans="1:6" x14ac:dyDescent="0.25">
      <c r="A73" s="71"/>
      <c r="B73" s="70" t="s">
        <v>1202</v>
      </c>
      <c r="C73" s="71" t="s">
        <v>1458</v>
      </c>
      <c r="D73" s="71" t="s">
        <v>1537</v>
      </c>
      <c r="E73" s="71"/>
      <c r="F73" s="69" t="s">
        <v>1587</v>
      </c>
    </row>
    <row r="74" spans="1:6" x14ac:dyDescent="0.25">
      <c r="A74" s="71"/>
      <c r="B74" s="70" t="s">
        <v>1203</v>
      </c>
      <c r="C74" s="71" t="s">
        <v>1459</v>
      </c>
      <c r="D74" s="71" t="s">
        <v>1538</v>
      </c>
      <c r="E74" s="71"/>
      <c r="F74" s="69" t="s">
        <v>1588</v>
      </c>
    </row>
    <row r="75" spans="1:6" x14ac:dyDescent="0.25">
      <c r="A75" s="71"/>
      <c r="B75" s="70" t="s">
        <v>1204</v>
      </c>
      <c r="C75" s="71" t="s">
        <v>1460</v>
      </c>
      <c r="D75" s="71" t="s">
        <v>1539</v>
      </c>
      <c r="E75" s="71"/>
      <c r="F75" s="69" t="s">
        <v>1589</v>
      </c>
    </row>
    <row r="76" spans="1:6" x14ac:dyDescent="0.25">
      <c r="A76" s="71"/>
      <c r="B76" s="70" t="s">
        <v>1205</v>
      </c>
      <c r="C76" s="71" t="s">
        <v>1461</v>
      </c>
      <c r="D76" s="71" t="s">
        <v>1540</v>
      </c>
      <c r="E76" s="71"/>
      <c r="F76" s="69" t="s">
        <v>1590</v>
      </c>
    </row>
    <row r="77" spans="1:6" x14ac:dyDescent="0.25">
      <c r="A77" s="71"/>
      <c r="B77" s="70" t="s">
        <v>821</v>
      </c>
      <c r="C77" s="71" t="s">
        <v>1462</v>
      </c>
      <c r="D77" s="71" t="s">
        <v>1541</v>
      </c>
      <c r="E77" s="71"/>
      <c r="F77" s="69" t="s">
        <v>1591</v>
      </c>
    </row>
    <row r="78" spans="1:6" x14ac:dyDescent="0.25">
      <c r="A78" s="71"/>
      <c r="B78" s="70" t="s">
        <v>1264</v>
      </c>
      <c r="C78" s="71"/>
      <c r="D78" s="71" t="s">
        <v>1542</v>
      </c>
      <c r="E78" s="71"/>
      <c r="F78" s="69" t="s">
        <v>1592</v>
      </c>
    </row>
    <row r="79" spans="1:6" x14ac:dyDescent="0.25">
      <c r="A79" s="71"/>
      <c r="B79" s="70" t="s">
        <v>1263</v>
      </c>
      <c r="C79" s="71"/>
      <c r="D79" s="71" t="s">
        <v>1543</v>
      </c>
      <c r="E79" s="71"/>
      <c r="F79" s="69" t="s">
        <v>1593</v>
      </c>
    </row>
    <row r="80" spans="1:6" x14ac:dyDescent="0.25">
      <c r="A80" s="71"/>
      <c r="B80" s="70" t="s">
        <v>1663</v>
      </c>
      <c r="C80" s="71"/>
      <c r="D80" s="71" t="s">
        <v>1544</v>
      </c>
      <c r="E80" s="71"/>
      <c r="F80" s="69" t="s">
        <v>1594</v>
      </c>
    </row>
    <row r="81" spans="1:6" x14ac:dyDescent="0.25">
      <c r="A81" s="71"/>
      <c r="B81" s="70" t="s">
        <v>1664</v>
      </c>
      <c r="C81" s="71"/>
      <c r="D81" s="71" t="s">
        <v>1545</v>
      </c>
      <c r="E81" s="71"/>
      <c r="F81" s="69" t="s">
        <v>1595</v>
      </c>
    </row>
    <row r="82" spans="1:6" x14ac:dyDescent="0.25">
      <c r="A82" s="71"/>
      <c r="B82" s="70" t="s">
        <v>1665</v>
      </c>
      <c r="C82" s="71"/>
      <c r="D82" s="71" t="s">
        <v>1546</v>
      </c>
      <c r="E82" s="71"/>
      <c r="F82" s="69" t="s">
        <v>1596</v>
      </c>
    </row>
    <row r="83" spans="1:6" x14ac:dyDescent="0.25">
      <c r="A83" s="71"/>
      <c r="B83" s="70" t="s">
        <v>1666</v>
      </c>
      <c r="C83" s="71"/>
      <c r="D83" s="71" t="s">
        <v>1547</v>
      </c>
      <c r="E83" s="71"/>
      <c r="F83" s="69" t="s">
        <v>1597</v>
      </c>
    </row>
    <row r="84" spans="1:6" x14ac:dyDescent="0.25">
      <c r="A84" s="71" t="s">
        <v>1662</v>
      </c>
      <c r="B84" s="70" t="s">
        <v>1667</v>
      </c>
      <c r="C84" s="71"/>
      <c r="D84" s="71" t="s">
        <v>1548</v>
      </c>
      <c r="E84" s="71"/>
      <c r="F84" s="69" t="s">
        <v>1598</v>
      </c>
    </row>
    <row r="85" spans="1:6" x14ac:dyDescent="0.25">
      <c r="A85" s="71"/>
      <c r="B85" s="70" t="s">
        <v>1668</v>
      </c>
      <c r="C85" s="71"/>
      <c r="D85" s="71" t="s">
        <v>1549</v>
      </c>
      <c r="E85" s="71"/>
      <c r="F85" s="69" t="s">
        <v>1679</v>
      </c>
    </row>
    <row r="86" spans="1:6" x14ac:dyDescent="0.25">
      <c r="A86" s="71"/>
      <c r="B86" s="70" t="s">
        <v>1669</v>
      </c>
      <c r="C86" s="71"/>
      <c r="D86" s="71" t="s">
        <v>1550</v>
      </c>
      <c r="E86" s="71"/>
      <c r="F86" s="69" t="s">
        <v>1680</v>
      </c>
    </row>
    <row r="87" spans="1:6" x14ac:dyDescent="0.25">
      <c r="A87" s="71"/>
      <c r="B87" s="70" t="s">
        <v>1670</v>
      </c>
      <c r="C87" s="71"/>
      <c r="D87" s="71" t="s">
        <v>1551</v>
      </c>
      <c r="E87" s="71"/>
      <c r="F87" s="69" t="s">
        <v>1681</v>
      </c>
    </row>
    <row r="88" spans="1:6" x14ac:dyDescent="0.25">
      <c r="A88" s="71"/>
      <c r="B88" s="70" t="s">
        <v>1671</v>
      </c>
      <c r="C88" s="71"/>
      <c r="D88" s="71" t="s">
        <v>1552</v>
      </c>
      <c r="E88" s="71"/>
      <c r="F88" s="69" t="s">
        <v>1682</v>
      </c>
    </row>
    <row r="89" spans="1:6" x14ac:dyDescent="0.25">
      <c r="A89" s="71"/>
      <c r="B89" s="70" t="s">
        <v>1672</v>
      </c>
      <c r="C89" s="71"/>
      <c r="D89" s="71" t="s">
        <v>1553</v>
      </c>
      <c r="E89" s="71"/>
      <c r="F89" s="69" t="s">
        <v>1683</v>
      </c>
    </row>
    <row r="90" spans="1:6" x14ac:dyDescent="0.25">
      <c r="A90" s="71"/>
      <c r="B90" s="70" t="s">
        <v>1673</v>
      </c>
      <c r="C90" s="71"/>
      <c r="D90" s="71" t="s">
        <v>1554</v>
      </c>
      <c r="E90" s="71"/>
      <c r="F90" s="69" t="s">
        <v>1684</v>
      </c>
    </row>
    <row r="91" spans="1:6" x14ac:dyDescent="0.25">
      <c r="A91" s="71"/>
      <c r="B91" s="70" t="s">
        <v>1674</v>
      </c>
      <c r="C91" s="71"/>
      <c r="D91" s="71" t="s">
        <v>1555</v>
      </c>
      <c r="E91" s="71"/>
      <c r="F91" s="69" t="s">
        <v>1685</v>
      </c>
    </row>
    <row r="92" spans="1:6" x14ac:dyDescent="0.25">
      <c r="A92" s="71"/>
      <c r="B92" s="70"/>
      <c r="C92" s="71"/>
      <c r="D92" s="71" t="s">
        <v>1556</v>
      </c>
      <c r="E92" s="71"/>
      <c r="F92" s="69" t="s">
        <v>1686</v>
      </c>
    </row>
    <row r="93" spans="1:6" x14ac:dyDescent="0.25">
      <c r="A93" s="71"/>
      <c r="B93" s="70"/>
      <c r="C93" s="71"/>
      <c r="D93" s="71" t="s">
        <v>1557</v>
      </c>
      <c r="E93" s="71"/>
      <c r="F93" s="69" t="s">
        <v>1687</v>
      </c>
    </row>
    <row r="94" spans="1:6" x14ac:dyDescent="0.25">
      <c r="A94" s="71"/>
      <c r="B94" s="70"/>
      <c r="C94" s="71"/>
      <c r="D94" s="71" t="s">
        <v>1558</v>
      </c>
      <c r="E94" s="71"/>
      <c r="F94" s="69" t="s">
        <v>1688</v>
      </c>
    </row>
    <row r="95" spans="1:6" x14ac:dyDescent="0.25">
      <c r="A95" s="71"/>
      <c r="B95" s="70"/>
      <c r="C95" s="71"/>
      <c r="D95" s="71" t="s">
        <v>1559</v>
      </c>
      <c r="E95" s="71"/>
      <c r="F95" s="69" t="s">
        <v>1689</v>
      </c>
    </row>
    <row r="96" spans="1:6" x14ac:dyDescent="0.25">
      <c r="A96" s="71"/>
      <c r="B96" s="70"/>
      <c r="C96" s="71"/>
      <c r="D96" s="71" t="s">
        <v>1560</v>
      </c>
      <c r="E96" s="71"/>
      <c r="F96" s="69" t="s">
        <v>1690</v>
      </c>
    </row>
    <row r="97" spans="1:6" x14ac:dyDescent="0.25">
      <c r="A97" s="71"/>
      <c r="B97" s="70"/>
      <c r="C97" s="71"/>
      <c r="D97" s="71" t="s">
        <v>1561</v>
      </c>
      <c r="E97" s="71"/>
      <c r="F97" s="69" t="s">
        <v>1691</v>
      </c>
    </row>
    <row r="98" spans="1:6" x14ac:dyDescent="0.25">
      <c r="A98" s="71"/>
      <c r="B98" s="70"/>
      <c r="C98" s="71"/>
      <c r="D98" s="71" t="s">
        <v>1562</v>
      </c>
      <c r="E98" s="71"/>
      <c r="F98" s="69" t="s">
        <v>1692</v>
      </c>
    </row>
    <row r="99" spans="1:6" x14ac:dyDescent="0.25">
      <c r="A99" s="71"/>
      <c r="B99" s="70"/>
      <c r="C99" s="71"/>
      <c r="D99" s="71" t="s">
        <v>1563</v>
      </c>
      <c r="E99" s="71"/>
      <c r="F99" s="69" t="s">
        <v>1693</v>
      </c>
    </row>
    <row r="100" spans="1:6" x14ac:dyDescent="0.25">
      <c r="A100" s="71"/>
      <c r="B100" s="70"/>
      <c r="C100" s="71"/>
      <c r="D100" s="71" t="s">
        <v>1564</v>
      </c>
      <c r="E100" s="71"/>
      <c r="F100" s="69" t="s">
        <v>1694</v>
      </c>
    </row>
    <row r="101" spans="1:6" x14ac:dyDescent="0.25">
      <c r="A101" s="71"/>
      <c r="B101" s="70" t="s">
        <v>808</v>
      </c>
      <c r="C101" s="71" t="s">
        <v>1467</v>
      </c>
      <c r="D101" s="71" t="s">
        <v>1441</v>
      </c>
      <c r="E101" s="71"/>
      <c r="F101" s="69" t="s">
        <v>1435</v>
      </c>
    </row>
    <row r="102" spans="1:6" x14ac:dyDescent="0.25">
      <c r="A102" s="71"/>
      <c r="B102" s="70" t="s">
        <v>809</v>
      </c>
      <c r="C102" s="71" t="s">
        <v>1468</v>
      </c>
      <c r="D102" s="71" t="s">
        <v>1442</v>
      </c>
      <c r="E102" s="71"/>
      <c r="F102" s="69" t="s">
        <v>1436</v>
      </c>
    </row>
    <row r="103" spans="1:6" x14ac:dyDescent="0.25">
      <c r="A103" s="71"/>
      <c r="B103" s="70" t="s">
        <v>810</v>
      </c>
      <c r="C103" s="71" t="s">
        <v>1465</v>
      </c>
      <c r="D103" s="71" t="s">
        <v>1443</v>
      </c>
      <c r="E103" s="71"/>
      <c r="F103" s="69" t="s">
        <v>1437</v>
      </c>
    </row>
    <row r="104" spans="1:6" x14ac:dyDescent="0.25">
      <c r="A104" s="71"/>
      <c r="B104" s="70" t="s">
        <v>811</v>
      </c>
      <c r="C104" s="71" t="s">
        <v>1466</v>
      </c>
      <c r="D104" s="71" t="s">
        <v>1444</v>
      </c>
      <c r="E104" s="71"/>
      <c r="F104" s="69" t="s">
        <v>1438</v>
      </c>
    </row>
    <row r="105" spans="1:6" x14ac:dyDescent="0.25">
      <c r="A105" s="71"/>
      <c r="B105" s="70" t="s">
        <v>812</v>
      </c>
      <c r="C105" s="71" t="s">
        <v>1463</v>
      </c>
      <c r="D105" s="71" t="s">
        <v>1445</v>
      </c>
      <c r="E105" s="71"/>
      <c r="F105" s="69" t="s">
        <v>1439</v>
      </c>
    </row>
    <row r="106" spans="1:6" x14ac:dyDescent="0.25">
      <c r="A106" s="71"/>
      <c r="B106" s="70" t="s">
        <v>813</v>
      </c>
      <c r="C106" s="71" t="s">
        <v>1464</v>
      </c>
      <c r="D106" s="71" t="s">
        <v>1446</v>
      </c>
      <c r="E106" s="71"/>
      <c r="F106" s="69" t="s">
        <v>1440</v>
      </c>
    </row>
    <row r="107" spans="1:6" x14ac:dyDescent="0.25">
      <c r="A107" s="71"/>
      <c r="B107" s="70"/>
      <c r="C107" s="71"/>
      <c r="D107" s="71"/>
      <c r="E107" s="71"/>
      <c r="F107" s="69" t="s">
        <v>1469</v>
      </c>
    </row>
    <row r="108" spans="1:6" x14ac:dyDescent="0.25">
      <c r="A108" s="71"/>
      <c r="B108" s="70"/>
      <c r="C108" s="71"/>
      <c r="D108" s="71"/>
      <c r="E108" s="71"/>
      <c r="F108" s="69" t="s">
        <v>1470</v>
      </c>
    </row>
    <row r="109" spans="1:6" x14ac:dyDescent="0.25">
      <c r="A109" s="71"/>
      <c r="B109" s="70"/>
      <c r="C109" s="71"/>
      <c r="D109" s="71"/>
      <c r="E109" s="71"/>
      <c r="F109" s="69" t="s">
        <v>1471</v>
      </c>
    </row>
    <row r="110" spans="1:6" x14ac:dyDescent="0.25">
      <c r="A110" s="71"/>
      <c r="B110" s="70"/>
      <c r="C110" s="71"/>
      <c r="D110" s="71"/>
      <c r="E110" s="71"/>
      <c r="F110" s="69" t="s">
        <v>1472</v>
      </c>
    </row>
    <row r="111" spans="1:6" x14ac:dyDescent="0.25">
      <c r="A111" s="71"/>
      <c r="B111" s="70"/>
      <c r="C111" s="71"/>
      <c r="D111" s="71"/>
      <c r="E111" s="71"/>
      <c r="F111" s="69" t="s">
        <v>1473</v>
      </c>
    </row>
    <row r="112" spans="1:6" x14ac:dyDescent="0.25">
      <c r="A112" s="71"/>
      <c r="B112" s="70"/>
      <c r="C112" s="71"/>
      <c r="D112" s="71"/>
      <c r="E112" s="71"/>
      <c r="F112" s="69" t="s">
        <v>1474</v>
      </c>
    </row>
    <row r="113" spans="1:6" x14ac:dyDescent="0.25">
      <c r="A113" s="71"/>
      <c r="B113" s="70"/>
      <c r="C113" s="71"/>
      <c r="D113" s="71"/>
      <c r="E113" s="71"/>
      <c r="F113" s="69" t="s">
        <v>1475</v>
      </c>
    </row>
    <row r="114" spans="1:6" x14ac:dyDescent="0.25">
      <c r="A114" s="71"/>
      <c r="B114" s="70"/>
      <c r="C114" s="71"/>
      <c r="D114" s="71"/>
      <c r="E114" s="71"/>
      <c r="F114" s="69" t="s">
        <v>1476</v>
      </c>
    </row>
    <row r="115" spans="1:6" x14ac:dyDescent="0.25">
      <c r="A115" s="71"/>
      <c r="B115" s="70"/>
      <c r="C115" s="71"/>
      <c r="D115" s="71"/>
      <c r="E115" s="71"/>
      <c r="F115" s="69" t="s">
        <v>1477</v>
      </c>
    </row>
    <row r="116" spans="1:6" x14ac:dyDescent="0.25">
      <c r="A116" s="71"/>
      <c r="B116" s="70"/>
      <c r="C116" s="71"/>
      <c r="D116" s="71"/>
      <c r="E116" s="71"/>
      <c r="F116" s="69" t="s">
        <v>1478</v>
      </c>
    </row>
    <row r="117" spans="1:6" x14ac:dyDescent="0.25">
      <c r="A117" s="71"/>
      <c r="B117" s="70"/>
      <c r="C117" s="71"/>
      <c r="D117" s="71"/>
      <c r="E117" s="71"/>
      <c r="F117" s="69" t="s">
        <v>1479</v>
      </c>
    </row>
    <row r="118" spans="1:6" x14ac:dyDescent="0.25">
      <c r="A118" s="71"/>
      <c r="B118" s="70"/>
      <c r="C118" s="71"/>
      <c r="D118" s="71"/>
      <c r="E118" s="71"/>
      <c r="F118" s="69" t="s">
        <v>1480</v>
      </c>
    </row>
    <row r="119" spans="1:6" x14ac:dyDescent="0.25">
      <c r="A119" s="71"/>
      <c r="B119" s="70"/>
      <c r="C119" s="71"/>
      <c r="D119" s="71"/>
      <c r="E119" s="71"/>
      <c r="F119" s="69" t="s">
        <v>1481</v>
      </c>
    </row>
    <row r="120" spans="1:6" x14ac:dyDescent="0.25">
      <c r="A120" s="71"/>
      <c r="B120" s="70"/>
      <c r="C120" s="71"/>
      <c r="D120" s="71"/>
      <c r="E120" s="71"/>
      <c r="F120" s="69" t="s">
        <v>1482</v>
      </c>
    </row>
    <row r="121" spans="1:6" x14ac:dyDescent="0.25">
      <c r="A121" s="71"/>
      <c r="B121" s="70"/>
      <c r="C121" s="71"/>
      <c r="D121" s="71"/>
      <c r="E121" s="71"/>
      <c r="F121" s="69" t="s">
        <v>1483</v>
      </c>
    </row>
    <row r="122" spans="1:6" x14ac:dyDescent="0.25">
      <c r="A122" s="71"/>
      <c r="B122" s="70"/>
      <c r="C122" s="71"/>
      <c r="D122" s="71"/>
      <c r="E122" s="71"/>
      <c r="F122" s="69" t="s">
        <v>1484</v>
      </c>
    </row>
    <row r="123" spans="1:6" x14ac:dyDescent="0.25">
      <c r="A123" s="71"/>
      <c r="B123" s="70"/>
      <c r="C123" s="71"/>
      <c r="D123" s="71"/>
      <c r="E123" s="71"/>
      <c r="F123" s="69" t="s">
        <v>1485</v>
      </c>
    </row>
    <row r="124" spans="1:6" x14ac:dyDescent="0.25">
      <c r="A124" s="71"/>
      <c r="B124" s="70"/>
      <c r="C124" s="71"/>
      <c r="D124" s="71"/>
      <c r="E124" s="71"/>
      <c r="F124" s="69" t="s">
        <v>1486</v>
      </c>
    </row>
    <row r="125" spans="1:6" x14ac:dyDescent="0.25">
      <c r="A125" s="71"/>
      <c r="B125" s="70"/>
      <c r="C125" s="71"/>
      <c r="D125" s="71"/>
      <c r="E125" s="71"/>
      <c r="F125" s="69" t="s">
        <v>1487</v>
      </c>
    </row>
    <row r="126" spans="1:6" x14ac:dyDescent="0.25">
      <c r="A126" s="71"/>
      <c r="B126" s="70"/>
      <c r="C126" s="71"/>
      <c r="D126" s="71"/>
      <c r="E126" s="71"/>
      <c r="F126" s="69" t="s">
        <v>1488</v>
      </c>
    </row>
    <row r="127" spans="1:6" x14ac:dyDescent="0.25">
      <c r="A127" s="71"/>
      <c r="B127" s="70"/>
      <c r="C127" s="71"/>
      <c r="D127" s="71"/>
      <c r="E127" s="71"/>
      <c r="F127" s="69" t="s">
        <v>1489</v>
      </c>
    </row>
    <row r="128" spans="1:6" x14ac:dyDescent="0.25">
      <c r="A128" s="71"/>
      <c r="B128" s="70"/>
      <c r="C128" s="71"/>
      <c r="D128" s="71"/>
      <c r="E128" s="71"/>
      <c r="F128" s="69" t="s">
        <v>1490</v>
      </c>
    </row>
    <row r="129" spans="1:6" x14ac:dyDescent="0.25">
      <c r="A129" s="71"/>
      <c r="B129" s="70"/>
      <c r="C129" s="71"/>
      <c r="D129" s="71"/>
      <c r="E129" s="71"/>
      <c r="F129" s="69" t="s">
        <v>1491</v>
      </c>
    </row>
    <row r="130" spans="1:6" x14ac:dyDescent="0.25">
      <c r="A130" s="71"/>
      <c r="B130" s="70"/>
      <c r="C130" s="71"/>
      <c r="D130" s="71"/>
      <c r="E130" s="71"/>
      <c r="F130" s="69" t="s">
        <v>1492</v>
      </c>
    </row>
    <row r="131" spans="1:6" x14ac:dyDescent="0.25">
      <c r="A131" s="71"/>
      <c r="B131" s="70"/>
      <c r="C131" s="71"/>
      <c r="D131" s="71"/>
      <c r="E131" s="71"/>
      <c r="F131" s="69" t="s">
        <v>1493</v>
      </c>
    </row>
    <row r="132" spans="1:6" x14ac:dyDescent="0.25">
      <c r="A132" s="71"/>
      <c r="B132" s="70"/>
      <c r="C132" s="71"/>
      <c r="D132" s="71"/>
      <c r="E132" s="71"/>
      <c r="F132" s="69" t="s">
        <v>1494</v>
      </c>
    </row>
    <row r="133" spans="1:6" x14ac:dyDescent="0.25">
      <c r="A133" s="71"/>
      <c r="B133" s="70"/>
      <c r="C133" s="71"/>
      <c r="D133" s="71"/>
      <c r="E133" s="71"/>
      <c r="F133" s="69" t="s">
        <v>1495</v>
      </c>
    </row>
    <row r="134" spans="1:6" x14ac:dyDescent="0.25">
      <c r="A134" s="71"/>
      <c r="B134" s="70"/>
      <c r="C134" s="71"/>
      <c r="D134" s="71"/>
      <c r="E134" s="71"/>
      <c r="F134" s="69" t="s">
        <v>1496</v>
      </c>
    </row>
    <row r="135" spans="1:6" x14ac:dyDescent="0.25">
      <c r="A135" s="71"/>
      <c r="B135" s="70"/>
      <c r="C135" s="71"/>
      <c r="D135" s="71"/>
      <c r="E135" s="71"/>
      <c r="F135" s="69" t="s">
        <v>1497</v>
      </c>
    </row>
    <row r="136" spans="1:6" x14ac:dyDescent="0.25">
      <c r="A136" s="71"/>
      <c r="B136" s="70"/>
      <c r="C136" s="71"/>
      <c r="D136" s="71"/>
      <c r="E136" s="71"/>
      <c r="F136" s="69" t="s">
        <v>1498</v>
      </c>
    </row>
    <row r="137" spans="1:6" x14ac:dyDescent="0.25">
      <c r="A137" s="71"/>
      <c r="B137" s="70"/>
      <c r="C137" s="71"/>
      <c r="D137" s="71"/>
      <c r="E137" s="71"/>
      <c r="F137" s="69" t="s">
        <v>1499</v>
      </c>
    </row>
    <row r="138" spans="1:6" x14ac:dyDescent="0.25">
      <c r="A138" s="71"/>
      <c r="B138" s="70"/>
      <c r="C138" s="71"/>
      <c r="D138" s="71"/>
      <c r="E138" s="71"/>
      <c r="F138" s="69" t="s">
        <v>1500</v>
      </c>
    </row>
    <row r="139" spans="1:6" x14ac:dyDescent="0.25">
      <c r="A139" s="71"/>
      <c r="B139" s="70"/>
      <c r="C139" s="71"/>
      <c r="D139" s="71"/>
      <c r="E139" s="71"/>
      <c r="F139" s="69" t="s">
        <v>1501</v>
      </c>
    </row>
    <row r="140" spans="1:6" x14ac:dyDescent="0.25">
      <c r="A140" s="71"/>
      <c r="B140" s="70"/>
      <c r="C140" s="71"/>
      <c r="D140" s="71"/>
      <c r="E140" s="71"/>
      <c r="F140" s="69" t="s">
        <v>1502</v>
      </c>
    </row>
    <row r="141" spans="1:6" x14ac:dyDescent="0.25">
      <c r="A141" s="71"/>
      <c r="B141" s="70"/>
      <c r="C141" s="71"/>
      <c r="D141" s="71"/>
      <c r="E141" s="71"/>
      <c r="F141" s="69" t="s">
        <v>1503</v>
      </c>
    </row>
    <row r="142" spans="1:6" x14ac:dyDescent="0.25">
      <c r="A142" s="71"/>
      <c r="B142" s="70"/>
      <c r="C142" s="71"/>
      <c r="D142" s="71"/>
      <c r="E142" s="71"/>
      <c r="F142" s="69" t="s">
        <v>1504</v>
      </c>
    </row>
    <row r="143" spans="1:6" x14ac:dyDescent="0.25">
      <c r="A143" s="71"/>
      <c r="B143" s="70"/>
      <c r="C143" s="71"/>
      <c r="D143" s="71"/>
      <c r="E143" s="71"/>
      <c r="F143" s="69" t="s">
        <v>1505</v>
      </c>
    </row>
    <row r="144" spans="1:6" x14ac:dyDescent="0.25">
      <c r="A144" s="71"/>
      <c r="B144" s="70"/>
      <c r="C144" s="71"/>
      <c r="D144" s="71"/>
      <c r="E144" s="71"/>
      <c r="F144" s="69" t="s">
        <v>1506</v>
      </c>
    </row>
    <row r="145" spans="1:6" x14ac:dyDescent="0.25">
      <c r="A145" s="71"/>
      <c r="B145" s="70"/>
      <c r="C145" s="71"/>
      <c r="D145" s="71"/>
      <c r="E145" s="71"/>
      <c r="F145" s="69" t="s">
        <v>1507</v>
      </c>
    </row>
    <row r="146" spans="1:6" x14ac:dyDescent="0.25">
      <c r="A146" s="71"/>
      <c r="B146" s="70"/>
      <c r="C146" s="71"/>
      <c r="D146" s="71"/>
      <c r="E146" s="71"/>
      <c r="F146" s="69" t="s">
        <v>1508</v>
      </c>
    </row>
    <row r="147" spans="1:6" x14ac:dyDescent="0.25">
      <c r="A147" s="71"/>
      <c r="B147" s="70"/>
      <c r="C147" s="71"/>
      <c r="D147" s="71"/>
      <c r="E147" s="71"/>
      <c r="F147" s="69" t="s">
        <v>1509</v>
      </c>
    </row>
    <row r="148" spans="1:6" x14ac:dyDescent="0.25">
      <c r="A148" s="71"/>
      <c r="B148" s="70"/>
      <c r="C148" s="71"/>
      <c r="D148" s="71"/>
      <c r="E148" s="71"/>
      <c r="F148" s="69" t="s">
        <v>1510</v>
      </c>
    </row>
    <row r="149" spans="1:6" x14ac:dyDescent="0.25">
      <c r="A149" s="71"/>
      <c r="B149" s="70"/>
      <c r="C149" s="71"/>
      <c r="D149" s="71"/>
      <c r="E149" s="71"/>
      <c r="F149" s="69" t="s">
        <v>1511</v>
      </c>
    </row>
    <row r="150" spans="1:6" x14ac:dyDescent="0.25">
      <c r="A150" s="71"/>
      <c r="B150" s="70"/>
      <c r="C150" s="71"/>
      <c r="D150" s="71"/>
      <c r="E150" s="71"/>
      <c r="F150" s="69" t="s">
        <v>1512</v>
      </c>
    </row>
    <row r="151" spans="1:6" x14ac:dyDescent="0.25">
      <c r="A151" s="71"/>
      <c r="B151" s="70"/>
      <c r="C151" s="71"/>
      <c r="D151" s="71"/>
      <c r="E151" s="71"/>
      <c r="F151" s="69" t="s">
        <v>1513</v>
      </c>
    </row>
    <row r="152" spans="1:6" x14ac:dyDescent="0.25">
      <c r="A152" s="71"/>
      <c r="B152" s="70"/>
      <c r="C152" s="71"/>
      <c r="D152" s="71"/>
      <c r="E152" s="71"/>
      <c r="F152" s="69" t="s">
        <v>1514</v>
      </c>
    </row>
    <row r="153" spans="1:6" x14ac:dyDescent="0.25">
      <c r="A153" s="71"/>
      <c r="B153" s="70"/>
      <c r="C153" s="71"/>
      <c r="D153" s="71"/>
      <c r="E153" s="71"/>
      <c r="F153" s="69" t="s">
        <v>1515</v>
      </c>
    </row>
    <row r="154" spans="1:6" x14ac:dyDescent="0.25">
      <c r="A154" s="71"/>
      <c r="B154" s="70"/>
      <c r="C154" s="71"/>
      <c r="D154" s="71"/>
      <c r="E154" s="71"/>
      <c r="F154" s="69" t="s">
        <v>1516</v>
      </c>
    </row>
    <row r="155" spans="1:6" x14ac:dyDescent="0.25">
      <c r="A155" s="71"/>
      <c r="B155" s="70"/>
      <c r="C155" s="71"/>
      <c r="D155" s="71" t="s">
        <v>1565</v>
      </c>
      <c r="E155" s="71"/>
      <c r="F155" s="69" t="s">
        <v>1599</v>
      </c>
    </row>
    <row r="156" spans="1:6" x14ac:dyDescent="0.25">
      <c r="A156" s="71"/>
      <c r="B156" s="70"/>
      <c r="C156" s="71"/>
      <c r="D156" s="71" t="s">
        <v>1615</v>
      </c>
      <c r="E156" s="71"/>
      <c r="F156" s="69" t="s">
        <v>1600</v>
      </c>
    </row>
    <row r="157" spans="1:6" x14ac:dyDescent="0.25">
      <c r="A157" s="71"/>
      <c r="B157" s="70"/>
      <c r="C157" s="71"/>
      <c r="D157" s="71" t="s">
        <v>1616</v>
      </c>
      <c r="E157" s="71"/>
      <c r="F157" s="69" t="s">
        <v>1601</v>
      </c>
    </row>
    <row r="158" spans="1:6" x14ac:dyDescent="0.25">
      <c r="A158" s="71"/>
      <c r="B158" s="70"/>
      <c r="C158" s="71"/>
      <c r="D158" s="71" t="s">
        <v>1617</v>
      </c>
      <c r="E158" s="71"/>
      <c r="F158" s="69" t="s">
        <v>1602</v>
      </c>
    </row>
    <row r="159" spans="1:6" x14ac:dyDescent="0.25">
      <c r="A159" s="71"/>
      <c r="B159" s="70"/>
      <c r="C159" s="71"/>
      <c r="D159" s="71" t="s">
        <v>1618</v>
      </c>
      <c r="E159" s="71"/>
      <c r="F159" s="69" t="s">
        <v>1603</v>
      </c>
    </row>
    <row r="160" spans="1:6" x14ac:dyDescent="0.25">
      <c r="A160" s="71"/>
      <c r="B160" s="70"/>
      <c r="C160" s="71"/>
      <c r="D160" s="71" t="s">
        <v>1619</v>
      </c>
      <c r="E160" s="71"/>
      <c r="F160" s="69" t="s">
        <v>1604</v>
      </c>
    </row>
    <row r="161" spans="1:6" x14ac:dyDescent="0.25">
      <c r="A161" s="71"/>
      <c r="B161" s="70"/>
      <c r="C161" s="71"/>
      <c r="D161" s="71" t="s">
        <v>1620</v>
      </c>
      <c r="E161" s="71"/>
      <c r="F161" s="69" t="s">
        <v>1605</v>
      </c>
    </row>
    <row r="162" spans="1:6" x14ac:dyDescent="0.25">
      <c r="A162" s="71"/>
      <c r="B162" s="70"/>
      <c r="C162" s="71"/>
      <c r="D162" s="71" t="s">
        <v>1621</v>
      </c>
      <c r="E162" s="71"/>
      <c r="F162" s="69" t="s">
        <v>1606</v>
      </c>
    </row>
    <row r="163" spans="1:6" x14ac:dyDescent="0.25">
      <c r="A163" s="71"/>
      <c r="B163" s="70"/>
      <c r="C163" s="71"/>
      <c r="D163" s="71" t="s">
        <v>1622</v>
      </c>
      <c r="E163" s="71"/>
      <c r="F163" s="69" t="s">
        <v>1607</v>
      </c>
    </row>
    <row r="164" spans="1:6" x14ac:dyDescent="0.25">
      <c r="A164" s="71"/>
      <c r="B164" s="70"/>
      <c r="C164" s="71"/>
      <c r="D164" s="71" t="s">
        <v>1623</v>
      </c>
      <c r="E164" s="71"/>
      <c r="F164" s="69" t="s">
        <v>1608</v>
      </c>
    </row>
    <row r="165" spans="1:6" x14ac:dyDescent="0.25">
      <c r="A165" s="71"/>
      <c r="B165" s="70"/>
      <c r="C165" s="71"/>
      <c r="D165" s="71" t="s">
        <v>1624</v>
      </c>
      <c r="E165" s="71"/>
      <c r="F165" s="69" t="s">
        <v>1609</v>
      </c>
    </row>
    <row r="166" spans="1:6" x14ac:dyDescent="0.25">
      <c r="A166" s="71"/>
      <c r="B166" s="70"/>
      <c r="C166" s="71"/>
      <c r="D166" s="71" t="s">
        <v>1625</v>
      </c>
      <c r="E166" s="71"/>
      <c r="F166" s="69" t="s">
        <v>1610</v>
      </c>
    </row>
    <row r="167" spans="1:6" x14ac:dyDescent="0.25">
      <c r="A167" s="71"/>
      <c r="B167" s="70"/>
      <c r="C167" s="71"/>
      <c r="D167" s="71" t="s">
        <v>1626</v>
      </c>
      <c r="E167" s="71"/>
      <c r="F167" s="69" t="s">
        <v>1611</v>
      </c>
    </row>
    <row r="168" spans="1:6" x14ac:dyDescent="0.25">
      <c r="A168" s="71"/>
      <c r="B168" s="70"/>
      <c r="C168" s="71"/>
      <c r="D168" s="71" t="s">
        <v>1627</v>
      </c>
      <c r="E168" s="71"/>
      <c r="F168" s="69" t="s">
        <v>1612</v>
      </c>
    </row>
    <row r="169" spans="1:6" x14ac:dyDescent="0.25">
      <c r="A169" s="71"/>
      <c r="B169" s="70"/>
      <c r="C169" s="71"/>
      <c r="D169" s="71" t="s">
        <v>1628</v>
      </c>
      <c r="E169" s="71"/>
      <c r="F169" s="69" t="s">
        <v>1613</v>
      </c>
    </row>
    <row r="170" spans="1:6" x14ac:dyDescent="0.25">
      <c r="A170" s="71"/>
      <c r="B170" s="70"/>
      <c r="C170" s="71"/>
      <c r="D170" s="71" t="s">
        <v>1629</v>
      </c>
      <c r="E170" s="71"/>
      <c r="F170" s="69" t="s">
        <v>1566</v>
      </c>
    </row>
    <row r="171" spans="1:6" x14ac:dyDescent="0.25">
      <c r="A171" s="71"/>
      <c r="B171" s="70"/>
      <c r="C171" s="71"/>
      <c r="D171" s="71" t="s">
        <v>1630</v>
      </c>
      <c r="E171" s="71"/>
      <c r="F171" s="69" t="s">
        <v>1614</v>
      </c>
    </row>
    <row r="172" spans="1:6" x14ac:dyDescent="0.25">
      <c r="A172" s="71"/>
      <c r="B172" s="70"/>
      <c r="C172" s="71"/>
      <c r="D172" s="71" t="s">
        <v>1631</v>
      </c>
      <c r="E172" s="71"/>
      <c r="F172" s="69" t="s">
        <v>1646</v>
      </c>
    </row>
    <row r="173" spans="1:6" x14ac:dyDescent="0.25">
      <c r="A173" s="71"/>
      <c r="B173" s="70"/>
      <c r="C173" s="71"/>
      <c r="D173" s="71" t="s">
        <v>1632</v>
      </c>
      <c r="E173" s="71"/>
      <c r="F173" s="69" t="s">
        <v>1647</v>
      </c>
    </row>
    <row r="174" spans="1:6" x14ac:dyDescent="0.25">
      <c r="A174" s="71"/>
      <c r="B174" s="70"/>
      <c r="C174" s="71"/>
      <c r="D174" s="71" t="s">
        <v>1633</v>
      </c>
      <c r="E174" s="71"/>
      <c r="F174" s="69" t="s">
        <v>1648</v>
      </c>
    </row>
    <row r="175" spans="1:6" x14ac:dyDescent="0.25">
      <c r="A175" s="71"/>
      <c r="B175" s="70"/>
      <c r="C175" s="71"/>
      <c r="D175" s="71" t="s">
        <v>1634</v>
      </c>
      <c r="E175" s="71"/>
      <c r="F175" s="69" t="s">
        <v>1649</v>
      </c>
    </row>
    <row r="176" spans="1:6" x14ac:dyDescent="0.25">
      <c r="A176" s="71"/>
      <c r="B176" s="70"/>
      <c r="C176" s="71"/>
      <c r="D176" s="71" t="s">
        <v>1635</v>
      </c>
      <c r="E176" s="71"/>
      <c r="F176" s="69" t="s">
        <v>1650</v>
      </c>
    </row>
    <row r="177" spans="1:6" x14ac:dyDescent="0.25">
      <c r="A177" s="71"/>
      <c r="B177" s="70"/>
      <c r="C177" s="71"/>
      <c r="D177" s="71" t="s">
        <v>1636</v>
      </c>
      <c r="E177" s="71"/>
      <c r="F177" s="69" t="s">
        <v>1651</v>
      </c>
    </row>
    <row r="178" spans="1:6" x14ac:dyDescent="0.25">
      <c r="A178" s="71"/>
      <c r="B178" s="70"/>
      <c r="C178" s="71"/>
      <c r="D178" s="71" t="s">
        <v>1637</v>
      </c>
      <c r="E178" s="71"/>
      <c r="F178" s="69" t="s">
        <v>1652</v>
      </c>
    </row>
    <row r="179" spans="1:6" x14ac:dyDescent="0.25">
      <c r="A179" s="71"/>
      <c r="B179" s="70"/>
      <c r="C179" s="71"/>
      <c r="D179" s="71" t="s">
        <v>1638</v>
      </c>
      <c r="E179" s="71"/>
      <c r="F179" s="69" t="s">
        <v>1653</v>
      </c>
    </row>
    <row r="180" spans="1:6" x14ac:dyDescent="0.25">
      <c r="A180" s="71"/>
      <c r="B180" s="70"/>
      <c r="C180" s="71"/>
      <c r="D180" s="71" t="s">
        <v>1639</v>
      </c>
      <c r="E180" s="71"/>
      <c r="F180" s="69" t="s">
        <v>1654</v>
      </c>
    </row>
    <row r="181" spans="1:6" x14ac:dyDescent="0.25">
      <c r="A181" s="71"/>
      <c r="B181" s="70"/>
      <c r="C181" s="71"/>
      <c r="D181" s="71" t="s">
        <v>1640</v>
      </c>
      <c r="E181" s="71"/>
      <c r="F181" s="69" t="s">
        <v>1655</v>
      </c>
    </row>
    <row r="182" spans="1:6" x14ac:dyDescent="0.25">
      <c r="A182" s="71"/>
      <c r="B182" s="70"/>
      <c r="C182" s="71"/>
      <c r="D182" s="71" t="s">
        <v>1641</v>
      </c>
      <c r="E182" s="71"/>
      <c r="F182" s="69" t="s">
        <v>1656</v>
      </c>
    </row>
    <row r="183" spans="1:6" x14ac:dyDescent="0.25">
      <c r="A183" s="71"/>
      <c r="B183" s="70"/>
      <c r="C183" s="71"/>
      <c r="D183" s="71" t="s">
        <v>1642</v>
      </c>
      <c r="E183" s="71"/>
      <c r="F183" s="69" t="s">
        <v>1657</v>
      </c>
    </row>
    <row r="184" spans="1:6" x14ac:dyDescent="0.25">
      <c r="A184" s="71"/>
      <c r="B184" s="70"/>
      <c r="C184" s="71"/>
      <c r="D184" s="71" t="s">
        <v>1643</v>
      </c>
      <c r="E184" s="71"/>
      <c r="F184" s="69" t="s">
        <v>1658</v>
      </c>
    </row>
    <row r="185" spans="1:6" x14ac:dyDescent="0.25">
      <c r="A185" s="71"/>
      <c r="B185" s="70"/>
      <c r="C185" s="71"/>
      <c r="D185" s="71" t="s">
        <v>1644</v>
      </c>
      <c r="E185" s="71"/>
      <c r="F185" s="69" t="s">
        <v>1659</v>
      </c>
    </row>
    <row r="186" spans="1:6" x14ac:dyDescent="0.25">
      <c r="A186" s="71"/>
      <c r="B186" s="70"/>
      <c r="C186" s="71"/>
      <c r="D186" s="71" t="s">
        <v>1645</v>
      </c>
      <c r="E186" s="71"/>
      <c r="F186" s="69" t="s">
        <v>1660</v>
      </c>
    </row>
  </sheetData>
  <phoneticPr fontId="1" type="noConversion"/>
  <pageMargins left="0.7" right="0.7" top="0.75" bottom="0.75" header="0.3" footer="0.3"/>
  <pageSetup scale="58" fitToHeight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D7AE-0C71-460A-B2AC-AAE5F3BBFC2C}">
  <sheetPr>
    <pageSetUpPr fitToPage="1"/>
  </sheetPr>
  <dimension ref="A1:M125"/>
  <sheetViews>
    <sheetView zoomScaleNormal="100" workbookViewId="0">
      <selection activeCell="G22" sqref="G22"/>
    </sheetView>
  </sheetViews>
  <sheetFormatPr defaultRowHeight="12.75" x14ac:dyDescent="0.2"/>
  <cols>
    <col min="1" max="1" width="35.28515625" style="6" customWidth="1"/>
    <col min="2" max="2" width="25" style="6" customWidth="1"/>
    <col min="3" max="3" width="19.42578125" style="6" customWidth="1"/>
    <col min="4" max="4" width="5.85546875" style="6" customWidth="1"/>
    <col min="5" max="5" width="14" style="6" customWidth="1"/>
    <col min="6" max="6" width="17.85546875" style="35" customWidth="1"/>
    <col min="7" max="7" width="16" style="6" customWidth="1"/>
    <col min="8" max="8" width="15.42578125" style="8" customWidth="1"/>
    <col min="9" max="9" width="13.85546875" style="8" customWidth="1"/>
    <col min="10" max="10" width="15.7109375" style="48" customWidth="1"/>
    <col min="11" max="11" width="7.42578125" style="6" customWidth="1"/>
    <col min="12" max="12" width="10.5703125" style="6" customWidth="1"/>
    <col min="13" max="13" width="9.140625" style="6"/>
    <col min="14" max="16384" width="9.140625" style="1"/>
  </cols>
  <sheetData>
    <row r="1" spans="1:13" s="32" customFormat="1" ht="46.5" customHeight="1" x14ac:dyDescent="0.15">
      <c r="A1" s="29" t="s">
        <v>707</v>
      </c>
      <c r="B1" s="33" t="s">
        <v>686</v>
      </c>
      <c r="C1" s="219" t="s">
        <v>685</v>
      </c>
      <c r="D1" s="219"/>
      <c r="E1" s="219"/>
      <c r="F1" s="30" t="s">
        <v>682</v>
      </c>
      <c r="G1" s="30" t="s">
        <v>684</v>
      </c>
      <c r="H1" s="31" t="s">
        <v>683</v>
      </c>
      <c r="I1" s="36" t="s">
        <v>687</v>
      </c>
      <c r="J1" s="43" t="s">
        <v>688</v>
      </c>
      <c r="K1" s="29" t="s">
        <v>689</v>
      </c>
      <c r="L1" s="29" t="s">
        <v>690</v>
      </c>
      <c r="M1" s="29" t="s">
        <v>691</v>
      </c>
    </row>
    <row r="2" spans="1:13" x14ac:dyDescent="0.2">
      <c r="A2" s="4" t="s">
        <v>54</v>
      </c>
      <c r="B2" s="25" t="s">
        <v>85</v>
      </c>
      <c r="C2" s="13" t="s">
        <v>186</v>
      </c>
      <c r="D2" s="13"/>
      <c r="E2" s="13" t="s">
        <v>233</v>
      </c>
      <c r="F2" s="14" t="s">
        <v>278</v>
      </c>
      <c r="G2" s="2" t="s">
        <v>361</v>
      </c>
      <c r="H2" s="3" t="s">
        <v>388</v>
      </c>
      <c r="I2" s="37" t="s">
        <v>421</v>
      </c>
      <c r="J2" s="44" t="s">
        <v>450</v>
      </c>
      <c r="K2" s="11" t="s">
        <v>471</v>
      </c>
      <c r="L2" s="11" t="s">
        <v>472</v>
      </c>
      <c r="M2" s="11" t="s">
        <v>473</v>
      </c>
    </row>
    <row r="3" spans="1:13" x14ac:dyDescent="0.2">
      <c r="A3" s="4" t="s">
        <v>156</v>
      </c>
      <c r="B3" s="25" t="s">
        <v>87</v>
      </c>
      <c r="C3" s="13" t="s">
        <v>201</v>
      </c>
      <c r="D3" s="13"/>
      <c r="E3" s="13" t="s">
        <v>248</v>
      </c>
      <c r="F3" s="14" t="s">
        <v>279</v>
      </c>
      <c r="G3" s="2" t="s">
        <v>362</v>
      </c>
      <c r="H3" s="3" t="s">
        <v>389</v>
      </c>
      <c r="I3" s="37" t="s">
        <v>432</v>
      </c>
      <c r="J3" s="44" t="s">
        <v>451</v>
      </c>
      <c r="K3" s="11" t="s">
        <v>471</v>
      </c>
      <c r="L3" s="11" t="s">
        <v>481</v>
      </c>
      <c r="M3" s="11" t="s">
        <v>508</v>
      </c>
    </row>
    <row r="4" spans="1:13" x14ac:dyDescent="0.2">
      <c r="A4" s="4" t="s">
        <v>157</v>
      </c>
      <c r="B4" s="25" t="s">
        <v>88</v>
      </c>
      <c r="C4" s="13" t="s">
        <v>187</v>
      </c>
      <c r="D4" s="13"/>
      <c r="E4" s="13" t="s">
        <v>234</v>
      </c>
      <c r="F4" s="14" t="s">
        <v>280</v>
      </c>
      <c r="G4" s="2" t="s">
        <v>363</v>
      </c>
      <c r="H4" s="3" t="s">
        <v>390</v>
      </c>
      <c r="I4" s="37" t="s">
        <v>422</v>
      </c>
      <c r="J4" s="44" t="s">
        <v>452</v>
      </c>
      <c r="K4" s="11" t="s">
        <v>471</v>
      </c>
      <c r="L4" s="11" t="s">
        <v>482</v>
      </c>
      <c r="M4" s="11" t="s">
        <v>509</v>
      </c>
    </row>
    <row r="5" spans="1:13" x14ac:dyDescent="0.2">
      <c r="A5" s="4" t="s">
        <v>151</v>
      </c>
      <c r="B5" s="25" t="s">
        <v>90</v>
      </c>
      <c r="C5" s="13" t="s">
        <v>188</v>
      </c>
      <c r="D5" s="13"/>
      <c r="E5" s="13" t="s">
        <v>235</v>
      </c>
      <c r="F5" s="14" t="s">
        <v>281</v>
      </c>
      <c r="G5" s="2" t="s">
        <v>364</v>
      </c>
      <c r="H5" s="3" t="s">
        <v>391</v>
      </c>
      <c r="I5" s="37" t="s">
        <v>423</v>
      </c>
      <c r="J5" s="44" t="s">
        <v>453</v>
      </c>
      <c r="K5" s="11" t="s">
        <v>471</v>
      </c>
      <c r="L5" s="11" t="s">
        <v>483</v>
      </c>
      <c r="M5" s="11" t="s">
        <v>510</v>
      </c>
    </row>
    <row r="6" spans="1:13" x14ac:dyDescent="0.2">
      <c r="A6" s="4" t="s">
        <v>152</v>
      </c>
      <c r="B6" s="25" t="s">
        <v>91</v>
      </c>
      <c r="C6" s="13" t="s">
        <v>199</v>
      </c>
      <c r="D6" s="13"/>
      <c r="E6" s="13" t="s">
        <v>246</v>
      </c>
      <c r="F6" s="14" t="s">
        <v>282</v>
      </c>
      <c r="G6" s="2" t="s">
        <v>365</v>
      </c>
      <c r="H6" s="3" t="s">
        <v>392</v>
      </c>
      <c r="I6" s="37" t="s">
        <v>430</v>
      </c>
      <c r="J6" s="44" t="s">
        <v>454</v>
      </c>
      <c r="K6" s="11" t="s">
        <v>471</v>
      </c>
      <c r="L6" s="11" t="s">
        <v>484</v>
      </c>
      <c r="M6" s="11" t="s">
        <v>511</v>
      </c>
    </row>
    <row r="7" spans="1:13" x14ac:dyDescent="0.2">
      <c r="A7" s="4" t="s">
        <v>153</v>
      </c>
      <c r="B7" s="25" t="s">
        <v>92</v>
      </c>
      <c r="C7" s="13" t="s">
        <v>189</v>
      </c>
      <c r="D7" s="13"/>
      <c r="E7" s="13" t="s">
        <v>236</v>
      </c>
      <c r="F7" s="14" t="s">
        <v>283</v>
      </c>
      <c r="G7" s="2" t="s">
        <v>366</v>
      </c>
      <c r="H7" s="3" t="s">
        <v>393</v>
      </c>
      <c r="I7" s="37" t="s">
        <v>424</v>
      </c>
      <c r="J7" s="44" t="s">
        <v>455</v>
      </c>
      <c r="K7" s="11" t="s">
        <v>471</v>
      </c>
      <c r="L7" s="11" t="s">
        <v>485</v>
      </c>
      <c r="M7" s="11" t="s">
        <v>512</v>
      </c>
    </row>
    <row r="8" spans="1:13" x14ac:dyDescent="0.2">
      <c r="A8" s="4" t="s">
        <v>154</v>
      </c>
      <c r="B8" s="25" t="s">
        <v>93</v>
      </c>
      <c r="C8" s="13" t="s">
        <v>190</v>
      </c>
      <c r="D8" s="13"/>
      <c r="E8" s="13" t="s">
        <v>237</v>
      </c>
      <c r="F8" s="14" t="s">
        <v>284</v>
      </c>
      <c r="G8" s="2" t="s">
        <v>367</v>
      </c>
      <c r="H8" s="3" t="s">
        <v>394</v>
      </c>
      <c r="I8" s="37" t="s">
        <v>425</v>
      </c>
      <c r="J8" s="44" t="s">
        <v>456</v>
      </c>
      <c r="K8" s="11" t="s">
        <v>471</v>
      </c>
      <c r="L8" s="11" t="s">
        <v>486</v>
      </c>
      <c r="M8" s="11" t="s">
        <v>513</v>
      </c>
    </row>
    <row r="9" spans="1:13" x14ac:dyDescent="0.2">
      <c r="A9" s="4" t="s">
        <v>155</v>
      </c>
      <c r="B9" s="25" t="s">
        <v>94</v>
      </c>
      <c r="C9" s="13" t="s">
        <v>191</v>
      </c>
      <c r="D9" s="13"/>
      <c r="E9" s="13" t="s">
        <v>238</v>
      </c>
      <c r="F9" s="14" t="s">
        <v>285</v>
      </c>
      <c r="G9" s="2" t="s">
        <v>368</v>
      </c>
      <c r="H9" s="3" t="s">
        <v>395</v>
      </c>
      <c r="I9" s="37" t="s">
        <v>426</v>
      </c>
      <c r="J9" s="44" t="s">
        <v>457</v>
      </c>
      <c r="K9" s="11" t="s">
        <v>471</v>
      </c>
      <c r="L9" s="11" t="s">
        <v>487</v>
      </c>
      <c r="M9" s="11" t="s">
        <v>514</v>
      </c>
    </row>
    <row r="10" spans="1:13" x14ac:dyDescent="0.2">
      <c r="A10" s="4" t="s">
        <v>150</v>
      </c>
      <c r="B10" s="25" t="s">
        <v>111</v>
      </c>
      <c r="C10" s="13" t="s">
        <v>192</v>
      </c>
      <c r="D10" s="13"/>
      <c r="E10" s="13" t="s">
        <v>239</v>
      </c>
      <c r="F10" s="14" t="s">
        <v>286</v>
      </c>
      <c r="G10" s="2" t="s">
        <v>369</v>
      </c>
      <c r="H10" s="3" t="s">
        <v>396</v>
      </c>
      <c r="I10" s="37" t="s">
        <v>431</v>
      </c>
      <c r="J10" s="44" t="s">
        <v>458</v>
      </c>
      <c r="K10" s="11" t="s">
        <v>471</v>
      </c>
      <c r="L10" s="11" t="s">
        <v>488</v>
      </c>
      <c r="M10" s="11" t="s">
        <v>515</v>
      </c>
    </row>
    <row r="11" spans="1:13" x14ac:dyDescent="0.2">
      <c r="A11" s="4" t="s">
        <v>59</v>
      </c>
      <c r="B11" s="25" t="s">
        <v>113</v>
      </c>
      <c r="C11" s="13" t="s">
        <v>193</v>
      </c>
      <c r="D11" s="13"/>
      <c r="E11" s="13" t="s">
        <v>240</v>
      </c>
      <c r="F11" s="14" t="s">
        <v>287</v>
      </c>
      <c r="G11" s="2" t="s">
        <v>370</v>
      </c>
      <c r="H11" s="3" t="s">
        <v>397</v>
      </c>
      <c r="I11" s="37" t="s">
        <v>427</v>
      </c>
      <c r="J11" s="44" t="s">
        <v>459</v>
      </c>
      <c r="K11" s="11" t="s">
        <v>471</v>
      </c>
      <c r="L11" s="11" t="s">
        <v>489</v>
      </c>
      <c r="M11" s="11" t="s">
        <v>516</v>
      </c>
    </row>
    <row r="12" spans="1:13" x14ac:dyDescent="0.2">
      <c r="A12" s="4" t="s">
        <v>60</v>
      </c>
      <c r="B12" s="25" t="s">
        <v>114</v>
      </c>
      <c r="C12" s="13" t="s">
        <v>194</v>
      </c>
      <c r="D12" s="13"/>
      <c r="E12" s="13" t="s">
        <v>241</v>
      </c>
      <c r="F12" s="14" t="s">
        <v>288</v>
      </c>
      <c r="G12" s="2" t="s">
        <v>371</v>
      </c>
      <c r="H12" s="3" t="s">
        <v>398</v>
      </c>
      <c r="I12" s="37" t="s">
        <v>428</v>
      </c>
      <c r="J12" s="44" t="s">
        <v>460</v>
      </c>
      <c r="K12" s="11" t="s">
        <v>471</v>
      </c>
      <c r="L12" s="11" t="s">
        <v>490</v>
      </c>
      <c r="M12" s="11" t="s">
        <v>517</v>
      </c>
    </row>
    <row r="13" spans="1:13" x14ac:dyDescent="0.2">
      <c r="A13" s="4" t="s">
        <v>61</v>
      </c>
      <c r="B13" s="25" t="s">
        <v>115</v>
      </c>
      <c r="C13" s="13" t="s">
        <v>200</v>
      </c>
      <c r="D13" s="13"/>
      <c r="E13" s="13" t="s">
        <v>247</v>
      </c>
      <c r="F13" s="14" t="s">
        <v>289</v>
      </c>
      <c r="G13" s="2" t="s">
        <v>372</v>
      </c>
      <c r="H13" s="3" t="s">
        <v>399</v>
      </c>
      <c r="I13" s="37" t="s">
        <v>429</v>
      </c>
      <c r="J13" s="44" t="s">
        <v>461</v>
      </c>
      <c r="K13" s="11" t="s">
        <v>471</v>
      </c>
      <c r="L13" s="11" t="s">
        <v>491</v>
      </c>
      <c r="M13" s="11" t="s">
        <v>518</v>
      </c>
    </row>
    <row r="14" spans="1:13" x14ac:dyDescent="0.2">
      <c r="A14" s="4" t="s">
        <v>62</v>
      </c>
      <c r="B14" s="25" t="s">
        <v>116</v>
      </c>
      <c r="C14" s="13" t="s">
        <v>195</v>
      </c>
      <c r="D14" s="13"/>
      <c r="E14" s="13" t="s">
        <v>242</v>
      </c>
      <c r="F14" s="14" t="s">
        <v>290</v>
      </c>
      <c r="G14" s="2" t="s">
        <v>373</v>
      </c>
      <c r="H14" s="3" t="s">
        <v>400</v>
      </c>
      <c r="I14" s="37" t="s">
        <v>433</v>
      </c>
      <c r="J14" s="44" t="s">
        <v>462</v>
      </c>
      <c r="K14" s="11" t="s">
        <v>471</v>
      </c>
      <c r="L14" s="11" t="s">
        <v>492</v>
      </c>
      <c r="M14" s="11" t="s">
        <v>519</v>
      </c>
    </row>
    <row r="15" spans="1:13" x14ac:dyDescent="0.2">
      <c r="A15" s="4" t="s">
        <v>63</v>
      </c>
      <c r="B15" s="25" t="s">
        <v>121</v>
      </c>
      <c r="C15" s="13" t="s">
        <v>196</v>
      </c>
      <c r="D15" s="13"/>
      <c r="E15" s="13" t="s">
        <v>243</v>
      </c>
      <c r="F15" s="14" t="s">
        <v>291</v>
      </c>
      <c r="G15" s="2" t="s">
        <v>374</v>
      </c>
      <c r="H15" s="3" t="s">
        <v>401</v>
      </c>
      <c r="I15" s="37" t="s">
        <v>434</v>
      </c>
      <c r="J15" s="44" t="s">
        <v>463</v>
      </c>
      <c r="K15" s="11" t="s">
        <v>471</v>
      </c>
      <c r="L15" s="11" t="s">
        <v>493</v>
      </c>
      <c r="M15" s="11" t="s">
        <v>520</v>
      </c>
    </row>
    <row r="16" spans="1:13" x14ac:dyDescent="0.2">
      <c r="A16" s="4" t="s">
        <v>64</v>
      </c>
      <c r="B16" s="25" t="s">
        <v>122</v>
      </c>
      <c r="C16" s="13" t="s">
        <v>197</v>
      </c>
      <c r="D16" s="13"/>
      <c r="E16" s="13" t="s">
        <v>244</v>
      </c>
      <c r="F16" s="14" t="s">
        <v>292</v>
      </c>
      <c r="G16" s="2" t="s">
        <v>375</v>
      </c>
      <c r="H16" s="3" t="s">
        <v>402</v>
      </c>
      <c r="I16" s="37" t="s">
        <v>435</v>
      </c>
      <c r="J16" s="44" t="s">
        <v>464</v>
      </c>
      <c r="K16" s="11" t="s">
        <v>471</v>
      </c>
      <c r="L16" s="11" t="s">
        <v>494</v>
      </c>
      <c r="M16" s="11" t="s">
        <v>521</v>
      </c>
    </row>
    <row r="17" spans="1:13" x14ac:dyDescent="0.2">
      <c r="A17" s="4" t="s">
        <v>65</v>
      </c>
      <c r="B17" s="25" t="s">
        <v>123</v>
      </c>
      <c r="C17" s="13" t="s">
        <v>198</v>
      </c>
      <c r="D17" s="13"/>
      <c r="E17" s="13" t="s">
        <v>245</v>
      </c>
      <c r="F17" s="14" t="s">
        <v>293</v>
      </c>
      <c r="G17" s="2" t="s">
        <v>376</v>
      </c>
      <c r="H17" s="3" t="s">
        <v>403</v>
      </c>
      <c r="I17" s="37" t="s">
        <v>436</v>
      </c>
      <c r="J17" s="44" t="s">
        <v>465</v>
      </c>
      <c r="K17" s="11" t="s">
        <v>471</v>
      </c>
      <c r="L17" s="11" t="s">
        <v>495</v>
      </c>
      <c r="M17" s="11" t="s">
        <v>522</v>
      </c>
    </row>
    <row r="18" spans="1:13" x14ac:dyDescent="0.2">
      <c r="A18" s="4" t="s">
        <v>66</v>
      </c>
      <c r="B18" s="25" t="s">
        <v>124</v>
      </c>
      <c r="C18" s="13" t="s">
        <v>202</v>
      </c>
      <c r="D18" s="13"/>
      <c r="E18" s="13" t="s">
        <v>249</v>
      </c>
      <c r="F18" s="14" t="s">
        <v>294</v>
      </c>
      <c r="G18" s="2" t="s">
        <v>377</v>
      </c>
      <c r="H18" s="3" t="s">
        <v>404</v>
      </c>
      <c r="I18" s="37" t="s">
        <v>437</v>
      </c>
      <c r="J18" s="44" t="s">
        <v>466</v>
      </c>
      <c r="K18" s="11" t="s">
        <v>471</v>
      </c>
      <c r="L18" s="11" t="s">
        <v>496</v>
      </c>
      <c r="M18" s="11" t="s">
        <v>523</v>
      </c>
    </row>
    <row r="19" spans="1:13" x14ac:dyDescent="0.2">
      <c r="A19" s="4" t="s">
        <v>67</v>
      </c>
      <c r="B19" s="25" t="s">
        <v>125</v>
      </c>
      <c r="C19" s="13" t="s">
        <v>203</v>
      </c>
      <c r="D19" s="13"/>
      <c r="E19" s="13" t="s">
        <v>250</v>
      </c>
      <c r="F19" s="14" t="s">
        <v>295</v>
      </c>
      <c r="G19" s="2" t="s">
        <v>378</v>
      </c>
      <c r="H19" s="3" t="s">
        <v>405</v>
      </c>
      <c r="I19" s="37" t="s">
        <v>438</v>
      </c>
      <c r="J19" s="44" t="s">
        <v>467</v>
      </c>
      <c r="K19" s="11" t="s">
        <v>471</v>
      </c>
      <c r="L19" s="11" t="s">
        <v>497</v>
      </c>
      <c r="M19" s="11" t="s">
        <v>524</v>
      </c>
    </row>
    <row r="20" spans="1:13" x14ac:dyDescent="0.2">
      <c r="A20" s="4" t="s">
        <v>68</v>
      </c>
      <c r="B20" s="25" t="s">
        <v>126</v>
      </c>
      <c r="C20" s="13" t="s">
        <v>204</v>
      </c>
      <c r="D20" s="13"/>
      <c r="E20" s="13" t="s">
        <v>251</v>
      </c>
      <c r="F20" s="14" t="s">
        <v>296</v>
      </c>
      <c r="G20" s="2" t="s">
        <v>379</v>
      </c>
      <c r="H20" s="3" t="s">
        <v>406</v>
      </c>
      <c r="I20" s="37" t="s">
        <v>439</v>
      </c>
      <c r="J20" s="44" t="s">
        <v>468</v>
      </c>
      <c r="K20" s="11" t="s">
        <v>471</v>
      </c>
      <c r="L20" s="11" t="s">
        <v>498</v>
      </c>
      <c r="M20" s="11" t="s">
        <v>525</v>
      </c>
    </row>
    <row r="21" spans="1:13" x14ac:dyDescent="0.2">
      <c r="A21" s="4" t="s">
        <v>69</v>
      </c>
      <c r="B21" s="25" t="s">
        <v>127</v>
      </c>
      <c r="C21" s="13" t="s">
        <v>205</v>
      </c>
      <c r="D21" s="13"/>
      <c r="E21" s="13" t="s">
        <v>252</v>
      </c>
      <c r="F21" s="14" t="s">
        <v>297</v>
      </c>
      <c r="G21" s="2" t="s">
        <v>380</v>
      </c>
      <c r="H21" s="3" t="s">
        <v>407</v>
      </c>
      <c r="I21" s="37" t="s">
        <v>440</v>
      </c>
      <c r="J21" s="44" t="s">
        <v>469</v>
      </c>
      <c r="K21" s="11" t="s">
        <v>471</v>
      </c>
      <c r="L21" s="11" t="s">
        <v>499</v>
      </c>
      <c r="M21" s="11" t="s">
        <v>526</v>
      </c>
    </row>
    <row r="22" spans="1:13" x14ac:dyDescent="0.2">
      <c r="A22" s="4" t="s">
        <v>70</v>
      </c>
      <c r="B22" s="25" t="s">
        <v>128</v>
      </c>
      <c r="C22" s="13" t="s">
        <v>206</v>
      </c>
      <c r="D22" s="13"/>
      <c r="E22" s="13" t="s">
        <v>253</v>
      </c>
      <c r="F22" s="14" t="s">
        <v>298</v>
      </c>
      <c r="G22" s="2" t="s">
        <v>381</v>
      </c>
      <c r="H22" s="3" t="s">
        <v>408</v>
      </c>
      <c r="I22" s="37" t="s">
        <v>441</v>
      </c>
      <c r="J22" s="44" t="s">
        <v>470</v>
      </c>
      <c r="K22" s="11" t="s">
        <v>471</v>
      </c>
      <c r="L22" s="11" t="s">
        <v>500</v>
      </c>
      <c r="M22" s="11" t="s">
        <v>527</v>
      </c>
    </row>
    <row r="23" spans="1:13" x14ac:dyDescent="0.2">
      <c r="A23" s="4" t="s">
        <v>71</v>
      </c>
      <c r="B23" s="25" t="s">
        <v>129</v>
      </c>
      <c r="C23" s="13" t="s">
        <v>207</v>
      </c>
      <c r="D23" s="13"/>
      <c r="E23" s="13" t="s">
        <v>254</v>
      </c>
      <c r="F23" s="14" t="s">
        <v>299</v>
      </c>
      <c r="G23" s="2" t="s">
        <v>382</v>
      </c>
      <c r="H23" s="3" t="s">
        <v>409</v>
      </c>
      <c r="I23" s="37" t="s">
        <v>442</v>
      </c>
      <c r="J23" s="44" t="s">
        <v>474</v>
      </c>
      <c r="K23" s="11" t="s">
        <v>471</v>
      </c>
      <c r="L23" s="11" t="s">
        <v>501</v>
      </c>
      <c r="M23" s="11" t="s">
        <v>528</v>
      </c>
    </row>
    <row r="24" spans="1:13" x14ac:dyDescent="0.2">
      <c r="A24" s="4" t="s">
        <v>72</v>
      </c>
      <c r="B24" s="25" t="s">
        <v>130</v>
      </c>
      <c r="C24" s="13" t="s">
        <v>208</v>
      </c>
      <c r="D24" s="13"/>
      <c r="E24" s="13" t="s">
        <v>255</v>
      </c>
      <c r="F24" s="14" t="s">
        <v>300</v>
      </c>
      <c r="G24" s="2" t="s">
        <v>383</v>
      </c>
      <c r="H24" s="3" t="s">
        <v>410</v>
      </c>
      <c r="I24" s="37" t="s">
        <v>443</v>
      </c>
      <c r="J24" s="44" t="s">
        <v>475</v>
      </c>
      <c r="K24" s="11" t="s">
        <v>471</v>
      </c>
      <c r="L24" s="11" t="s">
        <v>502</v>
      </c>
      <c r="M24" s="11" t="s">
        <v>529</v>
      </c>
    </row>
    <row r="25" spans="1:13" x14ac:dyDescent="0.2">
      <c r="A25" s="4" t="s">
        <v>76</v>
      </c>
      <c r="B25" s="25" t="s">
        <v>118</v>
      </c>
      <c r="C25" s="13" t="s">
        <v>209</v>
      </c>
      <c r="D25" s="13"/>
      <c r="E25" s="13" t="s">
        <v>256</v>
      </c>
      <c r="F25" s="14" t="s">
        <v>301</v>
      </c>
      <c r="G25" s="2" t="s">
        <v>386</v>
      </c>
      <c r="H25" s="3" t="s">
        <v>411</v>
      </c>
      <c r="I25" s="37" t="s">
        <v>444</v>
      </c>
      <c r="J25" s="44" t="s">
        <v>476</v>
      </c>
      <c r="K25" s="11" t="s">
        <v>471</v>
      </c>
      <c r="L25" s="11" t="s">
        <v>503</v>
      </c>
      <c r="M25" s="11" t="s">
        <v>530</v>
      </c>
    </row>
    <row r="26" spans="1:13" x14ac:dyDescent="0.2">
      <c r="A26" s="4" t="s">
        <v>73</v>
      </c>
      <c r="B26" s="25" t="s">
        <v>131</v>
      </c>
      <c r="C26" s="13" t="s">
        <v>210</v>
      </c>
      <c r="D26" s="13"/>
      <c r="E26" s="13" t="s">
        <v>257</v>
      </c>
      <c r="F26" s="14" t="s">
        <v>302</v>
      </c>
      <c r="G26" s="2" t="s">
        <v>384</v>
      </c>
      <c r="H26" s="3" t="s">
        <v>412</v>
      </c>
      <c r="I26" s="37" t="s">
        <v>445</v>
      </c>
      <c r="J26" s="44" t="s">
        <v>477</v>
      </c>
      <c r="K26" s="11" t="s">
        <v>471</v>
      </c>
      <c r="L26" s="11" t="s">
        <v>504</v>
      </c>
      <c r="M26" s="11" t="s">
        <v>531</v>
      </c>
    </row>
    <row r="27" spans="1:13" x14ac:dyDescent="0.2">
      <c r="A27" s="19" t="s">
        <v>333</v>
      </c>
      <c r="B27" s="5"/>
      <c r="C27" s="11"/>
      <c r="D27" s="11"/>
      <c r="E27" s="11"/>
      <c r="F27" s="14"/>
      <c r="G27" s="14"/>
      <c r="H27" s="26" t="s">
        <v>449</v>
      </c>
      <c r="I27" s="37" t="s">
        <v>448</v>
      </c>
      <c r="J27" s="44" t="s">
        <v>478</v>
      </c>
      <c r="K27" s="11" t="s">
        <v>471</v>
      </c>
      <c r="L27" s="11" t="s">
        <v>505</v>
      </c>
      <c r="M27" s="11" t="s">
        <v>532</v>
      </c>
    </row>
    <row r="28" spans="1:13" x14ac:dyDescent="0.2">
      <c r="A28" s="4" t="s">
        <v>75</v>
      </c>
      <c r="B28" s="25" t="s">
        <v>117</v>
      </c>
      <c r="C28" s="13" t="s">
        <v>211</v>
      </c>
      <c r="D28" s="13"/>
      <c r="E28" s="13" t="s">
        <v>258</v>
      </c>
      <c r="F28" s="14" t="s">
        <v>303</v>
      </c>
      <c r="G28" s="2" t="s">
        <v>387</v>
      </c>
      <c r="H28" s="3" t="s">
        <v>413</v>
      </c>
      <c r="I28" s="37" t="s">
        <v>446</v>
      </c>
      <c r="J28" s="44" t="s">
        <v>479</v>
      </c>
      <c r="K28" s="11" t="s">
        <v>471</v>
      </c>
      <c r="L28" s="11" t="s">
        <v>506</v>
      </c>
      <c r="M28" s="11" t="s">
        <v>533</v>
      </c>
    </row>
    <row r="29" spans="1:13" x14ac:dyDescent="0.2">
      <c r="A29" s="4" t="s">
        <v>74</v>
      </c>
      <c r="B29" s="25" t="s">
        <v>132</v>
      </c>
      <c r="C29" s="13" t="s">
        <v>212</v>
      </c>
      <c r="D29" s="13"/>
      <c r="E29" s="13" t="s">
        <v>259</v>
      </c>
      <c r="F29" s="14" t="s">
        <v>304</v>
      </c>
      <c r="G29" s="2" t="s">
        <v>385</v>
      </c>
      <c r="H29" s="3" t="s">
        <v>414</v>
      </c>
      <c r="I29" s="37" t="s">
        <v>447</v>
      </c>
      <c r="J29" s="44" t="s">
        <v>480</v>
      </c>
      <c r="K29" s="11" t="s">
        <v>471</v>
      </c>
      <c r="L29" s="11" t="s">
        <v>507</v>
      </c>
      <c r="M29" s="11" t="s">
        <v>534</v>
      </c>
    </row>
    <row r="30" spans="1:13" x14ac:dyDescent="0.2">
      <c r="A30" s="4" t="s">
        <v>55</v>
      </c>
      <c r="B30" s="25" t="s">
        <v>86</v>
      </c>
      <c r="C30" s="13" t="s">
        <v>213</v>
      </c>
      <c r="D30" s="13"/>
      <c r="E30" s="13" t="s">
        <v>260</v>
      </c>
      <c r="F30" s="14" t="s">
        <v>305</v>
      </c>
      <c r="G30" s="22" t="s">
        <v>334</v>
      </c>
      <c r="H30" s="12"/>
      <c r="I30" s="38"/>
      <c r="J30" s="45" t="s">
        <v>535</v>
      </c>
      <c r="K30" s="11" t="s">
        <v>649</v>
      </c>
      <c r="L30" s="15" t="s">
        <v>562</v>
      </c>
      <c r="M30" s="11" t="s">
        <v>590</v>
      </c>
    </row>
    <row r="31" spans="1:13" x14ac:dyDescent="0.2">
      <c r="A31" s="4" t="s">
        <v>56</v>
      </c>
      <c r="B31" s="25" t="s">
        <v>89</v>
      </c>
      <c r="C31" s="13" t="s">
        <v>214</v>
      </c>
      <c r="D31" s="13"/>
      <c r="E31" s="13" t="s">
        <v>261</v>
      </c>
      <c r="F31" s="14" t="s">
        <v>306</v>
      </c>
      <c r="G31" s="22" t="s">
        <v>335</v>
      </c>
      <c r="H31" s="12"/>
      <c r="I31" s="38"/>
      <c r="J31" s="45" t="s">
        <v>536</v>
      </c>
      <c r="K31" s="11" t="s">
        <v>649</v>
      </c>
      <c r="L31" s="15" t="s">
        <v>563</v>
      </c>
      <c r="M31" s="11" t="s">
        <v>591</v>
      </c>
    </row>
    <row r="32" spans="1:13" x14ac:dyDescent="0.2">
      <c r="A32" s="4" t="s">
        <v>148</v>
      </c>
      <c r="B32" s="25" t="s">
        <v>109</v>
      </c>
      <c r="C32" s="13" t="s">
        <v>215</v>
      </c>
      <c r="D32" s="13"/>
      <c r="E32" s="13" t="s">
        <v>262</v>
      </c>
      <c r="F32" s="14" t="s">
        <v>307</v>
      </c>
      <c r="G32" s="22" t="s">
        <v>336</v>
      </c>
      <c r="H32" s="12"/>
      <c r="I32" s="38"/>
      <c r="J32" s="45" t="s">
        <v>537</v>
      </c>
      <c r="K32" s="11" t="s">
        <v>649</v>
      </c>
      <c r="L32" s="15" t="s">
        <v>564</v>
      </c>
      <c r="M32" s="11" t="s">
        <v>592</v>
      </c>
    </row>
    <row r="33" spans="1:13" x14ac:dyDescent="0.2">
      <c r="A33" s="4" t="s">
        <v>149</v>
      </c>
      <c r="B33" s="25" t="s">
        <v>110</v>
      </c>
      <c r="C33" s="13" t="s">
        <v>216</v>
      </c>
      <c r="D33" s="13"/>
      <c r="E33" s="13" t="s">
        <v>263</v>
      </c>
      <c r="F33" s="14" t="s">
        <v>308</v>
      </c>
      <c r="G33" s="22" t="s">
        <v>337</v>
      </c>
      <c r="H33" s="12"/>
      <c r="I33" s="38"/>
      <c r="J33" s="45" t="s">
        <v>538</v>
      </c>
      <c r="K33" s="11" t="s">
        <v>649</v>
      </c>
      <c r="L33" s="15" t="s">
        <v>565</v>
      </c>
      <c r="M33" s="11" t="s">
        <v>593</v>
      </c>
    </row>
    <row r="34" spans="1:13" x14ac:dyDescent="0.2">
      <c r="A34" s="4" t="s">
        <v>48</v>
      </c>
      <c r="B34" s="25" t="s">
        <v>101</v>
      </c>
      <c r="C34" s="13" t="s">
        <v>217</v>
      </c>
      <c r="D34" s="13"/>
      <c r="E34" s="13" t="s">
        <v>264</v>
      </c>
      <c r="F34" s="14" t="s">
        <v>309</v>
      </c>
      <c r="G34" s="22" t="s">
        <v>338</v>
      </c>
      <c r="H34" s="12"/>
      <c r="I34" s="38"/>
      <c r="J34" s="45" t="s">
        <v>539</v>
      </c>
      <c r="K34" s="11" t="s">
        <v>649</v>
      </c>
      <c r="L34" s="15" t="s">
        <v>566</v>
      </c>
      <c r="M34" s="11" t="s">
        <v>589</v>
      </c>
    </row>
    <row r="35" spans="1:13" x14ac:dyDescent="0.2">
      <c r="A35" s="4" t="s">
        <v>49</v>
      </c>
      <c r="B35" s="25" t="s">
        <v>102</v>
      </c>
      <c r="C35" s="13" t="s">
        <v>218</v>
      </c>
      <c r="D35" s="13"/>
      <c r="E35" s="13" t="s">
        <v>265</v>
      </c>
      <c r="F35" s="14" t="s">
        <v>310</v>
      </c>
      <c r="G35" s="22" t="s">
        <v>339</v>
      </c>
      <c r="H35" s="12"/>
      <c r="I35" s="38"/>
      <c r="J35" s="45" t="s">
        <v>540</v>
      </c>
      <c r="K35" s="11" t="s">
        <v>649</v>
      </c>
      <c r="L35" s="15" t="s">
        <v>567</v>
      </c>
      <c r="M35" s="11" t="s">
        <v>594</v>
      </c>
    </row>
    <row r="36" spans="1:13" x14ac:dyDescent="0.2">
      <c r="A36" s="4" t="s">
        <v>50</v>
      </c>
      <c r="B36" s="25" t="s">
        <v>103</v>
      </c>
      <c r="C36" s="13" t="s">
        <v>219</v>
      </c>
      <c r="D36" s="13"/>
      <c r="E36" s="13" t="s">
        <v>266</v>
      </c>
      <c r="F36" s="14" t="s">
        <v>311</v>
      </c>
      <c r="G36" s="22" t="s">
        <v>340</v>
      </c>
      <c r="H36" s="12"/>
      <c r="I36" s="38"/>
      <c r="J36" s="45" t="s">
        <v>541</v>
      </c>
      <c r="K36" s="11" t="s">
        <v>649</v>
      </c>
      <c r="L36" s="15" t="s">
        <v>568</v>
      </c>
      <c r="M36" s="11" t="s">
        <v>595</v>
      </c>
    </row>
    <row r="37" spans="1:13" x14ac:dyDescent="0.2">
      <c r="A37" s="4" t="s">
        <v>51</v>
      </c>
      <c r="B37" s="25" t="s">
        <v>104</v>
      </c>
      <c r="C37" s="13" t="s">
        <v>220</v>
      </c>
      <c r="D37" s="13"/>
      <c r="E37" s="13" t="s">
        <v>267</v>
      </c>
      <c r="F37" s="14" t="s">
        <v>312</v>
      </c>
      <c r="G37" s="22" t="s">
        <v>341</v>
      </c>
      <c r="H37" s="12"/>
      <c r="I37" s="38"/>
      <c r="J37" s="45" t="s">
        <v>542</v>
      </c>
      <c r="K37" s="11" t="s">
        <v>649</v>
      </c>
      <c r="L37" s="15" t="s">
        <v>569</v>
      </c>
      <c r="M37" s="11" t="s">
        <v>596</v>
      </c>
    </row>
    <row r="38" spans="1:13" x14ac:dyDescent="0.2">
      <c r="A38" s="4" t="s">
        <v>52</v>
      </c>
      <c r="B38" s="25" t="s">
        <v>105</v>
      </c>
      <c r="C38" s="13" t="s">
        <v>221</v>
      </c>
      <c r="D38" s="13"/>
      <c r="E38" s="13" t="s">
        <v>268</v>
      </c>
      <c r="F38" s="14" t="s">
        <v>313</v>
      </c>
      <c r="G38" s="22" t="s">
        <v>342</v>
      </c>
      <c r="H38" s="12"/>
      <c r="I38" s="38"/>
      <c r="J38" s="45" t="s">
        <v>543</v>
      </c>
      <c r="K38" s="11" t="s">
        <v>649</v>
      </c>
      <c r="L38" s="15" t="s">
        <v>570</v>
      </c>
      <c r="M38" s="11" t="s">
        <v>597</v>
      </c>
    </row>
    <row r="39" spans="1:13" x14ac:dyDescent="0.2">
      <c r="A39" s="4" t="s">
        <v>53</v>
      </c>
      <c r="B39" s="25" t="s">
        <v>106</v>
      </c>
      <c r="C39" s="13" t="s">
        <v>222</v>
      </c>
      <c r="D39" s="13"/>
      <c r="E39" s="13" t="s">
        <v>269</v>
      </c>
      <c r="F39" s="14" t="s">
        <v>314</v>
      </c>
      <c r="G39" s="22" t="s">
        <v>343</v>
      </c>
      <c r="H39" s="12"/>
      <c r="I39" s="38"/>
      <c r="J39" s="45" t="s">
        <v>544</v>
      </c>
      <c r="K39" s="11" t="s">
        <v>649</v>
      </c>
      <c r="L39" s="15" t="s">
        <v>571</v>
      </c>
      <c r="M39" s="11" t="s">
        <v>598</v>
      </c>
    </row>
    <row r="40" spans="1:13" x14ac:dyDescent="0.2">
      <c r="A40" s="4" t="s">
        <v>57</v>
      </c>
      <c r="B40" s="25" t="s">
        <v>107</v>
      </c>
      <c r="C40" s="13" t="s">
        <v>223</v>
      </c>
      <c r="D40" s="13"/>
      <c r="E40" s="13" t="s">
        <v>270</v>
      </c>
      <c r="F40" s="14" t="s">
        <v>315</v>
      </c>
      <c r="G40" s="22" t="s">
        <v>344</v>
      </c>
      <c r="H40" s="12"/>
      <c r="I40" s="38"/>
      <c r="J40" s="45" t="s">
        <v>545</v>
      </c>
      <c r="K40" s="11" t="s">
        <v>649</v>
      </c>
      <c r="L40" s="15" t="s">
        <v>572</v>
      </c>
      <c r="M40" s="11" t="s">
        <v>599</v>
      </c>
    </row>
    <row r="41" spans="1:13" x14ac:dyDescent="0.2">
      <c r="A41" s="4" t="s">
        <v>58</v>
      </c>
      <c r="B41" s="25" t="s">
        <v>108</v>
      </c>
      <c r="C41" s="13" t="s">
        <v>224</v>
      </c>
      <c r="D41" s="13"/>
      <c r="E41" s="13" t="s">
        <v>271</v>
      </c>
      <c r="F41" s="14" t="s">
        <v>316</v>
      </c>
      <c r="G41" s="22" t="s">
        <v>345</v>
      </c>
      <c r="H41" s="12"/>
      <c r="I41" s="38"/>
      <c r="J41" s="45" t="s">
        <v>546</v>
      </c>
      <c r="K41" s="11" t="s">
        <v>649</v>
      </c>
      <c r="L41" s="15" t="s">
        <v>573</v>
      </c>
      <c r="M41" s="11" t="s">
        <v>600</v>
      </c>
    </row>
    <row r="42" spans="1:13" x14ac:dyDescent="0.2">
      <c r="A42" s="4" t="s">
        <v>44</v>
      </c>
      <c r="B42" s="25" t="s">
        <v>96</v>
      </c>
      <c r="C42" s="13" t="s">
        <v>225</v>
      </c>
      <c r="D42" s="13"/>
      <c r="E42" s="13" t="s">
        <v>272</v>
      </c>
      <c r="F42" s="14" t="s">
        <v>317</v>
      </c>
      <c r="G42" s="22" t="s">
        <v>346</v>
      </c>
      <c r="H42" s="12"/>
      <c r="I42" s="38"/>
      <c r="J42" s="45" t="s">
        <v>547</v>
      </c>
      <c r="K42" s="11" t="s">
        <v>649</v>
      </c>
      <c r="L42" s="15" t="s">
        <v>574</v>
      </c>
      <c r="M42" s="11" t="s">
        <v>601</v>
      </c>
    </row>
    <row r="43" spans="1:13" x14ac:dyDescent="0.2">
      <c r="A43" s="4" t="s">
        <v>45</v>
      </c>
      <c r="B43" s="25" t="s">
        <v>97</v>
      </c>
      <c r="C43" s="13" t="s">
        <v>226</v>
      </c>
      <c r="D43" s="13"/>
      <c r="E43" s="13" t="s">
        <v>273</v>
      </c>
      <c r="F43" s="14" t="s">
        <v>318</v>
      </c>
      <c r="G43" s="22" t="s">
        <v>347</v>
      </c>
      <c r="H43" s="12"/>
      <c r="I43" s="38"/>
      <c r="J43" s="45" t="s">
        <v>548</v>
      </c>
      <c r="K43" s="11" t="s">
        <v>649</v>
      </c>
      <c r="L43" s="15" t="s">
        <v>575</v>
      </c>
      <c r="M43" s="11" t="s">
        <v>602</v>
      </c>
    </row>
    <row r="44" spans="1:13" x14ac:dyDescent="0.2">
      <c r="A44" s="4" t="s">
        <v>46</v>
      </c>
      <c r="B44" s="25" t="s">
        <v>98</v>
      </c>
      <c r="C44" s="13" t="s">
        <v>227</v>
      </c>
      <c r="D44" s="13"/>
      <c r="E44" s="13" t="s">
        <v>274</v>
      </c>
      <c r="F44" s="14" t="s">
        <v>319</v>
      </c>
      <c r="G44" s="22" t="s">
        <v>348</v>
      </c>
      <c r="H44" s="12"/>
      <c r="I44" s="38"/>
      <c r="J44" s="45" t="s">
        <v>549</v>
      </c>
      <c r="K44" s="11" t="s">
        <v>649</v>
      </c>
      <c r="L44" s="15" t="s">
        <v>576</v>
      </c>
      <c r="M44" s="11" t="s">
        <v>603</v>
      </c>
    </row>
    <row r="45" spans="1:13" x14ac:dyDescent="0.2">
      <c r="A45" s="4" t="s">
        <v>47</v>
      </c>
      <c r="B45" s="25" t="s">
        <v>99</v>
      </c>
      <c r="C45" s="13" t="s">
        <v>228</v>
      </c>
      <c r="D45" s="13"/>
      <c r="E45" s="13" t="s">
        <v>275</v>
      </c>
      <c r="F45" s="14" t="s">
        <v>320</v>
      </c>
      <c r="G45" s="22" t="s">
        <v>349</v>
      </c>
      <c r="H45" s="12"/>
      <c r="I45" s="38"/>
      <c r="J45" s="45" t="s">
        <v>550</v>
      </c>
      <c r="K45" s="11" t="s">
        <v>649</v>
      </c>
      <c r="L45" s="15" t="s">
        <v>577</v>
      </c>
      <c r="M45" s="11" t="s">
        <v>604</v>
      </c>
    </row>
    <row r="46" spans="1:13" x14ac:dyDescent="0.2">
      <c r="A46" s="4" t="str">
        <f>"@Piano mic"</f>
        <v>@Piano mic</v>
      </c>
      <c r="B46" s="25" t="s">
        <v>100</v>
      </c>
      <c r="C46" s="13" t="s">
        <v>229</v>
      </c>
      <c r="D46" s="13"/>
      <c r="E46" s="13" t="s">
        <v>276</v>
      </c>
      <c r="F46" s="14" t="s">
        <v>321</v>
      </c>
      <c r="G46" s="22" t="s">
        <v>350</v>
      </c>
      <c r="H46" s="12"/>
      <c r="I46" s="38"/>
      <c r="J46" s="45" t="s">
        <v>551</v>
      </c>
      <c r="K46" s="11" t="s">
        <v>649</v>
      </c>
      <c r="L46" s="15" t="s">
        <v>578</v>
      </c>
      <c r="M46" s="11" t="s">
        <v>605</v>
      </c>
    </row>
    <row r="47" spans="1:13" x14ac:dyDescent="0.2">
      <c r="A47" s="20" t="s">
        <v>174</v>
      </c>
      <c r="B47" s="11"/>
      <c r="C47" s="11"/>
      <c r="D47" s="11"/>
      <c r="E47" s="11"/>
      <c r="F47" s="28" t="s">
        <v>180</v>
      </c>
      <c r="G47" s="22" t="s">
        <v>351</v>
      </c>
      <c r="H47" s="12"/>
      <c r="I47" s="38"/>
      <c r="J47" s="45" t="s">
        <v>552</v>
      </c>
      <c r="K47" s="11" t="s">
        <v>649</v>
      </c>
      <c r="L47" s="15" t="s">
        <v>579</v>
      </c>
      <c r="M47" s="11" t="s">
        <v>606</v>
      </c>
    </row>
    <row r="48" spans="1:13" x14ac:dyDescent="0.2">
      <c r="A48" s="20" t="s">
        <v>175</v>
      </c>
      <c r="B48" s="11"/>
      <c r="C48" s="11"/>
      <c r="D48" s="11"/>
      <c r="E48" s="11"/>
      <c r="F48" s="28" t="s">
        <v>181</v>
      </c>
      <c r="G48" s="22" t="s">
        <v>352</v>
      </c>
      <c r="H48" s="12"/>
      <c r="I48" s="38"/>
      <c r="J48" s="45" t="s">
        <v>553</v>
      </c>
      <c r="K48" s="11" t="s">
        <v>649</v>
      </c>
      <c r="L48" s="15" t="s">
        <v>580</v>
      </c>
      <c r="M48" s="11" t="s">
        <v>607</v>
      </c>
    </row>
    <row r="49" spans="1:13" x14ac:dyDescent="0.2">
      <c r="A49" s="20" t="s">
        <v>176</v>
      </c>
      <c r="B49" s="11"/>
      <c r="C49" s="11"/>
      <c r="D49" s="11"/>
      <c r="E49" s="11"/>
      <c r="F49" s="28" t="s">
        <v>182</v>
      </c>
      <c r="G49" s="22" t="s">
        <v>353</v>
      </c>
      <c r="H49" s="12"/>
      <c r="I49" s="38"/>
      <c r="J49" s="45" t="s">
        <v>554</v>
      </c>
      <c r="K49" s="11" t="s">
        <v>649</v>
      </c>
      <c r="L49" s="15" t="s">
        <v>581</v>
      </c>
      <c r="M49" s="11" t="s">
        <v>608</v>
      </c>
    </row>
    <row r="50" spans="1:13" x14ac:dyDescent="0.2">
      <c r="A50" s="20" t="s">
        <v>177</v>
      </c>
      <c r="B50" s="11"/>
      <c r="C50" s="11"/>
      <c r="D50" s="11"/>
      <c r="E50" s="11"/>
      <c r="F50" s="28" t="s">
        <v>183</v>
      </c>
      <c r="G50" s="22" t="s">
        <v>354</v>
      </c>
      <c r="H50" s="12"/>
      <c r="I50" s="38"/>
      <c r="J50" s="45" t="s">
        <v>555</v>
      </c>
      <c r="K50" s="11" t="s">
        <v>649</v>
      </c>
      <c r="L50" s="15" t="s">
        <v>582</v>
      </c>
      <c r="M50" s="11" t="s">
        <v>609</v>
      </c>
    </row>
    <row r="51" spans="1:13" x14ac:dyDescent="0.2">
      <c r="A51" s="20" t="s">
        <v>178</v>
      </c>
      <c r="B51" s="11"/>
      <c r="C51" s="11"/>
      <c r="D51" s="11"/>
      <c r="E51" s="11"/>
      <c r="F51" s="28" t="s">
        <v>184</v>
      </c>
      <c r="G51" s="22" t="s">
        <v>355</v>
      </c>
      <c r="H51" s="12"/>
      <c r="I51" s="38"/>
      <c r="J51" s="45" t="s">
        <v>556</v>
      </c>
      <c r="K51" s="11" t="s">
        <v>649</v>
      </c>
      <c r="L51" s="15" t="s">
        <v>583</v>
      </c>
      <c r="M51" s="11" t="s">
        <v>610</v>
      </c>
    </row>
    <row r="52" spans="1:13" x14ac:dyDescent="0.2">
      <c r="A52" s="20" t="s">
        <v>179</v>
      </c>
      <c r="B52" s="11"/>
      <c r="C52" s="11"/>
      <c r="D52" s="11"/>
      <c r="E52" s="11"/>
      <c r="F52" s="28" t="s">
        <v>185</v>
      </c>
      <c r="G52" s="22" t="s">
        <v>356</v>
      </c>
      <c r="H52" s="12"/>
      <c r="I52" s="38"/>
      <c r="J52" s="45" t="s">
        <v>557</v>
      </c>
      <c r="K52" s="11" t="s">
        <v>649</v>
      </c>
      <c r="L52" s="15" t="s">
        <v>584</v>
      </c>
      <c r="M52" s="11" t="s">
        <v>611</v>
      </c>
    </row>
    <row r="53" spans="1:13" x14ac:dyDescent="0.2">
      <c r="A53" s="21" t="s">
        <v>232</v>
      </c>
      <c r="B53" s="16" t="s">
        <v>692</v>
      </c>
      <c r="C53" s="13" t="s">
        <v>230</v>
      </c>
      <c r="D53" s="13"/>
      <c r="E53" s="13" t="s">
        <v>277</v>
      </c>
      <c r="F53" s="17" t="s">
        <v>323</v>
      </c>
      <c r="G53" s="22" t="s">
        <v>357</v>
      </c>
      <c r="H53" s="12"/>
      <c r="I53" s="38"/>
      <c r="J53" s="45" t="s">
        <v>558</v>
      </c>
      <c r="K53" s="11" t="s">
        <v>649</v>
      </c>
      <c r="L53" s="15" t="s">
        <v>585</v>
      </c>
      <c r="M53" s="11" t="s">
        <v>612</v>
      </c>
    </row>
    <row r="54" spans="1:13" x14ac:dyDescent="0.2">
      <c r="A54" s="21" t="s">
        <v>704</v>
      </c>
      <c r="B54" s="16" t="s">
        <v>693</v>
      </c>
      <c r="C54" s="13" t="s">
        <v>231</v>
      </c>
      <c r="D54" s="13"/>
      <c r="E54" s="13" t="s">
        <v>322</v>
      </c>
      <c r="F54" s="17" t="s">
        <v>324</v>
      </c>
      <c r="G54" s="22" t="s">
        <v>358</v>
      </c>
      <c r="H54" s="12"/>
      <c r="I54" s="38"/>
      <c r="J54" s="45" t="s">
        <v>559</v>
      </c>
      <c r="K54" s="11" t="s">
        <v>649</v>
      </c>
      <c r="L54" s="15" t="s">
        <v>586</v>
      </c>
      <c r="M54" s="11" t="s">
        <v>613</v>
      </c>
    </row>
    <row r="55" spans="1:13" x14ac:dyDescent="0.2">
      <c r="A55" s="21" t="s">
        <v>705</v>
      </c>
      <c r="B55" s="16" t="s">
        <v>694</v>
      </c>
      <c r="C55" s="13" t="s">
        <v>211</v>
      </c>
      <c r="D55" s="13"/>
      <c r="E55" s="13" t="s">
        <v>258</v>
      </c>
      <c r="F55" s="17" t="s">
        <v>325</v>
      </c>
      <c r="G55" s="22" t="s">
        <v>359</v>
      </c>
      <c r="H55" s="12"/>
      <c r="I55" s="38"/>
      <c r="J55" s="45" t="s">
        <v>560</v>
      </c>
      <c r="K55" s="11" t="s">
        <v>649</v>
      </c>
      <c r="L55" s="15" t="s">
        <v>587</v>
      </c>
      <c r="M55" s="11" t="s">
        <v>614</v>
      </c>
    </row>
    <row r="56" spans="1:13" x14ac:dyDescent="0.2">
      <c r="A56" s="21" t="s">
        <v>706</v>
      </c>
      <c r="B56" s="16" t="s">
        <v>695</v>
      </c>
      <c r="C56" s="13" t="s">
        <v>209</v>
      </c>
      <c r="D56" s="13"/>
      <c r="E56" s="13" t="s">
        <v>256</v>
      </c>
      <c r="F56" s="17" t="s">
        <v>326</v>
      </c>
      <c r="G56" s="22" t="s">
        <v>360</v>
      </c>
      <c r="H56" s="12"/>
      <c r="I56" s="38"/>
      <c r="J56" s="45" t="s">
        <v>561</v>
      </c>
      <c r="K56" s="11" t="s">
        <v>649</v>
      </c>
      <c r="L56" s="15" t="s">
        <v>588</v>
      </c>
      <c r="M56" s="11" t="s">
        <v>615</v>
      </c>
    </row>
    <row r="57" spans="1:13" x14ac:dyDescent="0.2">
      <c r="A57" s="20" t="s">
        <v>700</v>
      </c>
      <c r="B57" s="11"/>
      <c r="C57" s="5"/>
      <c r="D57" s="5"/>
      <c r="E57" s="5"/>
      <c r="F57" s="27" t="s">
        <v>40</v>
      </c>
      <c r="G57" s="22" t="s">
        <v>698</v>
      </c>
      <c r="H57" s="2"/>
      <c r="I57" s="39"/>
      <c r="J57" s="46"/>
      <c r="K57" s="11"/>
      <c r="L57" s="11"/>
      <c r="M57" s="11"/>
    </row>
    <row r="58" spans="1:13" x14ac:dyDescent="0.2">
      <c r="A58" s="20" t="s">
        <v>701</v>
      </c>
      <c r="B58" s="11"/>
      <c r="C58" s="5"/>
      <c r="D58" s="5"/>
      <c r="E58" s="5"/>
      <c r="F58" s="27" t="s">
        <v>41</v>
      </c>
      <c r="G58" s="22" t="s">
        <v>699</v>
      </c>
      <c r="H58" s="2"/>
      <c r="I58" s="39"/>
      <c r="J58" s="46"/>
      <c r="K58" s="11"/>
      <c r="L58" s="11"/>
      <c r="M58" s="11"/>
    </row>
    <row r="59" spans="1:13" x14ac:dyDescent="0.2">
      <c r="A59" s="20" t="s">
        <v>702</v>
      </c>
      <c r="B59" s="11"/>
      <c r="C59" s="5"/>
      <c r="D59" s="5"/>
      <c r="E59" s="5"/>
      <c r="F59" s="27" t="s">
        <v>42</v>
      </c>
      <c r="G59" s="22" t="s">
        <v>696</v>
      </c>
      <c r="H59" s="2"/>
      <c r="I59" s="39"/>
      <c r="J59" s="46"/>
      <c r="K59" s="11"/>
      <c r="L59" s="11"/>
      <c r="M59" s="11"/>
    </row>
    <row r="60" spans="1:13" x14ac:dyDescent="0.2">
      <c r="A60" s="20" t="s">
        <v>703</v>
      </c>
      <c r="B60" s="11"/>
      <c r="C60" s="5"/>
      <c r="D60" s="5"/>
      <c r="E60" s="5"/>
      <c r="F60" s="27" t="s">
        <v>43</v>
      </c>
      <c r="G60" s="22" t="s">
        <v>697</v>
      </c>
      <c r="H60" s="2"/>
      <c r="I60" s="39"/>
      <c r="J60" s="46"/>
      <c r="K60" s="11"/>
      <c r="L60" s="11"/>
      <c r="M60" s="11"/>
    </row>
    <row r="61" spans="1:13" x14ac:dyDescent="0.2">
      <c r="A61" s="21" t="s">
        <v>158</v>
      </c>
      <c r="B61" s="23" t="s">
        <v>2</v>
      </c>
      <c r="C61" s="21" t="s">
        <v>616</v>
      </c>
      <c r="D61" s="16" t="s">
        <v>692</v>
      </c>
      <c r="E61" s="13"/>
      <c r="F61" s="17"/>
      <c r="G61" s="22"/>
      <c r="H61" s="18"/>
      <c r="I61" s="40"/>
      <c r="J61" s="47" t="s">
        <v>632</v>
      </c>
      <c r="K61" s="11" t="s">
        <v>648</v>
      </c>
      <c r="L61" s="11" t="s">
        <v>650</v>
      </c>
      <c r="M61" s="11" t="s">
        <v>666</v>
      </c>
    </row>
    <row r="62" spans="1:13" x14ac:dyDescent="0.2">
      <c r="A62" s="21" t="s">
        <v>159</v>
      </c>
      <c r="B62" s="23" t="s">
        <v>3</v>
      </c>
      <c r="C62" s="21" t="s">
        <v>626</v>
      </c>
      <c r="D62" s="16" t="s">
        <v>692</v>
      </c>
      <c r="E62" s="13"/>
      <c r="F62" s="17"/>
      <c r="G62" s="22"/>
      <c r="H62" s="18"/>
      <c r="I62" s="39"/>
      <c r="J62" s="47" t="s">
        <v>633</v>
      </c>
      <c r="K62" s="11" t="s">
        <v>648</v>
      </c>
      <c r="L62" s="11" t="s">
        <v>651</v>
      </c>
      <c r="M62" s="11" t="s">
        <v>667</v>
      </c>
    </row>
    <row r="63" spans="1:13" x14ac:dyDescent="0.2">
      <c r="A63" s="21" t="s">
        <v>160</v>
      </c>
      <c r="B63" s="23" t="s">
        <v>4</v>
      </c>
      <c r="C63" s="21" t="s">
        <v>627</v>
      </c>
      <c r="D63" s="16" t="s">
        <v>692</v>
      </c>
      <c r="E63" s="13"/>
      <c r="F63" s="17"/>
      <c r="G63" s="22"/>
      <c r="H63" s="18"/>
      <c r="I63" s="39"/>
      <c r="J63" s="47" t="s">
        <v>634</v>
      </c>
      <c r="K63" s="11" t="s">
        <v>648</v>
      </c>
      <c r="L63" s="11" t="s">
        <v>652</v>
      </c>
      <c r="M63" s="11" t="s">
        <v>668</v>
      </c>
    </row>
    <row r="64" spans="1:13" x14ac:dyDescent="0.2">
      <c r="A64" s="21" t="s">
        <v>161</v>
      </c>
      <c r="B64" s="23" t="s">
        <v>5</v>
      </c>
      <c r="C64" s="21" t="s">
        <v>628</v>
      </c>
      <c r="D64" s="16" t="s">
        <v>692</v>
      </c>
      <c r="E64" s="13"/>
      <c r="F64" s="17"/>
      <c r="G64" s="22"/>
      <c r="H64" s="18"/>
      <c r="I64" s="39"/>
      <c r="J64" s="47" t="s">
        <v>635</v>
      </c>
      <c r="K64" s="11" t="s">
        <v>648</v>
      </c>
      <c r="L64" s="11" t="s">
        <v>653</v>
      </c>
      <c r="M64" s="11" t="s">
        <v>669</v>
      </c>
    </row>
    <row r="65" spans="1:13" x14ac:dyDescent="0.2">
      <c r="A65" s="21" t="s">
        <v>162</v>
      </c>
      <c r="B65" s="23" t="s">
        <v>6</v>
      </c>
      <c r="C65" s="21" t="s">
        <v>629</v>
      </c>
      <c r="D65" s="16" t="s">
        <v>692</v>
      </c>
      <c r="E65" s="13"/>
      <c r="F65" s="17"/>
      <c r="G65" s="22"/>
      <c r="H65" s="18"/>
      <c r="I65" s="39"/>
      <c r="J65" s="47" t="s">
        <v>636</v>
      </c>
      <c r="K65" s="11" t="s">
        <v>648</v>
      </c>
      <c r="L65" s="11" t="s">
        <v>654</v>
      </c>
      <c r="M65" s="11" t="s">
        <v>670</v>
      </c>
    </row>
    <row r="66" spans="1:13" x14ac:dyDescent="0.2">
      <c r="A66" s="4" t="s">
        <v>163</v>
      </c>
      <c r="B66" s="24" t="s">
        <v>7</v>
      </c>
      <c r="C66" s="21" t="s">
        <v>630</v>
      </c>
      <c r="D66" s="16" t="s">
        <v>692</v>
      </c>
      <c r="E66" s="13"/>
      <c r="F66" s="17"/>
      <c r="G66" s="22"/>
      <c r="H66" s="18"/>
      <c r="I66" s="39"/>
      <c r="J66" s="47" t="s">
        <v>637</v>
      </c>
      <c r="K66" s="11" t="s">
        <v>648</v>
      </c>
      <c r="L66" s="11" t="s">
        <v>655</v>
      </c>
      <c r="M66" s="11" t="s">
        <v>671</v>
      </c>
    </row>
    <row r="67" spans="1:13" x14ac:dyDescent="0.2">
      <c r="A67" s="4" t="s">
        <v>164</v>
      </c>
      <c r="B67" s="24" t="s">
        <v>8</v>
      </c>
      <c r="C67" s="21" t="s">
        <v>631</v>
      </c>
      <c r="D67" s="16" t="s">
        <v>692</v>
      </c>
      <c r="E67" s="13"/>
      <c r="F67" s="17"/>
      <c r="G67" s="22"/>
      <c r="H67" s="18"/>
      <c r="I67" s="39"/>
      <c r="J67" s="47" t="s">
        <v>638</v>
      </c>
      <c r="K67" s="11" t="s">
        <v>648</v>
      </c>
      <c r="L67" s="11" t="s">
        <v>656</v>
      </c>
      <c r="M67" s="11" t="s">
        <v>672</v>
      </c>
    </row>
    <row r="68" spans="1:13" x14ac:dyDescent="0.2">
      <c r="A68" s="21" t="s">
        <v>165</v>
      </c>
      <c r="B68" s="23" t="s">
        <v>12</v>
      </c>
      <c r="C68" s="21" t="s">
        <v>620</v>
      </c>
      <c r="D68" s="16" t="s">
        <v>692</v>
      </c>
      <c r="E68" s="13"/>
      <c r="F68" s="17"/>
      <c r="G68" s="22"/>
      <c r="H68" s="18"/>
      <c r="I68" s="39"/>
      <c r="J68" s="47" t="s">
        <v>639</v>
      </c>
      <c r="K68" s="11" t="s">
        <v>648</v>
      </c>
      <c r="L68" s="11" t="s">
        <v>657</v>
      </c>
      <c r="M68" s="11" t="s">
        <v>673</v>
      </c>
    </row>
    <row r="69" spans="1:13" x14ac:dyDescent="0.2">
      <c r="A69" s="21" t="s">
        <v>168</v>
      </c>
      <c r="B69" s="23" t="s">
        <v>27</v>
      </c>
      <c r="C69" s="21" t="s">
        <v>621</v>
      </c>
      <c r="D69" s="16" t="s">
        <v>693</v>
      </c>
      <c r="E69" s="13"/>
      <c r="F69" s="17"/>
      <c r="G69" s="22"/>
      <c r="H69" s="18"/>
      <c r="I69" s="39"/>
      <c r="J69" s="47" t="s">
        <v>640</v>
      </c>
      <c r="K69" s="11" t="s">
        <v>648</v>
      </c>
      <c r="L69" s="11" t="s">
        <v>658</v>
      </c>
      <c r="M69" s="11" t="s">
        <v>674</v>
      </c>
    </row>
    <row r="70" spans="1:13" x14ac:dyDescent="0.2">
      <c r="A70" s="21" t="s">
        <v>169</v>
      </c>
      <c r="B70" s="23" t="s">
        <v>28</v>
      </c>
      <c r="C70" s="21" t="s">
        <v>622</v>
      </c>
      <c r="D70" s="16" t="s">
        <v>693</v>
      </c>
      <c r="E70" s="13"/>
      <c r="F70" s="17"/>
      <c r="G70" s="22"/>
      <c r="H70" s="18"/>
      <c r="I70" s="39"/>
      <c r="J70" s="47" t="s">
        <v>641</v>
      </c>
      <c r="K70" s="11" t="s">
        <v>648</v>
      </c>
      <c r="L70" s="11" t="s">
        <v>659</v>
      </c>
      <c r="M70" s="11" t="s">
        <v>675</v>
      </c>
    </row>
    <row r="71" spans="1:13" x14ac:dyDescent="0.2">
      <c r="A71" s="21" t="s">
        <v>170</v>
      </c>
      <c r="B71" s="24" t="s">
        <v>29</v>
      </c>
      <c r="C71" s="21" t="s">
        <v>619</v>
      </c>
      <c r="D71" s="16" t="s">
        <v>693</v>
      </c>
      <c r="E71" s="13"/>
      <c r="F71" s="17"/>
      <c r="G71" s="22"/>
      <c r="H71" s="18"/>
      <c r="I71" s="39"/>
      <c r="J71" s="47" t="s">
        <v>642</v>
      </c>
      <c r="K71" s="11" t="s">
        <v>648</v>
      </c>
      <c r="L71" s="11" t="s">
        <v>660</v>
      </c>
      <c r="M71" s="11" t="s">
        <v>676</v>
      </c>
    </row>
    <row r="72" spans="1:13" x14ac:dyDescent="0.2">
      <c r="A72" s="21" t="s">
        <v>171</v>
      </c>
      <c r="B72" s="24" t="s">
        <v>30</v>
      </c>
      <c r="C72" s="21" t="s">
        <v>623</v>
      </c>
      <c r="D72" s="16" t="s">
        <v>693</v>
      </c>
      <c r="E72" s="13"/>
      <c r="F72" s="17"/>
      <c r="G72" s="22"/>
      <c r="H72" s="18"/>
      <c r="I72" s="39"/>
      <c r="J72" s="47" t="s">
        <v>643</v>
      </c>
      <c r="K72" s="11" t="s">
        <v>648</v>
      </c>
      <c r="L72" s="11" t="s">
        <v>661</v>
      </c>
      <c r="M72" s="11" t="s">
        <v>677</v>
      </c>
    </row>
    <row r="73" spans="1:13" x14ac:dyDescent="0.2">
      <c r="A73" s="21" t="s">
        <v>166</v>
      </c>
      <c r="B73" s="23" t="s">
        <v>18</v>
      </c>
      <c r="C73" s="21" t="s">
        <v>624</v>
      </c>
      <c r="D73" s="16" t="s">
        <v>694</v>
      </c>
      <c r="E73" s="13"/>
      <c r="F73" s="17"/>
      <c r="G73" s="22"/>
      <c r="H73" s="18"/>
      <c r="I73" s="39"/>
      <c r="J73" s="47" t="s">
        <v>644</v>
      </c>
      <c r="K73" s="11" t="s">
        <v>648</v>
      </c>
      <c r="L73" s="11" t="s">
        <v>662</v>
      </c>
      <c r="M73" s="11" t="s">
        <v>678</v>
      </c>
    </row>
    <row r="74" spans="1:13" x14ac:dyDescent="0.2">
      <c r="A74" s="21" t="s">
        <v>167</v>
      </c>
      <c r="B74" s="23" t="s">
        <v>20</v>
      </c>
      <c r="C74" s="21" t="s">
        <v>625</v>
      </c>
      <c r="D74" s="16" t="s">
        <v>694</v>
      </c>
      <c r="E74" s="13"/>
      <c r="F74" s="17"/>
      <c r="G74" s="22"/>
      <c r="H74" s="18"/>
      <c r="I74" s="39"/>
      <c r="J74" s="47" t="s">
        <v>645</v>
      </c>
      <c r="K74" s="11" t="s">
        <v>648</v>
      </c>
      <c r="L74" s="11" t="s">
        <v>663</v>
      </c>
      <c r="M74" s="11" t="s">
        <v>679</v>
      </c>
    </row>
    <row r="75" spans="1:13" x14ac:dyDescent="0.2">
      <c r="A75" s="4" t="s">
        <v>172</v>
      </c>
      <c r="B75" s="24" t="s">
        <v>16</v>
      </c>
      <c r="C75" s="21" t="s">
        <v>617</v>
      </c>
      <c r="D75" s="21"/>
      <c r="E75" s="13"/>
      <c r="F75" s="14"/>
      <c r="G75" s="14"/>
      <c r="H75" s="18"/>
      <c r="I75" s="39"/>
      <c r="J75" s="47" t="s">
        <v>646</v>
      </c>
      <c r="K75" s="11" t="s">
        <v>648</v>
      </c>
      <c r="L75" s="11" t="s">
        <v>664</v>
      </c>
      <c r="M75" s="11" t="s">
        <v>680</v>
      </c>
    </row>
    <row r="76" spans="1:13" x14ac:dyDescent="0.2">
      <c r="A76" s="4" t="s">
        <v>173</v>
      </c>
      <c r="B76" s="24" t="s">
        <v>17</v>
      </c>
      <c r="C76" s="21" t="s">
        <v>618</v>
      </c>
      <c r="D76" s="21"/>
      <c r="E76" s="13"/>
      <c r="F76" s="14"/>
      <c r="G76" s="14"/>
      <c r="H76" s="18"/>
      <c r="I76" s="39"/>
      <c r="J76" s="47" t="s">
        <v>647</v>
      </c>
      <c r="K76" s="11" t="s">
        <v>648</v>
      </c>
      <c r="L76" s="11" t="s">
        <v>665</v>
      </c>
      <c r="M76" s="11" t="s">
        <v>681</v>
      </c>
    </row>
    <row r="77" spans="1:13" x14ac:dyDescent="0.2">
      <c r="A77" s="13"/>
      <c r="B77" s="13" t="s">
        <v>95</v>
      </c>
      <c r="C77" s="11"/>
      <c r="D77" s="11"/>
      <c r="E77" s="11"/>
      <c r="F77" s="14"/>
      <c r="G77" s="14"/>
      <c r="H77" s="2"/>
      <c r="I77" s="39"/>
      <c r="J77" s="46"/>
      <c r="K77" s="11"/>
      <c r="L77" s="11"/>
      <c r="M77" s="11"/>
    </row>
    <row r="78" spans="1:13" x14ac:dyDescent="0.2">
      <c r="A78" s="13"/>
      <c r="B78" s="13" t="s">
        <v>112</v>
      </c>
      <c r="C78" s="11"/>
      <c r="D78" s="11"/>
      <c r="E78" s="11"/>
      <c r="F78" s="14"/>
      <c r="G78" s="14"/>
      <c r="H78" s="2"/>
      <c r="I78" s="39"/>
      <c r="J78" s="46"/>
      <c r="K78" s="11"/>
      <c r="L78" s="11"/>
      <c r="M78" s="11"/>
    </row>
    <row r="79" spans="1:13" x14ac:dyDescent="0.2">
      <c r="A79" s="13"/>
      <c r="B79" s="13" t="s">
        <v>119</v>
      </c>
      <c r="C79" s="11"/>
      <c r="D79" s="11"/>
      <c r="E79" s="11"/>
      <c r="F79" s="14"/>
      <c r="G79" s="14"/>
      <c r="H79" s="2"/>
      <c r="I79" s="39"/>
      <c r="J79" s="46"/>
      <c r="K79" s="11"/>
      <c r="L79" s="11"/>
      <c r="M79" s="11"/>
    </row>
    <row r="80" spans="1:13" x14ac:dyDescent="0.2">
      <c r="A80" s="13"/>
      <c r="B80" s="13" t="s">
        <v>120</v>
      </c>
      <c r="C80" s="11"/>
      <c r="D80" s="11"/>
      <c r="E80" s="11"/>
      <c r="F80" s="14"/>
      <c r="G80" s="14"/>
      <c r="H80" s="2"/>
      <c r="I80" s="39"/>
      <c r="J80" s="46"/>
      <c r="K80" s="11"/>
      <c r="L80" s="11"/>
      <c r="M80" s="11"/>
    </row>
    <row r="81" spans="1:13" x14ac:dyDescent="0.2">
      <c r="A81" s="13"/>
      <c r="B81" s="13" t="s">
        <v>9</v>
      </c>
      <c r="C81" s="13"/>
      <c r="D81" s="13"/>
      <c r="E81" s="13"/>
      <c r="F81" s="14"/>
      <c r="G81" s="14"/>
      <c r="H81" s="18"/>
      <c r="I81" s="39"/>
      <c r="J81" s="46"/>
      <c r="K81" s="11"/>
      <c r="L81" s="11"/>
      <c r="M81" s="11"/>
    </row>
    <row r="82" spans="1:13" x14ac:dyDescent="0.2">
      <c r="A82" s="13"/>
      <c r="B82" s="13" t="s">
        <v>10</v>
      </c>
      <c r="C82" s="13"/>
      <c r="D82" s="13"/>
      <c r="E82" s="13"/>
      <c r="F82" s="14"/>
      <c r="G82" s="14"/>
      <c r="H82" s="18"/>
      <c r="I82" s="39"/>
      <c r="J82" s="46"/>
      <c r="K82" s="11"/>
      <c r="L82" s="11"/>
      <c r="M82" s="11"/>
    </row>
    <row r="83" spans="1:13" x14ac:dyDescent="0.2">
      <c r="A83" s="13" t="s">
        <v>0</v>
      </c>
      <c r="B83" s="13" t="s">
        <v>11</v>
      </c>
      <c r="C83" s="13"/>
      <c r="D83" s="13"/>
      <c r="E83" s="13"/>
      <c r="F83" s="14"/>
      <c r="G83" s="14"/>
      <c r="H83" s="18"/>
      <c r="I83" s="39"/>
      <c r="J83" s="46"/>
      <c r="K83" s="11"/>
      <c r="L83" s="11"/>
      <c r="M83" s="11"/>
    </row>
    <row r="84" spans="1:13" x14ac:dyDescent="0.2">
      <c r="A84" s="13" t="s">
        <v>1</v>
      </c>
      <c r="B84" s="13" t="s">
        <v>13</v>
      </c>
      <c r="C84" s="13"/>
      <c r="D84" s="13"/>
      <c r="E84" s="13"/>
      <c r="F84" s="14"/>
      <c r="G84" s="14"/>
      <c r="H84" s="18"/>
      <c r="I84" s="39"/>
      <c r="J84" s="46"/>
      <c r="K84" s="11"/>
      <c r="L84" s="11"/>
      <c r="M84" s="11"/>
    </row>
    <row r="85" spans="1:13" x14ac:dyDescent="0.2">
      <c r="A85" s="13" t="s">
        <v>77</v>
      </c>
      <c r="B85" s="13" t="s">
        <v>14</v>
      </c>
      <c r="C85" s="13"/>
      <c r="D85" s="13"/>
      <c r="E85" s="13"/>
      <c r="F85" s="14"/>
      <c r="G85" s="14"/>
      <c r="H85" s="18"/>
      <c r="I85" s="39"/>
      <c r="J85" s="46"/>
      <c r="K85" s="11"/>
      <c r="L85" s="11"/>
      <c r="M85" s="11"/>
    </row>
    <row r="86" spans="1:13" x14ac:dyDescent="0.2">
      <c r="A86" s="13" t="s">
        <v>78</v>
      </c>
      <c r="B86" s="13" t="s">
        <v>15</v>
      </c>
      <c r="C86" s="13"/>
      <c r="D86" s="13"/>
      <c r="E86" s="13"/>
      <c r="F86" s="14"/>
      <c r="G86" s="14"/>
      <c r="H86" s="18"/>
      <c r="I86" s="39"/>
      <c r="J86" s="46"/>
      <c r="K86" s="11"/>
      <c r="L86" s="11"/>
      <c r="M86" s="11"/>
    </row>
    <row r="87" spans="1:13" x14ac:dyDescent="0.2">
      <c r="A87" s="13"/>
      <c r="B87" s="13" t="s">
        <v>19</v>
      </c>
      <c r="C87" s="13"/>
      <c r="D87" s="13"/>
      <c r="E87" s="13"/>
      <c r="F87" s="14"/>
      <c r="G87" s="14"/>
      <c r="H87" s="18"/>
      <c r="I87" s="39"/>
      <c r="J87" s="46"/>
      <c r="K87" s="11"/>
      <c r="L87" s="11"/>
      <c r="M87" s="11"/>
    </row>
    <row r="88" spans="1:13" x14ac:dyDescent="0.2">
      <c r="A88" s="13" t="s">
        <v>139</v>
      </c>
      <c r="B88" s="13" t="s">
        <v>21</v>
      </c>
      <c r="C88" s="5"/>
      <c r="D88" s="5"/>
      <c r="E88" s="5"/>
      <c r="F88" s="14"/>
      <c r="G88" s="14"/>
      <c r="H88" s="18"/>
      <c r="I88" s="39"/>
      <c r="J88" s="46"/>
      <c r="K88" s="11"/>
      <c r="L88" s="11"/>
      <c r="M88" s="11"/>
    </row>
    <row r="89" spans="1:13" x14ac:dyDescent="0.2">
      <c r="A89" s="13" t="s">
        <v>140</v>
      </c>
      <c r="B89" s="13" t="s">
        <v>22</v>
      </c>
      <c r="C89" s="5"/>
      <c r="D89" s="5"/>
      <c r="E89" s="5"/>
      <c r="F89" s="14"/>
      <c r="G89" s="14"/>
      <c r="H89" s="18"/>
      <c r="I89" s="39"/>
      <c r="J89" s="46"/>
      <c r="K89" s="11"/>
      <c r="L89" s="11"/>
      <c r="M89" s="11"/>
    </row>
    <row r="90" spans="1:13" x14ac:dyDescent="0.2">
      <c r="A90" s="13" t="s">
        <v>141</v>
      </c>
      <c r="B90" s="13" t="s">
        <v>23</v>
      </c>
      <c r="C90" s="5"/>
      <c r="D90" s="5"/>
      <c r="E90" s="5"/>
      <c r="F90" s="14"/>
      <c r="G90" s="14"/>
      <c r="H90" s="18"/>
      <c r="I90" s="39"/>
      <c r="J90" s="46"/>
      <c r="K90" s="11"/>
      <c r="L90" s="11"/>
      <c r="M90" s="11"/>
    </row>
    <row r="91" spans="1:13" x14ac:dyDescent="0.2">
      <c r="A91" s="13" t="s">
        <v>142</v>
      </c>
      <c r="B91" s="13" t="s">
        <v>24</v>
      </c>
      <c r="C91" s="5"/>
      <c r="D91" s="5"/>
      <c r="E91" s="5"/>
      <c r="F91" s="14"/>
      <c r="G91" s="14"/>
      <c r="H91" s="18"/>
      <c r="I91" s="39"/>
      <c r="J91" s="46"/>
      <c r="K91" s="11"/>
      <c r="L91" s="11"/>
      <c r="M91" s="11"/>
    </row>
    <row r="92" spans="1:13" x14ac:dyDescent="0.2">
      <c r="A92" s="16" t="s">
        <v>143</v>
      </c>
      <c r="B92" s="16" t="s">
        <v>25</v>
      </c>
      <c r="C92" s="16"/>
      <c r="D92" s="16"/>
      <c r="E92" s="16"/>
      <c r="F92" s="14"/>
      <c r="G92" s="14"/>
      <c r="H92" s="18"/>
      <c r="I92" s="39"/>
      <c r="J92" s="46"/>
      <c r="K92" s="11"/>
      <c r="L92" s="11"/>
      <c r="M92" s="11"/>
    </row>
    <row r="93" spans="1:13" x14ac:dyDescent="0.2">
      <c r="A93" s="16" t="s">
        <v>144</v>
      </c>
      <c r="B93" s="16" t="s">
        <v>26</v>
      </c>
      <c r="C93" s="16"/>
      <c r="D93" s="16"/>
      <c r="E93" s="16"/>
      <c r="F93" s="14"/>
      <c r="G93" s="14"/>
      <c r="H93" s="18"/>
      <c r="I93" s="39"/>
      <c r="J93" s="46"/>
      <c r="K93" s="11"/>
      <c r="L93" s="11"/>
      <c r="M93" s="11"/>
    </row>
    <row r="94" spans="1:13" x14ac:dyDescent="0.2">
      <c r="A94" s="13" t="s">
        <v>145</v>
      </c>
      <c r="B94" s="13" t="s">
        <v>31</v>
      </c>
      <c r="C94" s="5"/>
      <c r="D94" s="5"/>
      <c r="E94" s="5"/>
      <c r="F94" s="14"/>
      <c r="G94" s="14"/>
      <c r="H94" s="18"/>
      <c r="I94" s="39"/>
      <c r="J94" s="46"/>
      <c r="K94" s="11"/>
      <c r="L94" s="11"/>
      <c r="M94" s="11"/>
    </row>
    <row r="95" spans="1:13" x14ac:dyDescent="0.2">
      <c r="A95" s="13" t="s">
        <v>146</v>
      </c>
      <c r="B95" s="13" t="s">
        <v>32</v>
      </c>
      <c r="C95" s="5"/>
      <c r="D95" s="5"/>
      <c r="E95" s="5"/>
      <c r="F95" s="14"/>
      <c r="G95" s="14"/>
      <c r="H95" s="18"/>
      <c r="I95" s="39"/>
      <c r="J95" s="46"/>
      <c r="K95" s="11"/>
      <c r="L95" s="11"/>
      <c r="M95" s="11"/>
    </row>
    <row r="96" spans="1:13" x14ac:dyDescent="0.2">
      <c r="A96" s="13" t="s">
        <v>147</v>
      </c>
      <c r="B96" s="13" t="s">
        <v>33</v>
      </c>
      <c r="C96" s="5"/>
      <c r="D96" s="5"/>
      <c r="E96" s="5"/>
      <c r="F96" s="14"/>
      <c r="G96" s="14"/>
      <c r="H96" s="18"/>
      <c r="I96" s="39"/>
      <c r="J96" s="46"/>
      <c r="K96" s="11"/>
      <c r="L96" s="11"/>
      <c r="M96" s="11"/>
    </row>
    <row r="97" spans="1:13" x14ac:dyDescent="0.2">
      <c r="A97" s="11"/>
      <c r="B97" s="11"/>
      <c r="C97" s="5"/>
      <c r="D97" s="5"/>
      <c r="E97" s="5"/>
      <c r="F97" s="14" t="s">
        <v>34</v>
      </c>
      <c r="G97" s="14"/>
      <c r="H97" s="2"/>
      <c r="I97" s="39"/>
      <c r="J97" s="46"/>
      <c r="K97" s="11"/>
      <c r="L97" s="11"/>
      <c r="M97" s="11"/>
    </row>
    <row r="98" spans="1:13" x14ac:dyDescent="0.2">
      <c r="A98" s="11"/>
      <c r="B98" s="11"/>
      <c r="C98" s="5"/>
      <c r="D98" s="5"/>
      <c r="E98" s="5"/>
      <c r="F98" s="14" t="s">
        <v>35</v>
      </c>
      <c r="G98" s="14"/>
      <c r="H98" s="2"/>
      <c r="I98" s="39"/>
      <c r="J98" s="46"/>
      <c r="K98" s="11"/>
      <c r="L98" s="11"/>
      <c r="M98" s="11"/>
    </row>
    <row r="99" spans="1:13" x14ac:dyDescent="0.2">
      <c r="A99" s="11"/>
      <c r="B99" s="11"/>
      <c r="C99" s="5"/>
      <c r="D99" s="5"/>
      <c r="E99" s="5"/>
      <c r="F99" s="14" t="s">
        <v>36</v>
      </c>
      <c r="G99" s="14"/>
      <c r="H99" s="2"/>
      <c r="I99" s="39"/>
      <c r="J99" s="46"/>
      <c r="K99" s="11"/>
      <c r="L99" s="11"/>
      <c r="M99" s="11"/>
    </row>
    <row r="100" spans="1:13" x14ac:dyDescent="0.2">
      <c r="A100" s="11"/>
      <c r="B100" s="11"/>
      <c r="C100" s="5"/>
      <c r="D100" s="5"/>
      <c r="E100" s="5"/>
      <c r="F100" s="14" t="s">
        <v>37</v>
      </c>
      <c r="G100" s="14"/>
      <c r="H100" s="2"/>
      <c r="I100" s="39"/>
      <c r="J100" s="46"/>
      <c r="K100" s="11"/>
      <c r="L100" s="11"/>
      <c r="M100" s="11"/>
    </row>
    <row r="101" spans="1:13" x14ac:dyDescent="0.2">
      <c r="A101" s="11"/>
      <c r="B101" s="11"/>
      <c r="C101" s="5"/>
      <c r="D101" s="5"/>
      <c r="E101" s="5"/>
      <c r="F101" s="14" t="s">
        <v>38</v>
      </c>
      <c r="G101" s="14"/>
      <c r="H101" s="2"/>
      <c r="I101" s="39"/>
      <c r="J101" s="46"/>
      <c r="K101" s="11"/>
      <c r="L101" s="11"/>
      <c r="M101" s="11"/>
    </row>
    <row r="102" spans="1:13" x14ac:dyDescent="0.2">
      <c r="A102" s="11"/>
      <c r="B102" s="11"/>
      <c r="C102" s="5"/>
      <c r="D102" s="5"/>
      <c r="E102" s="5"/>
      <c r="F102" s="14" t="s">
        <v>39</v>
      </c>
      <c r="G102" s="14"/>
      <c r="H102" s="2"/>
      <c r="I102" s="39"/>
      <c r="J102" s="46"/>
      <c r="K102" s="11"/>
      <c r="L102" s="11"/>
      <c r="M102" s="11"/>
    </row>
    <row r="103" spans="1:13" x14ac:dyDescent="0.2">
      <c r="A103" s="5"/>
      <c r="B103" s="5"/>
      <c r="C103" s="5"/>
      <c r="D103" s="5"/>
      <c r="E103" s="5"/>
      <c r="F103" s="14"/>
      <c r="G103" s="14"/>
      <c r="H103" s="2"/>
      <c r="I103" s="39"/>
      <c r="J103" s="46"/>
      <c r="K103" s="11"/>
      <c r="L103" s="11"/>
      <c r="M103" s="11"/>
    </row>
    <row r="104" spans="1:13" x14ac:dyDescent="0.2">
      <c r="A104" s="5"/>
      <c r="B104" s="5"/>
      <c r="C104" s="5"/>
      <c r="D104" s="5"/>
      <c r="E104" s="5"/>
      <c r="F104" s="14"/>
      <c r="G104" s="14"/>
      <c r="H104" s="2"/>
      <c r="I104" s="39"/>
      <c r="J104" s="46"/>
      <c r="K104" s="11"/>
      <c r="L104" s="11"/>
      <c r="M104" s="11"/>
    </row>
    <row r="105" spans="1:13" x14ac:dyDescent="0.2">
      <c r="A105" s="3" t="s">
        <v>79</v>
      </c>
      <c r="B105" s="5"/>
      <c r="C105" s="5"/>
      <c r="D105" s="5"/>
      <c r="E105" s="5"/>
      <c r="F105" s="14"/>
      <c r="G105" s="2" t="s">
        <v>327</v>
      </c>
      <c r="H105" s="3" t="s">
        <v>415</v>
      </c>
      <c r="I105" s="41" t="s">
        <v>133</v>
      </c>
      <c r="J105" s="46"/>
      <c r="K105" s="11"/>
      <c r="L105" s="11"/>
      <c r="M105" s="11"/>
    </row>
    <row r="106" spans="1:13" x14ac:dyDescent="0.2">
      <c r="A106" s="3" t="s">
        <v>80</v>
      </c>
      <c r="B106" s="5"/>
      <c r="C106" s="5"/>
      <c r="D106" s="5"/>
      <c r="E106" s="5"/>
      <c r="F106" s="14"/>
      <c r="G106" s="2" t="s">
        <v>328</v>
      </c>
      <c r="H106" s="3" t="s">
        <v>416</v>
      </c>
      <c r="I106" s="41" t="s">
        <v>134</v>
      </c>
      <c r="J106" s="46"/>
      <c r="K106" s="11"/>
      <c r="L106" s="11"/>
      <c r="M106" s="11"/>
    </row>
    <row r="107" spans="1:13" x14ac:dyDescent="0.2">
      <c r="A107" s="3" t="s">
        <v>81</v>
      </c>
      <c r="B107" s="5"/>
      <c r="C107" s="5"/>
      <c r="D107" s="5"/>
      <c r="E107" s="5"/>
      <c r="F107" s="14"/>
      <c r="G107" s="2" t="s">
        <v>329</v>
      </c>
      <c r="H107" s="3" t="s">
        <v>417</v>
      </c>
      <c r="I107" s="41" t="s">
        <v>135</v>
      </c>
      <c r="J107" s="46"/>
      <c r="K107" s="11"/>
      <c r="L107" s="11"/>
      <c r="M107" s="11"/>
    </row>
    <row r="108" spans="1:13" x14ac:dyDescent="0.2">
      <c r="A108" s="3" t="s">
        <v>82</v>
      </c>
      <c r="B108" s="5"/>
      <c r="C108" s="5"/>
      <c r="D108" s="5"/>
      <c r="E108" s="5"/>
      <c r="F108" s="14"/>
      <c r="G108" s="2" t="s">
        <v>330</v>
      </c>
      <c r="H108" s="3" t="s">
        <v>418</v>
      </c>
      <c r="I108" s="41" t="s">
        <v>136</v>
      </c>
      <c r="J108" s="46"/>
      <c r="K108" s="11"/>
      <c r="L108" s="11"/>
      <c r="M108" s="11"/>
    </row>
    <row r="109" spans="1:13" x14ac:dyDescent="0.2">
      <c r="A109" s="3" t="s">
        <v>83</v>
      </c>
      <c r="B109" s="5"/>
      <c r="C109" s="5"/>
      <c r="D109" s="5"/>
      <c r="E109" s="5"/>
      <c r="F109" s="14"/>
      <c r="G109" s="2" t="s">
        <v>331</v>
      </c>
      <c r="H109" s="3" t="s">
        <v>419</v>
      </c>
      <c r="I109" s="41" t="s">
        <v>137</v>
      </c>
      <c r="J109" s="46"/>
      <c r="K109" s="11"/>
      <c r="L109" s="11"/>
      <c r="M109" s="11"/>
    </row>
    <row r="110" spans="1:13" x14ac:dyDescent="0.2">
      <c r="A110" s="3" t="s">
        <v>84</v>
      </c>
      <c r="B110" s="5"/>
      <c r="C110" s="5"/>
      <c r="D110" s="5"/>
      <c r="E110" s="5"/>
      <c r="F110" s="14"/>
      <c r="G110" s="2" t="s">
        <v>332</v>
      </c>
      <c r="H110" s="3" t="s">
        <v>420</v>
      </c>
      <c r="I110" s="41" t="s">
        <v>138</v>
      </c>
      <c r="J110" s="46"/>
      <c r="K110" s="11"/>
      <c r="L110" s="11"/>
      <c r="M110" s="11"/>
    </row>
    <row r="111" spans="1:13" x14ac:dyDescent="0.2">
      <c r="A111" s="9"/>
      <c r="B111" s="9"/>
      <c r="C111" s="9"/>
      <c r="D111" s="9"/>
      <c r="E111" s="9"/>
      <c r="F111" s="34"/>
      <c r="G111" s="9"/>
      <c r="H111" s="10"/>
      <c r="I111" s="42"/>
    </row>
    <row r="112" spans="1:13" x14ac:dyDescent="0.2">
      <c r="A112" s="5"/>
      <c r="B112" s="5"/>
      <c r="C112" s="5"/>
      <c r="D112" s="5"/>
      <c r="E112" s="5"/>
      <c r="F112" s="14"/>
      <c r="G112" s="5"/>
      <c r="H112" s="2"/>
      <c r="I112" s="40"/>
    </row>
    <row r="113" spans="1:9" x14ac:dyDescent="0.2">
      <c r="A113" s="5"/>
      <c r="B113" s="5"/>
      <c r="C113" s="5"/>
      <c r="D113" s="5"/>
      <c r="E113" s="5"/>
      <c r="F113" s="14"/>
      <c r="G113" s="5"/>
      <c r="H113" s="2"/>
      <c r="I113" s="40"/>
    </row>
    <row r="114" spans="1:9" x14ac:dyDescent="0.2">
      <c r="A114" s="5"/>
      <c r="B114" s="5"/>
      <c r="C114" s="5"/>
      <c r="D114" s="5"/>
      <c r="E114" s="5"/>
      <c r="F114" s="14"/>
      <c r="G114" s="5"/>
      <c r="H114" s="2"/>
      <c r="I114" s="40"/>
    </row>
    <row r="115" spans="1:9" x14ac:dyDescent="0.2">
      <c r="A115" s="5"/>
      <c r="B115" s="5"/>
      <c r="C115" s="5"/>
      <c r="D115" s="5"/>
      <c r="E115" s="5"/>
      <c r="F115" s="14"/>
      <c r="G115" s="5"/>
      <c r="H115" s="2"/>
      <c r="I115" s="40"/>
    </row>
    <row r="116" spans="1:9" x14ac:dyDescent="0.2">
      <c r="A116" s="5"/>
      <c r="B116" s="5"/>
      <c r="C116" s="5"/>
      <c r="D116" s="5"/>
      <c r="E116" s="5"/>
      <c r="F116" s="14"/>
      <c r="G116" s="5"/>
      <c r="H116" s="2"/>
      <c r="I116" s="40"/>
    </row>
    <row r="117" spans="1:9" x14ac:dyDescent="0.2">
      <c r="A117" s="5"/>
      <c r="B117" s="5"/>
      <c r="C117" s="5"/>
      <c r="D117" s="5"/>
      <c r="E117" s="5"/>
      <c r="F117" s="14"/>
      <c r="G117" s="5"/>
      <c r="H117" s="2"/>
      <c r="I117" s="40"/>
    </row>
    <row r="118" spans="1:9" x14ac:dyDescent="0.2">
      <c r="A118" s="5"/>
      <c r="B118" s="5"/>
      <c r="C118" s="5"/>
      <c r="D118" s="5"/>
      <c r="E118" s="5"/>
      <c r="F118" s="14"/>
      <c r="G118" s="5"/>
      <c r="H118" s="2"/>
      <c r="I118" s="40"/>
    </row>
    <row r="119" spans="1:9" x14ac:dyDescent="0.2">
      <c r="A119" s="5"/>
      <c r="B119" s="5"/>
      <c r="C119" s="5"/>
      <c r="D119" s="5"/>
      <c r="E119" s="5"/>
      <c r="F119" s="14"/>
      <c r="G119" s="5"/>
      <c r="H119" s="2"/>
      <c r="I119" s="40"/>
    </row>
    <row r="120" spans="1:9" x14ac:dyDescent="0.2">
      <c r="A120" s="5"/>
      <c r="B120" s="5"/>
      <c r="C120" s="5"/>
      <c r="D120" s="5"/>
      <c r="E120" s="5"/>
      <c r="F120" s="14"/>
      <c r="G120" s="5"/>
      <c r="H120" s="2"/>
      <c r="I120" s="40"/>
    </row>
    <row r="121" spans="1:9" x14ac:dyDescent="0.2">
      <c r="A121" s="5"/>
      <c r="B121" s="5"/>
      <c r="C121" s="5"/>
      <c r="D121" s="5"/>
      <c r="E121" s="5"/>
      <c r="F121" s="14"/>
      <c r="G121" s="5"/>
      <c r="H121" s="2"/>
      <c r="I121" s="40"/>
    </row>
    <row r="122" spans="1:9" x14ac:dyDescent="0.2">
      <c r="A122" s="5"/>
      <c r="B122" s="5"/>
      <c r="C122" s="5"/>
      <c r="D122" s="5"/>
      <c r="E122" s="5"/>
      <c r="F122" s="14"/>
      <c r="G122" s="5"/>
      <c r="H122" s="2"/>
      <c r="I122" s="40"/>
    </row>
    <row r="123" spans="1:9" x14ac:dyDescent="0.2">
      <c r="A123" s="5"/>
      <c r="B123" s="5"/>
      <c r="C123" s="5"/>
      <c r="D123" s="5"/>
      <c r="E123" s="5"/>
      <c r="F123" s="14"/>
      <c r="G123" s="5"/>
      <c r="H123" s="2"/>
      <c r="I123" s="40"/>
    </row>
    <row r="124" spans="1:9" x14ac:dyDescent="0.2">
      <c r="A124" s="5"/>
      <c r="B124" s="5"/>
      <c r="C124" s="5"/>
      <c r="D124" s="5"/>
      <c r="E124" s="5"/>
      <c r="F124" s="14"/>
      <c r="G124" s="5"/>
      <c r="H124" s="7"/>
      <c r="I124" s="39"/>
    </row>
    <row r="125" spans="1:9" x14ac:dyDescent="0.2">
      <c r="A125" s="5"/>
      <c r="B125" s="5"/>
      <c r="C125" s="5"/>
      <c r="D125" s="5"/>
      <c r="E125" s="5"/>
      <c r="F125" s="14"/>
      <c r="G125" s="5"/>
      <c r="H125" s="7"/>
      <c r="I125" s="39"/>
    </row>
  </sheetData>
  <sortState xmlns:xlrd2="http://schemas.microsoft.com/office/spreadsheetml/2017/richdata2" ref="A2:I125">
    <sortCondition ref="G2:G125"/>
    <sortCondition ref="C2:C125"/>
    <sortCondition ref="B2:B125"/>
  </sortState>
  <mergeCells count="1">
    <mergeCell ref="C1:E1"/>
  </mergeCells>
  <phoneticPr fontId="1" type="noConversion"/>
  <pageMargins left="0" right="0" top="0.5" bottom="0.45" header="0" footer="0"/>
  <pageSetup scale="65" fitToHeight="6" orientation="landscape" r:id="rId1"/>
  <headerFooter>
    <oddFooter>&amp;L&amp;F
&amp;P of &amp;N&amp;R&amp;D     
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B2D1-7A57-4193-965E-66DB60DF5F21}">
  <sheetPr>
    <pageSetUpPr fitToPage="1"/>
  </sheetPr>
  <dimension ref="A1:W233"/>
  <sheetViews>
    <sheetView workbookViewId="0">
      <selection activeCell="U3" sqref="U3"/>
    </sheetView>
  </sheetViews>
  <sheetFormatPr defaultRowHeight="15" x14ac:dyDescent="0.25"/>
  <cols>
    <col min="1" max="1" width="5.28515625" style="49" bestFit="1" customWidth="1"/>
    <col min="2" max="2" width="10.85546875" style="49" customWidth="1"/>
    <col min="3" max="3" width="6.28515625" style="49" bestFit="1" customWidth="1"/>
    <col min="4" max="4" width="12.85546875" style="49" customWidth="1"/>
    <col min="5" max="5" width="20.7109375" style="50" customWidth="1"/>
    <col min="6" max="6" width="2" style="49" bestFit="1" customWidth="1"/>
    <col min="7" max="7" width="9.28515625" style="106" bestFit="1" customWidth="1"/>
    <col min="8" max="8" width="9.140625" style="52" customWidth="1"/>
    <col min="9" max="9" width="9.85546875" style="106" customWidth="1"/>
    <col min="10" max="10" width="10.140625" style="52" customWidth="1"/>
    <col min="11" max="11" width="6.85546875" style="106" customWidth="1"/>
    <col min="12" max="12" width="2" style="49" bestFit="1" customWidth="1"/>
    <col min="13" max="13" width="11.42578125" style="51" customWidth="1"/>
    <col min="14" max="14" width="17.140625" style="53" customWidth="1"/>
    <col min="15" max="15" width="9.5703125" style="51" customWidth="1"/>
    <col min="16" max="16" width="6.42578125" style="51" customWidth="1"/>
    <col min="17" max="17" width="1.7109375" style="49" customWidth="1"/>
    <col min="18" max="18" width="8.140625" style="167" customWidth="1"/>
    <col min="19" max="19" width="16.7109375" style="191" customWidth="1"/>
    <col min="20" max="20" width="10.7109375" style="167" customWidth="1"/>
    <col min="21" max="21" width="5.7109375" style="167" customWidth="1"/>
  </cols>
  <sheetData>
    <row r="1" spans="1:23" ht="60.75" thickBot="1" x14ac:dyDescent="0.3">
      <c r="A1" s="59"/>
      <c r="B1" s="93"/>
      <c r="C1" s="93"/>
      <c r="D1" s="94"/>
      <c r="E1" s="60" t="s">
        <v>1814</v>
      </c>
      <c r="F1" s="169"/>
      <c r="G1" s="119" t="s">
        <v>950</v>
      </c>
      <c r="H1" s="82"/>
      <c r="I1" s="97"/>
      <c r="J1" s="176" t="s">
        <v>1829</v>
      </c>
      <c r="K1" s="98" t="s">
        <v>1812</v>
      </c>
      <c r="L1" s="172"/>
      <c r="M1" s="83" t="s">
        <v>1157</v>
      </c>
      <c r="N1" s="177"/>
      <c r="O1" s="114"/>
      <c r="P1" s="108" t="s">
        <v>1755</v>
      </c>
      <c r="Q1" s="173"/>
      <c r="R1" s="142" t="s">
        <v>1156</v>
      </c>
      <c r="S1" s="183"/>
      <c r="T1" s="143"/>
      <c r="U1" s="144" t="s">
        <v>1755</v>
      </c>
    </row>
    <row r="2" spans="1:23" ht="30.75" thickBot="1" x14ac:dyDescent="0.3">
      <c r="A2" s="61" t="s">
        <v>816</v>
      </c>
      <c r="B2" s="77"/>
      <c r="C2" s="77"/>
      <c r="D2" s="77"/>
      <c r="E2" s="90"/>
      <c r="F2" s="49" t="str">
        <f>"&gt;"</f>
        <v>&gt;</v>
      </c>
      <c r="G2" s="175" t="s">
        <v>1825</v>
      </c>
      <c r="H2" s="52" t="s">
        <v>1830</v>
      </c>
      <c r="J2" s="100" t="s">
        <v>914</v>
      </c>
      <c r="K2" s="99" t="str">
        <f>IF(MID(G2,1,3)="CH.",VALUE(MID(G2,4,2))+96,".")</f>
        <v>.</v>
      </c>
      <c r="M2" s="54" t="str">
        <f t="shared" ref="M2:M33" si="0">IF(MID(J2,1,6)="B.out.","B.in."&amp;MID(J2,7,2),".")</f>
        <v>B.in.45</v>
      </c>
      <c r="N2" s="206" t="s">
        <v>1830</v>
      </c>
      <c r="O2" s="115" t="s">
        <v>880</v>
      </c>
      <c r="P2" s="109">
        <f t="shared" ref="P2:P33" si="1">IF(MID(O2,1,3)="CH.",VALUE(MID(O2,4,2))+0,".")</f>
        <v>1</v>
      </c>
      <c r="R2" s="145" t="str">
        <f t="shared" ref="R2:R33" si="2">IF(MID(O2,1,6)="C.out.","C.in."&amp;MID(O2,7,2),".")</f>
        <v>.</v>
      </c>
      <c r="S2" s="184" t="str">
        <f t="shared" ref="S2:S33" si="3">IF(MID(T2,1,3)="CH.",$E2,"")</f>
        <v/>
      </c>
      <c r="T2" s="146"/>
      <c r="U2" s="147" t="str">
        <f>IF(MID(M2,1,3)="X32.",VALUE(MID(M2,8,2))+96,
 IF(MID(M2,1,3)="MR1.",VALUE(MID(M2,8,2))+0,
 IF(MID(M2,1,3)="MR2.",VALUE(MID(M2,8,2))+48,".")))</f>
        <v>.</v>
      </c>
      <c r="V2" s="49"/>
      <c r="W2" s="49"/>
    </row>
    <row r="3" spans="1:23" ht="30.75" thickBot="1" x14ac:dyDescent="0.3">
      <c r="A3" s="57" t="s">
        <v>816</v>
      </c>
      <c r="B3" s="77"/>
      <c r="C3" s="77"/>
      <c r="D3" s="77"/>
      <c r="E3" s="90"/>
      <c r="F3" s="49" t="str">
        <f t="shared" ref="F3:F233" si="4">"&gt;"</f>
        <v>&gt;</v>
      </c>
      <c r="G3" s="175" t="s">
        <v>1826</v>
      </c>
      <c r="H3" s="52" t="s">
        <v>1831</v>
      </c>
      <c r="J3" s="100" t="s">
        <v>915</v>
      </c>
      <c r="K3" s="99" t="str">
        <f>IF(MID(G3,1,3)="CH.",VALUE(MID(G3,4,2))+96,".")</f>
        <v>.</v>
      </c>
      <c r="M3" s="54" t="str">
        <f t="shared" si="0"/>
        <v>B.in.46</v>
      </c>
      <c r="N3" s="206" t="s">
        <v>1831</v>
      </c>
      <c r="O3" s="115" t="s">
        <v>900</v>
      </c>
      <c r="P3" s="110">
        <f t="shared" si="1"/>
        <v>2</v>
      </c>
      <c r="R3" s="145" t="str">
        <f t="shared" si="2"/>
        <v>.</v>
      </c>
      <c r="S3" s="184" t="str">
        <f t="shared" si="3"/>
        <v/>
      </c>
      <c r="T3" s="146"/>
      <c r="U3" s="148" t="str">
        <f t="shared" ref="U3:U33" si="5">IF(MID(T3,1,3)="CH.",VALUE(MID(T3,4,2))+48,".")</f>
        <v>.</v>
      </c>
      <c r="V3" s="49"/>
      <c r="W3" s="49"/>
    </row>
    <row r="4" spans="1:23" ht="30.75" thickBot="1" x14ac:dyDescent="0.3">
      <c r="A4" s="57" t="s">
        <v>816</v>
      </c>
      <c r="B4" s="77"/>
      <c r="C4" s="77"/>
      <c r="D4" s="77"/>
      <c r="E4" s="90"/>
      <c r="F4" s="49" t="str">
        <f t="shared" si="4"/>
        <v>&gt;</v>
      </c>
      <c r="G4" s="175" t="s">
        <v>1827</v>
      </c>
      <c r="H4" s="52" t="s">
        <v>1832</v>
      </c>
      <c r="J4" s="100" t="s">
        <v>916</v>
      </c>
      <c r="K4" s="99" t="str">
        <f>IF(MID(G4,1,3)="CH.",VALUE(MID(G4,4,2))+96,".")</f>
        <v>.</v>
      </c>
      <c r="M4" s="54" t="str">
        <f t="shared" si="0"/>
        <v>B.in.47</v>
      </c>
      <c r="N4" s="206" t="s">
        <v>1832</v>
      </c>
      <c r="O4" s="115" t="s">
        <v>901</v>
      </c>
      <c r="P4" s="110">
        <f t="shared" si="1"/>
        <v>3</v>
      </c>
      <c r="R4" s="145" t="str">
        <f t="shared" si="2"/>
        <v>.</v>
      </c>
      <c r="S4" s="184" t="str">
        <f t="shared" si="3"/>
        <v/>
      </c>
      <c r="T4" s="146"/>
      <c r="U4" s="148" t="str">
        <f t="shared" si="5"/>
        <v>.</v>
      </c>
      <c r="V4" s="49"/>
      <c r="W4" s="49"/>
    </row>
    <row r="5" spans="1:23" ht="30.75" thickBot="1" x14ac:dyDescent="0.3">
      <c r="A5" s="57" t="s">
        <v>816</v>
      </c>
      <c r="B5" s="77"/>
      <c r="C5" s="77"/>
      <c r="D5" s="77"/>
      <c r="E5" s="90"/>
      <c r="F5" s="49" t="str">
        <f t="shared" si="4"/>
        <v>&gt;</v>
      </c>
      <c r="G5" s="175" t="s">
        <v>1828</v>
      </c>
      <c r="H5" s="52" t="s">
        <v>1833</v>
      </c>
      <c r="J5" s="100" t="s">
        <v>917</v>
      </c>
      <c r="K5" s="99" t="str">
        <f>IF(MID(G5,1,3)="CH.",VALUE(MID(G5,4,2))+96,".")</f>
        <v>.</v>
      </c>
      <c r="M5" s="54" t="str">
        <f t="shared" si="0"/>
        <v>B.in.48</v>
      </c>
      <c r="N5" s="206" t="s">
        <v>1833</v>
      </c>
      <c r="O5" s="115" t="s">
        <v>902</v>
      </c>
      <c r="P5" s="110">
        <f t="shared" si="1"/>
        <v>4</v>
      </c>
      <c r="R5" s="145" t="str">
        <f t="shared" si="2"/>
        <v>.</v>
      </c>
      <c r="S5" s="184" t="str">
        <f t="shared" si="3"/>
        <v/>
      </c>
      <c r="T5" s="146"/>
      <c r="U5" s="148" t="str">
        <f t="shared" si="5"/>
        <v>.</v>
      </c>
      <c r="V5" s="49"/>
      <c r="W5" s="49"/>
    </row>
    <row r="6" spans="1:23" ht="15.75" thickBot="1" x14ac:dyDescent="0.3">
      <c r="A6" s="57" t="s">
        <v>816</v>
      </c>
      <c r="B6" s="95" t="s">
        <v>725</v>
      </c>
      <c r="C6" s="95"/>
      <c r="D6" s="95"/>
      <c r="E6" s="91" t="s">
        <v>714</v>
      </c>
      <c r="F6" s="49" t="str">
        <f t="shared" si="4"/>
        <v>&gt;</v>
      </c>
      <c r="G6" s="120" t="s">
        <v>951</v>
      </c>
      <c r="H6" s="88" t="str">
        <f t="shared" ref="H6:H69" si="6">IF(MID(J6,1,3)="CH.",$E6,"")</f>
        <v>Pr Jeff</v>
      </c>
      <c r="I6" s="100" t="s">
        <v>907</v>
      </c>
      <c r="J6" s="88" t="s">
        <v>906</v>
      </c>
      <c r="K6" s="99">
        <f t="shared" ref="K6:K37" si="7">IF(MID(J6,1,3)="CH.",VALUE(MID(J6,4,2))+96,".")</f>
        <v>97</v>
      </c>
      <c r="M6" s="54" t="str">
        <f t="shared" si="0"/>
        <v>.</v>
      </c>
      <c r="N6" s="178" t="str">
        <f t="shared" ref="N6:N37" si="8">IF(MID(O6,1,3)="CH.",$E6,"")</f>
        <v/>
      </c>
      <c r="O6" s="115"/>
      <c r="P6" s="110" t="str">
        <f t="shared" si="1"/>
        <v>.</v>
      </c>
      <c r="R6" s="145" t="str">
        <f t="shared" si="2"/>
        <v>.</v>
      </c>
      <c r="S6" s="184" t="str">
        <f t="shared" si="3"/>
        <v/>
      </c>
      <c r="T6" s="146"/>
      <c r="U6" s="148" t="str">
        <f t="shared" si="5"/>
        <v>.</v>
      </c>
      <c r="V6" s="49"/>
      <c r="W6" s="49"/>
    </row>
    <row r="7" spans="1:23" ht="15.75" thickBot="1" x14ac:dyDescent="0.3">
      <c r="A7" s="57" t="s">
        <v>816</v>
      </c>
      <c r="B7" s="95" t="s">
        <v>726</v>
      </c>
      <c r="C7" s="95"/>
      <c r="D7" s="95"/>
      <c r="E7" s="91" t="s">
        <v>1155</v>
      </c>
      <c r="F7" s="49" t="str">
        <f t="shared" si="4"/>
        <v>&gt;</v>
      </c>
      <c r="G7" s="120" t="s">
        <v>952</v>
      </c>
      <c r="H7" s="88" t="str">
        <f t="shared" si="6"/>
        <v>Vicar</v>
      </c>
      <c r="I7" s="100" t="s">
        <v>907</v>
      </c>
      <c r="J7" s="88" t="s">
        <v>900</v>
      </c>
      <c r="K7" s="99">
        <f t="shared" si="7"/>
        <v>98</v>
      </c>
      <c r="M7" s="54" t="str">
        <f t="shared" si="0"/>
        <v>.</v>
      </c>
      <c r="N7" s="178" t="str">
        <f t="shared" si="8"/>
        <v/>
      </c>
      <c r="O7" s="115"/>
      <c r="P7" s="110" t="str">
        <f t="shared" si="1"/>
        <v>.</v>
      </c>
      <c r="R7" s="145" t="str">
        <f t="shared" si="2"/>
        <v>.</v>
      </c>
      <c r="S7" s="184" t="str">
        <f t="shared" si="3"/>
        <v/>
      </c>
      <c r="T7" s="146"/>
      <c r="U7" s="148" t="str">
        <f t="shared" si="5"/>
        <v>.</v>
      </c>
      <c r="V7" s="49"/>
      <c r="W7" s="49"/>
    </row>
    <row r="8" spans="1:23" ht="15.75" thickBot="1" x14ac:dyDescent="0.3">
      <c r="A8" s="57" t="s">
        <v>816</v>
      </c>
      <c r="B8" s="95" t="s">
        <v>727</v>
      </c>
      <c r="C8" s="95"/>
      <c r="D8" s="95"/>
      <c r="E8" s="91" t="s">
        <v>713</v>
      </c>
      <c r="F8" s="49" t="str">
        <f t="shared" si="4"/>
        <v>&gt;</v>
      </c>
      <c r="G8" s="120" t="s">
        <v>953</v>
      </c>
      <c r="H8" s="88" t="str">
        <f t="shared" si="6"/>
        <v>Pr Paul</v>
      </c>
      <c r="I8" s="100" t="s">
        <v>907</v>
      </c>
      <c r="J8" s="88" t="s">
        <v>901</v>
      </c>
      <c r="K8" s="99">
        <f t="shared" si="7"/>
        <v>99</v>
      </c>
      <c r="M8" s="54" t="str">
        <f t="shared" si="0"/>
        <v>.</v>
      </c>
      <c r="N8" s="178" t="str">
        <f t="shared" si="8"/>
        <v/>
      </c>
      <c r="O8" s="115"/>
      <c r="P8" s="110" t="str">
        <f t="shared" si="1"/>
        <v>.</v>
      </c>
      <c r="R8" s="145" t="str">
        <f t="shared" si="2"/>
        <v>.</v>
      </c>
      <c r="S8" s="184" t="str">
        <f t="shared" si="3"/>
        <v/>
      </c>
      <c r="T8" s="146"/>
      <c r="U8" s="148" t="str">
        <f t="shared" si="5"/>
        <v>.</v>
      </c>
      <c r="V8" s="49"/>
      <c r="W8" s="49"/>
    </row>
    <row r="9" spans="1:23" ht="15.75" thickBot="1" x14ac:dyDescent="0.3">
      <c r="A9" s="57" t="s">
        <v>816</v>
      </c>
      <c r="B9" s="95" t="s">
        <v>728</v>
      </c>
      <c r="C9" s="95"/>
      <c r="D9" s="95"/>
      <c r="E9" s="91" t="s">
        <v>715</v>
      </c>
      <c r="F9" s="49" t="str">
        <f t="shared" si="4"/>
        <v>&gt;</v>
      </c>
      <c r="G9" s="120" t="s">
        <v>954</v>
      </c>
      <c r="H9" s="88" t="str">
        <f t="shared" si="6"/>
        <v>Kenzie</v>
      </c>
      <c r="I9" s="100" t="s">
        <v>907</v>
      </c>
      <c r="J9" s="88" t="s">
        <v>902</v>
      </c>
      <c r="K9" s="99">
        <f t="shared" si="7"/>
        <v>100</v>
      </c>
      <c r="M9" s="54" t="str">
        <f t="shared" si="0"/>
        <v>.</v>
      </c>
      <c r="N9" s="178" t="str">
        <f t="shared" si="8"/>
        <v/>
      </c>
      <c r="O9" s="115"/>
      <c r="P9" s="110" t="str">
        <f t="shared" si="1"/>
        <v>.</v>
      </c>
      <c r="R9" s="145" t="str">
        <f t="shared" si="2"/>
        <v>.</v>
      </c>
      <c r="S9" s="184" t="str">
        <f t="shared" si="3"/>
        <v/>
      </c>
      <c r="T9" s="146"/>
      <c r="U9" s="148" t="str">
        <f t="shared" si="5"/>
        <v>.</v>
      </c>
      <c r="V9" s="49"/>
      <c r="W9" s="49"/>
    </row>
    <row r="10" spans="1:23" ht="15.75" thickBot="1" x14ac:dyDescent="0.3">
      <c r="A10" s="57" t="s">
        <v>816</v>
      </c>
      <c r="B10" s="95" t="s">
        <v>729</v>
      </c>
      <c r="C10" s="95"/>
      <c r="D10" s="95"/>
      <c r="E10" s="91" t="s">
        <v>716</v>
      </c>
      <c r="F10" s="49" t="str">
        <f t="shared" si="4"/>
        <v>&gt;</v>
      </c>
      <c r="G10" s="120" t="s">
        <v>955</v>
      </c>
      <c r="H10" s="88" t="str">
        <f t="shared" si="6"/>
        <v>GST 1</v>
      </c>
      <c r="I10" s="100" t="s">
        <v>907</v>
      </c>
      <c r="J10" s="88" t="s">
        <v>903</v>
      </c>
      <c r="K10" s="99">
        <f t="shared" si="7"/>
        <v>101</v>
      </c>
      <c r="M10" s="54" t="str">
        <f t="shared" si="0"/>
        <v>.</v>
      </c>
      <c r="N10" s="178" t="str">
        <f t="shared" si="8"/>
        <v/>
      </c>
      <c r="O10" s="115"/>
      <c r="P10" s="110" t="str">
        <f t="shared" si="1"/>
        <v>.</v>
      </c>
      <c r="R10" s="145" t="str">
        <f t="shared" si="2"/>
        <v>.</v>
      </c>
      <c r="S10" s="184" t="str">
        <f t="shared" si="3"/>
        <v/>
      </c>
      <c r="T10" s="146"/>
      <c r="U10" s="148" t="str">
        <f t="shared" si="5"/>
        <v>.</v>
      </c>
      <c r="V10" s="49"/>
      <c r="W10" s="49"/>
    </row>
    <row r="11" spans="1:23" ht="15.75" thickBot="1" x14ac:dyDescent="0.3">
      <c r="A11" s="57" t="s">
        <v>816</v>
      </c>
      <c r="B11" s="95" t="s">
        <v>730</v>
      </c>
      <c r="C11" s="95"/>
      <c r="D11" s="95"/>
      <c r="E11" s="91" t="s">
        <v>717</v>
      </c>
      <c r="F11" s="49" t="str">
        <f t="shared" si="4"/>
        <v>&gt;</v>
      </c>
      <c r="G11" s="120" t="s">
        <v>956</v>
      </c>
      <c r="H11" s="88" t="str">
        <f t="shared" si="6"/>
        <v>GST 2</v>
      </c>
      <c r="I11" s="100" t="s">
        <v>907</v>
      </c>
      <c r="J11" s="88" t="s">
        <v>904</v>
      </c>
      <c r="K11" s="99">
        <f t="shared" si="7"/>
        <v>102</v>
      </c>
      <c r="M11" s="54" t="str">
        <f t="shared" si="0"/>
        <v>.</v>
      </c>
      <c r="N11" s="178" t="str">
        <f t="shared" si="8"/>
        <v/>
      </c>
      <c r="O11" s="115"/>
      <c r="P11" s="110" t="str">
        <f t="shared" si="1"/>
        <v>.</v>
      </c>
      <c r="R11" s="145" t="str">
        <f t="shared" si="2"/>
        <v>.</v>
      </c>
      <c r="S11" s="184" t="str">
        <f t="shared" si="3"/>
        <v/>
      </c>
      <c r="T11" s="146"/>
      <c r="U11" s="148" t="str">
        <f t="shared" si="5"/>
        <v>.</v>
      </c>
      <c r="V11" s="49"/>
      <c r="W11" s="49"/>
    </row>
    <row r="12" spans="1:23" ht="15.75" thickBot="1" x14ac:dyDescent="0.3">
      <c r="A12" s="57" t="s">
        <v>816</v>
      </c>
      <c r="B12" s="95" t="s">
        <v>731</v>
      </c>
      <c r="C12" s="95"/>
      <c r="D12" s="95"/>
      <c r="E12" s="91" t="s">
        <v>718</v>
      </c>
      <c r="F12" s="49" t="str">
        <f t="shared" si="4"/>
        <v>&gt;</v>
      </c>
      <c r="G12" s="120" t="s">
        <v>957</v>
      </c>
      <c r="H12" s="88" t="str">
        <f t="shared" si="6"/>
        <v>GST 3</v>
      </c>
      <c r="I12" s="100" t="s">
        <v>907</v>
      </c>
      <c r="J12" s="88" t="s">
        <v>905</v>
      </c>
      <c r="K12" s="99">
        <f t="shared" si="7"/>
        <v>103</v>
      </c>
      <c r="M12" s="54" t="str">
        <f t="shared" si="0"/>
        <v>.</v>
      </c>
      <c r="N12" s="178" t="str">
        <f t="shared" si="8"/>
        <v/>
      </c>
      <c r="O12" s="115"/>
      <c r="P12" s="110" t="str">
        <f t="shared" si="1"/>
        <v>.</v>
      </c>
      <c r="R12" s="145" t="str">
        <f t="shared" si="2"/>
        <v>.</v>
      </c>
      <c r="S12" s="184" t="str">
        <f t="shared" si="3"/>
        <v/>
      </c>
      <c r="T12" s="146"/>
      <c r="U12" s="148" t="str">
        <f t="shared" si="5"/>
        <v>.</v>
      </c>
      <c r="V12" s="49"/>
      <c r="W12" s="49"/>
    </row>
    <row r="13" spans="1:23" ht="15.75" thickBot="1" x14ac:dyDescent="0.3">
      <c r="A13" s="57" t="s">
        <v>816</v>
      </c>
      <c r="B13" s="95"/>
      <c r="C13" s="95"/>
      <c r="D13" s="95"/>
      <c r="E13" s="91"/>
      <c r="F13" s="49" t="str">
        <f t="shared" si="4"/>
        <v>&gt;</v>
      </c>
      <c r="G13" s="120" t="s">
        <v>958</v>
      </c>
      <c r="H13" s="88" t="str">
        <f t="shared" si="6"/>
        <v/>
      </c>
      <c r="I13" s="100"/>
      <c r="J13" s="88"/>
      <c r="K13" s="99" t="str">
        <f t="shared" si="7"/>
        <v>.</v>
      </c>
      <c r="M13" s="54" t="str">
        <f t="shared" si="0"/>
        <v>.</v>
      </c>
      <c r="N13" s="178" t="str">
        <f t="shared" si="8"/>
        <v/>
      </c>
      <c r="O13" s="115"/>
      <c r="P13" s="110" t="str">
        <f t="shared" si="1"/>
        <v>.</v>
      </c>
      <c r="R13" s="145" t="str">
        <f t="shared" si="2"/>
        <v>.</v>
      </c>
      <c r="S13" s="184" t="str">
        <f t="shared" si="3"/>
        <v/>
      </c>
      <c r="T13" s="146"/>
      <c r="U13" s="148" t="str">
        <f t="shared" si="5"/>
        <v>.</v>
      </c>
      <c r="V13" s="49"/>
      <c r="W13" s="49"/>
    </row>
    <row r="14" spans="1:23" ht="15.75" thickBot="1" x14ac:dyDescent="0.3">
      <c r="A14" s="57" t="s">
        <v>816</v>
      </c>
      <c r="B14" s="95"/>
      <c r="C14" s="95"/>
      <c r="D14" s="95"/>
      <c r="E14" s="91"/>
      <c r="F14" s="49" t="str">
        <f t="shared" si="4"/>
        <v>&gt;</v>
      </c>
      <c r="G14" s="120" t="s">
        <v>959</v>
      </c>
      <c r="H14" s="88" t="str">
        <f t="shared" si="6"/>
        <v/>
      </c>
      <c r="I14" s="100"/>
      <c r="J14" s="88"/>
      <c r="K14" s="99" t="str">
        <f t="shared" si="7"/>
        <v>.</v>
      </c>
      <c r="M14" s="54" t="str">
        <f t="shared" si="0"/>
        <v>.</v>
      </c>
      <c r="N14" s="178" t="str">
        <f t="shared" si="8"/>
        <v/>
      </c>
      <c r="O14" s="115"/>
      <c r="P14" s="110" t="str">
        <f t="shared" si="1"/>
        <v>.</v>
      </c>
      <c r="R14" s="145" t="str">
        <f t="shared" si="2"/>
        <v>.</v>
      </c>
      <c r="S14" s="184" t="str">
        <f t="shared" si="3"/>
        <v/>
      </c>
      <c r="T14" s="146"/>
      <c r="U14" s="148" t="str">
        <f t="shared" si="5"/>
        <v>.</v>
      </c>
      <c r="V14" s="49"/>
      <c r="W14" s="49"/>
    </row>
    <row r="15" spans="1:23" ht="15.75" thickBot="1" x14ac:dyDescent="0.3">
      <c r="A15" s="57" t="s">
        <v>816</v>
      </c>
      <c r="B15" s="95" t="s">
        <v>0</v>
      </c>
      <c r="C15" s="95"/>
      <c r="D15" s="95"/>
      <c r="E15" s="91"/>
      <c r="F15" s="49" t="str">
        <f t="shared" si="4"/>
        <v>&gt;</v>
      </c>
      <c r="G15" s="120" t="s">
        <v>960</v>
      </c>
      <c r="H15" s="88" t="str">
        <f t="shared" si="6"/>
        <v/>
      </c>
      <c r="I15" s="100"/>
      <c r="J15" s="88"/>
      <c r="K15" s="99" t="str">
        <f t="shared" si="7"/>
        <v>.</v>
      </c>
      <c r="M15" s="54" t="str">
        <f t="shared" si="0"/>
        <v>.</v>
      </c>
      <c r="N15" s="178" t="str">
        <f t="shared" si="8"/>
        <v/>
      </c>
      <c r="O15" s="115"/>
      <c r="P15" s="110" t="str">
        <f t="shared" si="1"/>
        <v>.</v>
      </c>
      <c r="R15" s="145" t="str">
        <f t="shared" si="2"/>
        <v>.</v>
      </c>
      <c r="S15" s="184" t="str">
        <f t="shared" si="3"/>
        <v/>
      </c>
      <c r="T15" s="146"/>
      <c r="U15" s="148" t="str">
        <f t="shared" si="5"/>
        <v>.</v>
      </c>
      <c r="V15" s="49"/>
      <c r="W15" s="49"/>
    </row>
    <row r="16" spans="1:23" ht="15.75" thickBot="1" x14ac:dyDescent="0.3">
      <c r="A16" s="57" t="s">
        <v>816</v>
      </c>
      <c r="B16" s="95" t="s">
        <v>732</v>
      </c>
      <c r="C16" s="95"/>
      <c r="D16" s="95"/>
      <c r="E16" s="91" t="s">
        <v>719</v>
      </c>
      <c r="F16" s="49" t="str">
        <f t="shared" si="4"/>
        <v>&gt;</v>
      </c>
      <c r="G16" s="120" t="s">
        <v>961</v>
      </c>
      <c r="H16" s="88" t="str">
        <f t="shared" si="6"/>
        <v>Altar</v>
      </c>
      <c r="I16" s="100" t="s">
        <v>907</v>
      </c>
      <c r="J16" s="88" t="s">
        <v>881</v>
      </c>
      <c r="K16" s="99">
        <f t="shared" si="7"/>
        <v>104</v>
      </c>
      <c r="M16" s="54" t="str">
        <f t="shared" si="0"/>
        <v>.</v>
      </c>
      <c r="N16" s="178" t="str">
        <f t="shared" si="8"/>
        <v/>
      </c>
      <c r="O16" s="115"/>
      <c r="P16" s="110" t="str">
        <f t="shared" si="1"/>
        <v>.</v>
      </c>
      <c r="R16" s="145" t="str">
        <f t="shared" si="2"/>
        <v>.</v>
      </c>
      <c r="S16" s="184" t="str">
        <f t="shared" si="3"/>
        <v/>
      </c>
      <c r="T16" s="146"/>
      <c r="U16" s="148" t="str">
        <f t="shared" si="5"/>
        <v>.</v>
      </c>
      <c r="V16" s="49"/>
      <c r="W16" s="49"/>
    </row>
    <row r="17" spans="1:23" ht="15.75" thickBot="1" x14ac:dyDescent="0.3">
      <c r="A17" s="57" t="s">
        <v>816</v>
      </c>
      <c r="B17" s="95" t="s">
        <v>1</v>
      </c>
      <c r="C17" s="95"/>
      <c r="D17" s="95"/>
      <c r="E17" s="91"/>
      <c r="F17" s="49" t="str">
        <f t="shared" si="4"/>
        <v>&gt;</v>
      </c>
      <c r="G17" s="120" t="s">
        <v>962</v>
      </c>
      <c r="H17" s="88" t="str">
        <f t="shared" si="6"/>
        <v/>
      </c>
      <c r="I17" s="100"/>
      <c r="J17" s="88"/>
      <c r="K17" s="99" t="str">
        <f t="shared" si="7"/>
        <v>.</v>
      </c>
      <c r="M17" s="54" t="str">
        <f t="shared" si="0"/>
        <v>.</v>
      </c>
      <c r="N17" s="178" t="str">
        <f t="shared" si="8"/>
        <v/>
      </c>
      <c r="O17" s="115"/>
      <c r="P17" s="110" t="str">
        <f t="shared" si="1"/>
        <v>.</v>
      </c>
      <c r="R17" s="145" t="str">
        <f t="shared" si="2"/>
        <v>.</v>
      </c>
      <c r="S17" s="184" t="str">
        <f t="shared" si="3"/>
        <v/>
      </c>
      <c r="T17" s="146"/>
      <c r="U17" s="148" t="str">
        <f t="shared" si="5"/>
        <v>.</v>
      </c>
      <c r="V17" s="49"/>
      <c r="W17" s="49"/>
    </row>
    <row r="18" spans="1:23" ht="15.75" thickBot="1" x14ac:dyDescent="0.3">
      <c r="A18" s="57" t="s">
        <v>816</v>
      </c>
      <c r="B18" s="95" t="s">
        <v>77</v>
      </c>
      <c r="C18" s="95"/>
      <c r="D18" s="95"/>
      <c r="E18" s="91"/>
      <c r="F18" s="49" t="str">
        <f t="shared" si="4"/>
        <v>&gt;</v>
      </c>
      <c r="G18" s="120" t="s">
        <v>963</v>
      </c>
      <c r="H18" s="88" t="str">
        <f t="shared" si="6"/>
        <v/>
      </c>
      <c r="I18" s="100"/>
      <c r="J18" s="88"/>
      <c r="K18" s="99" t="str">
        <f t="shared" si="7"/>
        <v>.</v>
      </c>
      <c r="M18" s="54" t="str">
        <f t="shared" si="0"/>
        <v>.</v>
      </c>
      <c r="N18" s="178" t="str">
        <f t="shared" si="8"/>
        <v/>
      </c>
      <c r="O18" s="115"/>
      <c r="P18" s="110" t="str">
        <f t="shared" si="1"/>
        <v>.</v>
      </c>
      <c r="R18" s="145" t="str">
        <f t="shared" si="2"/>
        <v>.</v>
      </c>
      <c r="S18" s="184" t="str">
        <f t="shared" si="3"/>
        <v/>
      </c>
      <c r="T18" s="146"/>
      <c r="U18" s="148" t="str">
        <f t="shared" si="5"/>
        <v>.</v>
      </c>
      <c r="V18" s="49"/>
      <c r="W18" s="49"/>
    </row>
    <row r="19" spans="1:23" ht="15.75" thickBot="1" x14ac:dyDescent="0.3">
      <c r="A19" s="57" t="s">
        <v>816</v>
      </c>
      <c r="B19" s="95" t="s">
        <v>78</v>
      </c>
      <c r="C19" s="95"/>
      <c r="D19" s="95"/>
      <c r="E19" s="91"/>
      <c r="F19" s="49" t="str">
        <f t="shared" si="4"/>
        <v>&gt;</v>
      </c>
      <c r="G19" s="120" t="s">
        <v>964</v>
      </c>
      <c r="H19" s="88" t="str">
        <f t="shared" si="6"/>
        <v/>
      </c>
      <c r="I19" s="100"/>
      <c r="J19" s="88"/>
      <c r="K19" s="99" t="str">
        <f t="shared" si="7"/>
        <v>.</v>
      </c>
      <c r="M19" s="54" t="str">
        <f t="shared" si="0"/>
        <v>.</v>
      </c>
      <c r="N19" s="178" t="str">
        <f t="shared" si="8"/>
        <v/>
      </c>
      <c r="O19" s="115"/>
      <c r="P19" s="110" t="str">
        <f t="shared" si="1"/>
        <v>.</v>
      </c>
      <c r="R19" s="145" t="str">
        <f t="shared" si="2"/>
        <v>.</v>
      </c>
      <c r="S19" s="184" t="str">
        <f t="shared" si="3"/>
        <v/>
      </c>
      <c r="T19" s="146"/>
      <c r="U19" s="148" t="str">
        <f t="shared" si="5"/>
        <v>.</v>
      </c>
      <c r="V19" s="49"/>
      <c r="W19" s="49"/>
    </row>
    <row r="20" spans="1:23" ht="15.75" thickBot="1" x14ac:dyDescent="0.3">
      <c r="A20" s="57" t="s">
        <v>816</v>
      </c>
      <c r="B20" s="95" t="s">
        <v>734</v>
      </c>
      <c r="C20" s="95"/>
      <c r="D20" s="95" t="s">
        <v>720</v>
      </c>
      <c r="E20" s="91" t="s">
        <v>723</v>
      </c>
      <c r="F20" s="49" t="str">
        <f t="shared" si="4"/>
        <v>&gt;</v>
      </c>
      <c r="G20" s="120" t="s">
        <v>965</v>
      </c>
      <c r="H20" s="88" t="str">
        <f t="shared" si="6"/>
        <v>Organ</v>
      </c>
      <c r="I20" s="100"/>
      <c r="J20" s="88" t="s">
        <v>888</v>
      </c>
      <c r="K20" s="99">
        <f t="shared" si="7"/>
        <v>111</v>
      </c>
      <c r="M20" s="54" t="str">
        <f t="shared" si="0"/>
        <v>.</v>
      </c>
      <c r="N20" s="178" t="str">
        <f t="shared" si="8"/>
        <v/>
      </c>
      <c r="O20" s="115"/>
      <c r="P20" s="110" t="str">
        <f t="shared" si="1"/>
        <v>.</v>
      </c>
      <c r="R20" s="145" t="str">
        <f t="shared" si="2"/>
        <v>.</v>
      </c>
      <c r="S20" s="184" t="str">
        <f t="shared" si="3"/>
        <v/>
      </c>
      <c r="T20" s="146"/>
      <c r="U20" s="148" t="str">
        <f t="shared" si="5"/>
        <v>.</v>
      </c>
      <c r="V20" s="49"/>
      <c r="W20" s="49"/>
    </row>
    <row r="21" spans="1:23" ht="15.75" thickBot="1" x14ac:dyDescent="0.3">
      <c r="A21" s="57" t="s">
        <v>816</v>
      </c>
      <c r="B21" s="95" t="s">
        <v>733</v>
      </c>
      <c r="C21" s="95"/>
      <c r="D21" s="95" t="s">
        <v>768</v>
      </c>
      <c r="E21" s="91" t="s">
        <v>724</v>
      </c>
      <c r="F21" s="49" t="str">
        <f t="shared" si="4"/>
        <v>&gt;</v>
      </c>
      <c r="G21" s="120" t="s">
        <v>966</v>
      </c>
      <c r="H21" s="88" t="str">
        <f t="shared" si="6"/>
        <v>Room</v>
      </c>
      <c r="I21" s="100"/>
      <c r="J21" s="88" t="s">
        <v>889</v>
      </c>
      <c r="K21" s="99">
        <f t="shared" si="7"/>
        <v>112</v>
      </c>
      <c r="M21" s="54" t="str">
        <f t="shared" si="0"/>
        <v>.</v>
      </c>
      <c r="N21" s="178" t="str">
        <f t="shared" si="8"/>
        <v/>
      </c>
      <c r="O21" s="115"/>
      <c r="P21" s="110" t="str">
        <f t="shared" si="1"/>
        <v>.</v>
      </c>
      <c r="R21" s="145" t="str">
        <f t="shared" si="2"/>
        <v>.</v>
      </c>
      <c r="S21" s="184" t="str">
        <f t="shared" si="3"/>
        <v/>
      </c>
      <c r="T21" s="146"/>
      <c r="U21" s="148" t="str">
        <f t="shared" si="5"/>
        <v>.</v>
      </c>
      <c r="V21" s="49"/>
      <c r="W21" s="49"/>
    </row>
    <row r="22" spans="1:23" ht="15.75" thickBot="1" x14ac:dyDescent="0.3">
      <c r="A22" s="57" t="s">
        <v>816</v>
      </c>
      <c r="B22" s="95" t="s">
        <v>736</v>
      </c>
      <c r="C22" s="95" t="s">
        <v>735</v>
      </c>
      <c r="D22" s="95" t="s">
        <v>722</v>
      </c>
      <c r="E22" s="91" t="s">
        <v>1743</v>
      </c>
      <c r="F22" s="49" t="str">
        <f t="shared" si="4"/>
        <v>&gt;</v>
      </c>
      <c r="G22" s="120" t="s">
        <v>967</v>
      </c>
      <c r="H22" s="88" t="str">
        <f t="shared" si="6"/>
        <v/>
      </c>
      <c r="I22" s="100"/>
      <c r="J22" s="100" t="s">
        <v>918</v>
      </c>
      <c r="K22" s="99" t="str">
        <f t="shared" si="7"/>
        <v>.</v>
      </c>
      <c r="M22" s="54" t="str">
        <f t="shared" si="0"/>
        <v>B.in.01</v>
      </c>
      <c r="N22" s="178" t="str">
        <f t="shared" si="8"/>
        <v>Sing or Skit</v>
      </c>
      <c r="O22" s="80" t="s">
        <v>891</v>
      </c>
      <c r="P22" s="110">
        <f t="shared" si="1"/>
        <v>18</v>
      </c>
      <c r="R22" s="145" t="str">
        <f t="shared" si="2"/>
        <v>.</v>
      </c>
      <c r="S22" s="184" t="str">
        <f t="shared" si="3"/>
        <v/>
      </c>
      <c r="T22" s="146"/>
      <c r="U22" s="148" t="str">
        <f t="shared" si="5"/>
        <v>.</v>
      </c>
      <c r="V22" s="49"/>
      <c r="W22" s="49"/>
    </row>
    <row r="23" spans="1:23" ht="15.75" thickBot="1" x14ac:dyDescent="0.3">
      <c r="A23" s="57" t="s">
        <v>816</v>
      </c>
      <c r="B23" s="95"/>
      <c r="C23" s="95"/>
      <c r="D23" s="95"/>
      <c r="E23" s="91"/>
      <c r="F23" s="49" t="str">
        <f t="shared" si="4"/>
        <v>&gt;</v>
      </c>
      <c r="G23" s="120" t="s">
        <v>968</v>
      </c>
      <c r="H23" s="88" t="str">
        <f t="shared" si="6"/>
        <v/>
      </c>
      <c r="I23" s="100"/>
      <c r="J23" s="88"/>
      <c r="K23" s="99" t="str">
        <f t="shared" si="7"/>
        <v>.</v>
      </c>
      <c r="M23" s="54" t="str">
        <f t="shared" si="0"/>
        <v>.</v>
      </c>
      <c r="N23" s="178" t="str">
        <f t="shared" si="8"/>
        <v/>
      </c>
      <c r="O23" s="80"/>
      <c r="P23" s="110" t="str">
        <f t="shared" si="1"/>
        <v>.</v>
      </c>
      <c r="R23" s="145" t="str">
        <f t="shared" si="2"/>
        <v>.</v>
      </c>
      <c r="S23" s="184" t="str">
        <f t="shared" si="3"/>
        <v/>
      </c>
      <c r="T23" s="146"/>
      <c r="U23" s="148" t="str">
        <f t="shared" si="5"/>
        <v>.</v>
      </c>
      <c r="V23" s="49"/>
      <c r="W23" s="49"/>
    </row>
    <row r="24" spans="1:23" ht="15.75" thickBot="1" x14ac:dyDescent="0.3">
      <c r="A24" s="57" t="s">
        <v>816</v>
      </c>
      <c r="B24" s="95" t="s">
        <v>739</v>
      </c>
      <c r="C24" s="95" t="s">
        <v>737</v>
      </c>
      <c r="D24" s="95" t="s">
        <v>738</v>
      </c>
      <c r="E24" s="91" t="s">
        <v>1743</v>
      </c>
      <c r="F24" s="49" t="str">
        <f t="shared" si="4"/>
        <v>&gt;</v>
      </c>
      <c r="G24" s="120" t="s">
        <v>969</v>
      </c>
      <c r="H24" s="88" t="str">
        <f t="shared" si="6"/>
        <v/>
      </c>
      <c r="I24" s="100"/>
      <c r="J24" s="100" t="s">
        <v>919</v>
      </c>
      <c r="K24" s="99" t="str">
        <f t="shared" si="7"/>
        <v>.</v>
      </c>
      <c r="M24" s="54" t="str">
        <f t="shared" si="0"/>
        <v>B.in.02</v>
      </c>
      <c r="N24" s="178" t="str">
        <f t="shared" si="8"/>
        <v>Sing or Skit</v>
      </c>
      <c r="O24" s="80" t="s">
        <v>892</v>
      </c>
      <c r="P24" s="110">
        <f t="shared" si="1"/>
        <v>19</v>
      </c>
      <c r="R24" s="145" t="str">
        <f t="shared" si="2"/>
        <v>.</v>
      </c>
      <c r="S24" s="184" t="str">
        <f t="shared" si="3"/>
        <v/>
      </c>
      <c r="T24" s="146"/>
      <c r="U24" s="148" t="str">
        <f t="shared" si="5"/>
        <v>.</v>
      </c>
      <c r="V24" s="49"/>
      <c r="W24" s="49"/>
    </row>
    <row r="25" spans="1:23" ht="15.75" thickBot="1" x14ac:dyDescent="0.3">
      <c r="A25" s="57" t="s">
        <v>816</v>
      </c>
      <c r="B25" s="95" t="s">
        <v>1384</v>
      </c>
      <c r="C25" s="95" t="s">
        <v>740</v>
      </c>
      <c r="D25" s="95" t="s">
        <v>708</v>
      </c>
      <c r="E25" s="92" t="s">
        <v>1384</v>
      </c>
      <c r="F25" s="49" t="str">
        <f t="shared" si="4"/>
        <v>&gt;</v>
      </c>
      <c r="G25" s="120" t="s">
        <v>970</v>
      </c>
      <c r="H25" s="88" t="str">
        <f t="shared" si="6"/>
        <v/>
      </c>
      <c r="I25" s="100"/>
      <c r="J25" s="100" t="s">
        <v>920</v>
      </c>
      <c r="K25" s="99" t="str">
        <f t="shared" si="7"/>
        <v>.</v>
      </c>
      <c r="M25" s="54" t="str">
        <f t="shared" si="0"/>
        <v>B.in.03</v>
      </c>
      <c r="N25" s="178" t="str">
        <f t="shared" si="8"/>
        <v>SEN.06</v>
      </c>
      <c r="O25" s="80" t="s">
        <v>893</v>
      </c>
      <c r="P25" s="110">
        <f t="shared" si="1"/>
        <v>20</v>
      </c>
      <c r="R25" s="145" t="str">
        <f t="shared" si="2"/>
        <v>.</v>
      </c>
      <c r="S25" s="184" t="str">
        <f t="shared" si="3"/>
        <v/>
      </c>
      <c r="T25" s="146"/>
      <c r="U25" s="148" t="str">
        <f t="shared" si="5"/>
        <v>.</v>
      </c>
      <c r="V25" s="49"/>
      <c r="W25" s="49"/>
    </row>
    <row r="26" spans="1:23" ht="15.75" thickBot="1" x14ac:dyDescent="0.3">
      <c r="A26" s="57" t="s">
        <v>816</v>
      </c>
      <c r="B26" s="95" t="s">
        <v>1385</v>
      </c>
      <c r="C26" s="95" t="s">
        <v>741</v>
      </c>
      <c r="D26" s="95" t="s">
        <v>709</v>
      </c>
      <c r="E26" s="92" t="s">
        <v>1385</v>
      </c>
      <c r="F26" s="49" t="str">
        <f t="shared" si="4"/>
        <v>&gt;</v>
      </c>
      <c r="G26" s="120" t="s">
        <v>971</v>
      </c>
      <c r="H26" s="88" t="str">
        <f t="shared" si="6"/>
        <v/>
      </c>
      <c r="I26" s="100"/>
      <c r="J26" s="100" t="s">
        <v>921</v>
      </c>
      <c r="K26" s="99" t="str">
        <f t="shared" si="7"/>
        <v>.</v>
      </c>
      <c r="M26" s="54" t="str">
        <f t="shared" si="0"/>
        <v>B.in.04</v>
      </c>
      <c r="N26" s="178" t="str">
        <f t="shared" si="8"/>
        <v>SEN.07</v>
      </c>
      <c r="O26" s="80" t="s">
        <v>894</v>
      </c>
      <c r="P26" s="110">
        <f t="shared" si="1"/>
        <v>21</v>
      </c>
      <c r="R26" s="145" t="str">
        <f t="shared" si="2"/>
        <v>.</v>
      </c>
      <c r="S26" s="184" t="str">
        <f t="shared" si="3"/>
        <v/>
      </c>
      <c r="T26" s="146"/>
      <c r="U26" s="148" t="str">
        <f t="shared" si="5"/>
        <v>.</v>
      </c>
      <c r="V26" s="49"/>
      <c r="W26" s="49"/>
    </row>
    <row r="27" spans="1:23" ht="15.75" thickBot="1" x14ac:dyDescent="0.3">
      <c r="A27" s="57" t="s">
        <v>816</v>
      </c>
      <c r="B27" s="95" t="s">
        <v>1386</v>
      </c>
      <c r="C27" s="95" t="s">
        <v>742</v>
      </c>
      <c r="D27" s="95" t="s">
        <v>710</v>
      </c>
      <c r="E27" s="92" t="s">
        <v>1386</v>
      </c>
      <c r="F27" s="49" t="str">
        <f t="shared" si="4"/>
        <v>&gt;</v>
      </c>
      <c r="G27" s="120" t="s">
        <v>972</v>
      </c>
      <c r="H27" s="88" t="str">
        <f t="shared" si="6"/>
        <v/>
      </c>
      <c r="I27" s="100"/>
      <c r="J27" s="100" t="s">
        <v>922</v>
      </c>
      <c r="K27" s="99" t="str">
        <f t="shared" si="7"/>
        <v>.</v>
      </c>
      <c r="M27" s="54" t="str">
        <f t="shared" si="0"/>
        <v>B.in.05</v>
      </c>
      <c r="N27" s="178" t="str">
        <f t="shared" si="8"/>
        <v>SEN.08</v>
      </c>
      <c r="O27" s="80" t="s">
        <v>895</v>
      </c>
      <c r="P27" s="110">
        <f t="shared" si="1"/>
        <v>22</v>
      </c>
      <c r="R27" s="145" t="str">
        <f t="shared" si="2"/>
        <v>.</v>
      </c>
      <c r="S27" s="184" t="str">
        <f t="shared" si="3"/>
        <v/>
      </c>
      <c r="T27" s="146"/>
      <c r="U27" s="148" t="str">
        <f t="shared" si="5"/>
        <v>.</v>
      </c>
      <c r="V27" s="49"/>
      <c r="W27" s="49"/>
    </row>
    <row r="28" spans="1:23" ht="15.75" thickBot="1" x14ac:dyDescent="0.3">
      <c r="A28" s="57" t="s">
        <v>816</v>
      </c>
      <c r="B28" s="95" t="s">
        <v>1387</v>
      </c>
      <c r="C28" s="95" t="s">
        <v>743</v>
      </c>
      <c r="D28" s="95" t="s">
        <v>711</v>
      </c>
      <c r="E28" s="92" t="s">
        <v>1387</v>
      </c>
      <c r="F28" s="49" t="str">
        <f t="shared" si="4"/>
        <v>&gt;</v>
      </c>
      <c r="G28" s="120" t="s">
        <v>973</v>
      </c>
      <c r="H28" s="88" t="str">
        <f t="shared" si="6"/>
        <v/>
      </c>
      <c r="I28" s="100"/>
      <c r="J28" s="100" t="s">
        <v>923</v>
      </c>
      <c r="K28" s="99" t="str">
        <f t="shared" si="7"/>
        <v>.</v>
      </c>
      <c r="M28" s="54" t="str">
        <f t="shared" si="0"/>
        <v>B.in.06</v>
      </c>
      <c r="N28" s="178" t="str">
        <f t="shared" si="8"/>
        <v>SEN.09</v>
      </c>
      <c r="O28" s="80" t="s">
        <v>896</v>
      </c>
      <c r="P28" s="110">
        <f t="shared" si="1"/>
        <v>23</v>
      </c>
      <c r="R28" s="145" t="str">
        <f t="shared" si="2"/>
        <v>.</v>
      </c>
      <c r="S28" s="184" t="str">
        <f t="shared" si="3"/>
        <v/>
      </c>
      <c r="T28" s="146"/>
      <c r="U28" s="148" t="str">
        <f t="shared" si="5"/>
        <v>.</v>
      </c>
      <c r="V28" s="49"/>
      <c r="W28" s="49"/>
    </row>
    <row r="29" spans="1:23" ht="15.75" thickBot="1" x14ac:dyDescent="0.3">
      <c r="A29" s="57" t="s">
        <v>816</v>
      </c>
      <c r="B29" s="95" t="s">
        <v>1388</v>
      </c>
      <c r="C29" s="95" t="s">
        <v>744</v>
      </c>
      <c r="D29" s="95" t="s">
        <v>712</v>
      </c>
      <c r="E29" s="92" t="s">
        <v>1388</v>
      </c>
      <c r="F29" s="49" t="str">
        <f t="shared" si="4"/>
        <v>&gt;</v>
      </c>
      <c r="G29" s="120" t="s">
        <v>974</v>
      </c>
      <c r="H29" s="88" t="str">
        <f t="shared" si="6"/>
        <v/>
      </c>
      <c r="I29" s="100"/>
      <c r="J29" s="100" t="s">
        <v>924</v>
      </c>
      <c r="K29" s="99" t="str">
        <f t="shared" si="7"/>
        <v>.</v>
      </c>
      <c r="M29" s="54" t="str">
        <f t="shared" si="0"/>
        <v>B.in.07</v>
      </c>
      <c r="N29" s="178" t="str">
        <f t="shared" si="8"/>
        <v>SEN.10</v>
      </c>
      <c r="O29" s="80" t="s">
        <v>897</v>
      </c>
      <c r="P29" s="110">
        <f t="shared" si="1"/>
        <v>24</v>
      </c>
      <c r="R29" s="145" t="str">
        <f t="shared" si="2"/>
        <v>.</v>
      </c>
      <c r="S29" s="184" t="str">
        <f t="shared" si="3"/>
        <v/>
      </c>
      <c r="T29" s="146"/>
      <c r="U29" s="148" t="str">
        <f t="shared" si="5"/>
        <v>.</v>
      </c>
      <c r="V29" s="49"/>
      <c r="W29" s="49"/>
    </row>
    <row r="30" spans="1:23" ht="15.75" thickBot="1" x14ac:dyDescent="0.3">
      <c r="A30" s="57" t="s">
        <v>816</v>
      </c>
      <c r="B30" s="95"/>
      <c r="C30" s="95" t="s">
        <v>745</v>
      </c>
      <c r="D30" s="95" t="s">
        <v>753</v>
      </c>
      <c r="E30" s="91"/>
      <c r="F30" s="49" t="str">
        <f t="shared" si="4"/>
        <v>&gt;</v>
      </c>
      <c r="G30" s="120" t="s">
        <v>975</v>
      </c>
      <c r="H30" s="88" t="str">
        <f t="shared" si="6"/>
        <v/>
      </c>
      <c r="I30" s="100"/>
      <c r="J30" s="88"/>
      <c r="K30" s="99" t="str">
        <f t="shared" si="7"/>
        <v>.</v>
      </c>
      <c r="M30" s="54" t="str">
        <f t="shared" si="0"/>
        <v>.</v>
      </c>
      <c r="N30" s="178" t="str">
        <f t="shared" si="8"/>
        <v/>
      </c>
      <c r="O30" s="115"/>
      <c r="P30" s="110" t="str">
        <f t="shared" si="1"/>
        <v>.</v>
      </c>
      <c r="R30" s="145" t="str">
        <f t="shared" si="2"/>
        <v>.</v>
      </c>
      <c r="S30" s="184" t="str">
        <f t="shared" si="3"/>
        <v/>
      </c>
      <c r="T30" s="146"/>
      <c r="U30" s="148" t="str">
        <f t="shared" si="5"/>
        <v>.</v>
      </c>
      <c r="V30" s="49"/>
      <c r="W30" s="49"/>
    </row>
    <row r="31" spans="1:23" ht="15.75" thickBot="1" x14ac:dyDescent="0.3">
      <c r="A31" s="57" t="s">
        <v>816</v>
      </c>
      <c r="B31" s="95"/>
      <c r="C31" s="95"/>
      <c r="D31" s="95"/>
      <c r="E31" s="91"/>
      <c r="F31" s="49" t="str">
        <f t="shared" si="4"/>
        <v>&gt;</v>
      </c>
      <c r="G31" s="120" t="s">
        <v>976</v>
      </c>
      <c r="H31" s="88" t="str">
        <f t="shared" si="6"/>
        <v/>
      </c>
      <c r="I31" s="100"/>
      <c r="J31" s="88"/>
      <c r="K31" s="99" t="str">
        <f t="shared" si="7"/>
        <v>.</v>
      </c>
      <c r="M31" s="54" t="str">
        <f t="shared" si="0"/>
        <v>.</v>
      </c>
      <c r="N31" s="178" t="str">
        <f t="shared" si="8"/>
        <v/>
      </c>
      <c r="O31" s="115"/>
      <c r="P31" s="110" t="str">
        <f t="shared" si="1"/>
        <v>.</v>
      </c>
      <c r="R31" s="145" t="str">
        <f t="shared" si="2"/>
        <v>.</v>
      </c>
      <c r="S31" s="184" t="str">
        <f t="shared" si="3"/>
        <v/>
      </c>
      <c r="T31" s="146"/>
      <c r="U31" s="148" t="str">
        <f t="shared" si="5"/>
        <v>.</v>
      </c>
      <c r="V31" s="49"/>
      <c r="W31" s="49"/>
    </row>
    <row r="32" spans="1:23" ht="15.75" thickBot="1" x14ac:dyDescent="0.3">
      <c r="A32" s="57" t="s">
        <v>816</v>
      </c>
      <c r="B32" s="95"/>
      <c r="C32" s="95"/>
      <c r="D32" s="95"/>
      <c r="E32" s="91"/>
      <c r="F32" s="49" t="str">
        <f t="shared" si="4"/>
        <v>&gt;</v>
      </c>
      <c r="G32" s="120" t="s">
        <v>977</v>
      </c>
      <c r="H32" s="88" t="str">
        <f t="shared" si="6"/>
        <v/>
      </c>
      <c r="I32" s="100"/>
      <c r="J32" s="88"/>
      <c r="K32" s="99" t="str">
        <f t="shared" si="7"/>
        <v>.</v>
      </c>
      <c r="M32" s="54" t="str">
        <f t="shared" si="0"/>
        <v>.</v>
      </c>
      <c r="N32" s="178" t="str">
        <f t="shared" si="8"/>
        <v/>
      </c>
      <c r="O32" s="115"/>
      <c r="P32" s="110" t="str">
        <f t="shared" si="1"/>
        <v>.</v>
      </c>
      <c r="R32" s="145" t="str">
        <f t="shared" si="2"/>
        <v>.</v>
      </c>
      <c r="S32" s="184" t="str">
        <f t="shared" si="3"/>
        <v/>
      </c>
      <c r="T32" s="146"/>
      <c r="U32" s="148" t="str">
        <f t="shared" si="5"/>
        <v>.</v>
      </c>
      <c r="V32" s="49"/>
      <c r="W32" s="49"/>
    </row>
    <row r="33" spans="1:23" ht="15.75" thickBot="1" x14ac:dyDescent="0.3">
      <c r="A33" s="57" t="s">
        <v>816</v>
      </c>
      <c r="B33" s="95"/>
      <c r="C33" s="95"/>
      <c r="D33" s="95"/>
      <c r="E33" s="91"/>
      <c r="F33" s="49" t="str">
        <f t="shared" si="4"/>
        <v>&gt;</v>
      </c>
      <c r="G33" s="120" t="s">
        <v>978</v>
      </c>
      <c r="H33" s="88" t="str">
        <f t="shared" si="6"/>
        <v/>
      </c>
      <c r="I33" s="100"/>
      <c r="J33" s="88"/>
      <c r="K33" s="99" t="str">
        <f t="shared" si="7"/>
        <v>.</v>
      </c>
      <c r="M33" s="54" t="str">
        <f t="shared" si="0"/>
        <v>.</v>
      </c>
      <c r="N33" s="178" t="str">
        <f t="shared" si="8"/>
        <v/>
      </c>
      <c r="O33" s="115"/>
      <c r="P33" s="110" t="str">
        <f t="shared" si="1"/>
        <v>.</v>
      </c>
      <c r="R33" s="145" t="str">
        <f t="shared" si="2"/>
        <v>.</v>
      </c>
      <c r="S33" s="184" t="str">
        <f t="shared" si="3"/>
        <v/>
      </c>
      <c r="T33" s="146"/>
      <c r="U33" s="148" t="str">
        <f t="shared" si="5"/>
        <v>.</v>
      </c>
      <c r="V33" s="49"/>
      <c r="W33" s="49"/>
    </row>
    <row r="34" spans="1:23" ht="15.75" thickBot="1" x14ac:dyDescent="0.3">
      <c r="A34" s="57" t="s">
        <v>816</v>
      </c>
      <c r="B34" s="95"/>
      <c r="C34" s="95"/>
      <c r="D34" s="95"/>
      <c r="E34" s="91"/>
      <c r="F34" s="49" t="str">
        <f t="shared" si="4"/>
        <v>&gt;</v>
      </c>
      <c r="G34" s="120" t="s">
        <v>979</v>
      </c>
      <c r="H34" s="88" t="str">
        <f t="shared" si="6"/>
        <v/>
      </c>
      <c r="I34" s="100"/>
      <c r="J34" s="88"/>
      <c r="K34" s="99" t="str">
        <f t="shared" si="7"/>
        <v>.</v>
      </c>
      <c r="M34" s="54" t="str">
        <f t="shared" ref="M34:M65" si="9">IF(MID(J34,1,6)="B.out.","B.in."&amp;MID(J34,7,2),".")</f>
        <v>.</v>
      </c>
      <c r="N34" s="178" t="str">
        <f t="shared" si="8"/>
        <v/>
      </c>
      <c r="O34" s="115"/>
      <c r="P34" s="110" t="str">
        <f t="shared" ref="P34:P65" si="10">IF(MID(O34,1,3)="CH.",VALUE(MID(O34,4,2))+0,".")</f>
        <v>.</v>
      </c>
      <c r="R34" s="145" t="str">
        <f t="shared" ref="R34:R65" si="11">IF(MID(O34,1,6)="C.out.","C.in."&amp;MID(O34,7,2),".")</f>
        <v>.</v>
      </c>
      <c r="S34" s="184" t="str">
        <f t="shared" ref="S34:S65" si="12">IF(MID(T34,1,3)="CH.",$E34,"")</f>
        <v/>
      </c>
      <c r="T34" s="146"/>
      <c r="U34" s="148" t="str">
        <f t="shared" ref="U34:U65" si="13">IF(MID(T34,1,3)="CH.",VALUE(MID(T34,4,2))+48,".")</f>
        <v>.</v>
      </c>
      <c r="V34" s="49"/>
      <c r="W34" s="49"/>
    </row>
    <row r="35" spans="1:23" ht="15.75" thickBot="1" x14ac:dyDescent="0.3">
      <c r="A35" s="57" t="s">
        <v>816</v>
      </c>
      <c r="B35" s="95"/>
      <c r="C35" s="95"/>
      <c r="D35" s="95"/>
      <c r="E35" s="91"/>
      <c r="F35" s="49" t="str">
        <f t="shared" si="4"/>
        <v>&gt;</v>
      </c>
      <c r="G35" s="120" t="s">
        <v>980</v>
      </c>
      <c r="H35" s="88" t="str">
        <f t="shared" si="6"/>
        <v/>
      </c>
      <c r="I35" s="100"/>
      <c r="J35" s="88"/>
      <c r="K35" s="99" t="str">
        <f t="shared" si="7"/>
        <v>.</v>
      </c>
      <c r="M35" s="54" t="str">
        <f t="shared" si="9"/>
        <v>.</v>
      </c>
      <c r="N35" s="178" t="str">
        <f t="shared" si="8"/>
        <v/>
      </c>
      <c r="O35" s="115"/>
      <c r="P35" s="110" t="str">
        <f t="shared" si="10"/>
        <v>.</v>
      </c>
      <c r="R35" s="145" t="str">
        <f t="shared" si="11"/>
        <v>.</v>
      </c>
      <c r="S35" s="184" t="str">
        <f t="shared" si="12"/>
        <v/>
      </c>
      <c r="T35" s="146"/>
      <c r="U35" s="148" t="str">
        <f t="shared" si="13"/>
        <v>.</v>
      </c>
      <c r="V35" s="49"/>
      <c r="W35" s="49"/>
    </row>
    <row r="36" spans="1:23" ht="15.75" thickBot="1" x14ac:dyDescent="0.3">
      <c r="A36" s="57" t="s">
        <v>816</v>
      </c>
      <c r="B36" s="95"/>
      <c r="C36" s="95"/>
      <c r="D36" s="95"/>
      <c r="E36" s="91"/>
      <c r="F36" s="49" t="str">
        <f t="shared" si="4"/>
        <v>&gt;</v>
      </c>
      <c r="G36" s="120" t="s">
        <v>981</v>
      </c>
      <c r="H36" s="88" t="str">
        <f t="shared" si="6"/>
        <v/>
      </c>
      <c r="I36" s="100"/>
      <c r="J36" s="88"/>
      <c r="K36" s="99" t="str">
        <f t="shared" si="7"/>
        <v>.</v>
      </c>
      <c r="M36" s="54" t="str">
        <f t="shared" si="9"/>
        <v>.</v>
      </c>
      <c r="N36" s="178" t="str">
        <f t="shared" si="8"/>
        <v/>
      </c>
      <c r="O36" s="115"/>
      <c r="P36" s="110" t="str">
        <f t="shared" si="10"/>
        <v>.</v>
      </c>
      <c r="R36" s="145" t="str">
        <f t="shared" si="11"/>
        <v>.</v>
      </c>
      <c r="S36" s="184" t="str">
        <f t="shared" si="12"/>
        <v/>
      </c>
      <c r="T36" s="146"/>
      <c r="U36" s="148" t="str">
        <f t="shared" si="13"/>
        <v>.</v>
      </c>
      <c r="V36" s="49"/>
      <c r="W36" s="49"/>
    </row>
    <row r="37" spans="1:23" ht="15.75" thickBot="1" x14ac:dyDescent="0.3">
      <c r="A37" s="57" t="s">
        <v>816</v>
      </c>
      <c r="B37" s="95"/>
      <c r="C37" s="95"/>
      <c r="D37" s="95"/>
      <c r="E37" s="91"/>
      <c r="F37" s="49" t="str">
        <f t="shared" si="4"/>
        <v>&gt;</v>
      </c>
      <c r="G37" s="120" t="s">
        <v>982</v>
      </c>
      <c r="H37" s="88" t="str">
        <f t="shared" si="6"/>
        <v/>
      </c>
      <c r="I37" s="100"/>
      <c r="J37" s="88"/>
      <c r="K37" s="99" t="str">
        <f t="shared" si="7"/>
        <v>.</v>
      </c>
      <c r="M37" s="54" t="str">
        <f t="shared" si="9"/>
        <v>.</v>
      </c>
      <c r="N37" s="178" t="str">
        <f t="shared" si="8"/>
        <v/>
      </c>
      <c r="O37" s="115"/>
      <c r="P37" s="110" t="str">
        <f t="shared" si="10"/>
        <v>.</v>
      </c>
      <c r="R37" s="145" t="str">
        <f t="shared" si="11"/>
        <v>.</v>
      </c>
      <c r="S37" s="184" t="str">
        <f t="shared" si="12"/>
        <v/>
      </c>
      <c r="T37" s="146"/>
      <c r="U37" s="148" t="str">
        <f t="shared" si="13"/>
        <v>.</v>
      </c>
      <c r="V37" s="49"/>
      <c r="W37" s="49"/>
    </row>
    <row r="38" spans="1:23" ht="15.75" thickBot="1" x14ac:dyDescent="0.3">
      <c r="A38" s="57" t="s">
        <v>816</v>
      </c>
      <c r="B38" s="95"/>
      <c r="C38" s="95"/>
      <c r="D38" s="95"/>
      <c r="E38" s="91" t="s">
        <v>808</v>
      </c>
      <c r="F38" s="49" t="str">
        <f t="shared" si="4"/>
        <v>&gt;</v>
      </c>
      <c r="G38" s="120" t="s">
        <v>983</v>
      </c>
      <c r="H38" s="88" t="str">
        <f t="shared" si="6"/>
        <v>BT-L</v>
      </c>
      <c r="I38" s="100"/>
      <c r="J38" s="88" t="s">
        <v>1756</v>
      </c>
      <c r="K38" s="99">
        <f t="shared" ref="K38:K69" si="14">IF(MID(J38,1,3)="CH.",VALUE(MID(J38,4,2))+96,".")</f>
        <v>123</v>
      </c>
      <c r="M38" s="54" t="str">
        <f t="shared" si="9"/>
        <v>.</v>
      </c>
      <c r="N38" s="178" t="str">
        <f t="shared" ref="N38:N69" si="15">IF(MID(O38,1,3)="CH.",$E38,"")</f>
        <v/>
      </c>
      <c r="O38" s="115"/>
      <c r="P38" s="110" t="str">
        <f t="shared" si="10"/>
        <v>.</v>
      </c>
      <c r="R38" s="145" t="str">
        <f t="shared" si="11"/>
        <v>.</v>
      </c>
      <c r="S38" s="184" t="str">
        <f t="shared" si="12"/>
        <v/>
      </c>
      <c r="T38" s="146"/>
      <c r="U38" s="148" t="str">
        <f t="shared" si="13"/>
        <v>.</v>
      </c>
      <c r="V38" s="49"/>
      <c r="W38" s="49"/>
    </row>
    <row r="39" spans="1:23" ht="15.75" thickBot="1" x14ac:dyDescent="0.3">
      <c r="A39" s="57" t="s">
        <v>816</v>
      </c>
      <c r="B39" s="95"/>
      <c r="C39" s="95"/>
      <c r="D39" s="95"/>
      <c r="E39" s="91" t="s">
        <v>809</v>
      </c>
      <c r="F39" s="49" t="str">
        <f t="shared" si="4"/>
        <v>&gt;</v>
      </c>
      <c r="G39" s="120" t="s">
        <v>984</v>
      </c>
      <c r="H39" s="88" t="str">
        <f t="shared" si="6"/>
        <v>BT-R</v>
      </c>
      <c r="I39" s="100"/>
      <c r="J39" s="88" t="s">
        <v>1757</v>
      </c>
      <c r="K39" s="99">
        <f t="shared" si="14"/>
        <v>124</v>
      </c>
      <c r="M39" s="54" t="str">
        <f t="shared" si="9"/>
        <v>.</v>
      </c>
      <c r="N39" s="178" t="str">
        <f t="shared" si="15"/>
        <v/>
      </c>
      <c r="O39" s="115"/>
      <c r="P39" s="110" t="str">
        <f t="shared" si="10"/>
        <v>.</v>
      </c>
      <c r="R39" s="145" t="str">
        <f t="shared" si="11"/>
        <v>.</v>
      </c>
      <c r="S39" s="184" t="str">
        <f t="shared" si="12"/>
        <v/>
      </c>
      <c r="T39" s="146"/>
      <c r="U39" s="148" t="str">
        <f t="shared" si="13"/>
        <v>.</v>
      </c>
      <c r="V39" s="49"/>
      <c r="W39" s="49"/>
    </row>
    <row r="40" spans="1:23" ht="15.75" thickBot="1" x14ac:dyDescent="0.3">
      <c r="A40" s="57" t="s">
        <v>816</v>
      </c>
      <c r="B40" s="95"/>
      <c r="C40" s="95"/>
      <c r="D40" s="95"/>
      <c r="E40" s="91" t="s">
        <v>810</v>
      </c>
      <c r="F40" s="49" t="str">
        <f t="shared" si="4"/>
        <v>&gt;</v>
      </c>
      <c r="G40" s="120" t="s">
        <v>985</v>
      </c>
      <c r="H40" s="88" t="str">
        <f t="shared" si="6"/>
        <v>CD-L</v>
      </c>
      <c r="I40" s="100"/>
      <c r="J40" s="88" t="s">
        <v>1758</v>
      </c>
      <c r="K40" s="99">
        <f t="shared" si="14"/>
        <v>125</v>
      </c>
      <c r="M40" s="54" t="str">
        <f t="shared" si="9"/>
        <v>.</v>
      </c>
      <c r="N40" s="178" t="str">
        <f t="shared" si="15"/>
        <v/>
      </c>
      <c r="O40" s="115"/>
      <c r="P40" s="110" t="str">
        <f t="shared" si="10"/>
        <v>.</v>
      </c>
      <c r="R40" s="145" t="str">
        <f t="shared" si="11"/>
        <v>.</v>
      </c>
      <c r="S40" s="184" t="str">
        <f t="shared" si="12"/>
        <v/>
      </c>
      <c r="T40" s="146"/>
      <c r="U40" s="148" t="str">
        <f t="shared" si="13"/>
        <v>.</v>
      </c>
      <c r="V40" s="49"/>
      <c r="W40" s="49"/>
    </row>
    <row r="41" spans="1:23" ht="15.75" thickBot="1" x14ac:dyDescent="0.3">
      <c r="A41" s="57" t="s">
        <v>816</v>
      </c>
      <c r="B41" s="95"/>
      <c r="C41" s="95"/>
      <c r="D41" s="95"/>
      <c r="E41" s="91" t="s">
        <v>811</v>
      </c>
      <c r="F41" s="49" t="str">
        <f t="shared" si="4"/>
        <v>&gt;</v>
      </c>
      <c r="G41" s="120" t="s">
        <v>986</v>
      </c>
      <c r="H41" s="88" t="str">
        <f t="shared" si="6"/>
        <v>CD-R</v>
      </c>
      <c r="I41" s="100"/>
      <c r="J41" s="88" t="s">
        <v>1759</v>
      </c>
      <c r="K41" s="99">
        <f t="shared" si="14"/>
        <v>126</v>
      </c>
      <c r="M41" s="54" t="str">
        <f t="shared" si="9"/>
        <v>.</v>
      </c>
      <c r="N41" s="178" t="str">
        <f t="shared" si="15"/>
        <v/>
      </c>
      <c r="O41" s="115"/>
      <c r="P41" s="110" t="str">
        <f t="shared" si="10"/>
        <v>.</v>
      </c>
      <c r="R41" s="145" t="str">
        <f t="shared" si="11"/>
        <v>.</v>
      </c>
      <c r="S41" s="184" t="str">
        <f t="shared" si="12"/>
        <v/>
      </c>
      <c r="T41" s="146"/>
      <c r="U41" s="148" t="str">
        <f t="shared" si="13"/>
        <v>.</v>
      </c>
      <c r="V41" s="49"/>
      <c r="W41" s="49"/>
    </row>
    <row r="42" spans="1:23" ht="15.75" thickBot="1" x14ac:dyDescent="0.3">
      <c r="A42" s="57" t="s">
        <v>816</v>
      </c>
      <c r="B42" s="95"/>
      <c r="C42" s="95"/>
      <c r="D42" s="95"/>
      <c r="E42" s="91" t="s">
        <v>812</v>
      </c>
      <c r="F42" s="49" t="str">
        <f t="shared" si="4"/>
        <v>&gt;</v>
      </c>
      <c r="G42" s="120" t="s">
        <v>987</v>
      </c>
      <c r="H42" s="88" t="str">
        <f t="shared" si="6"/>
        <v>PC-L</v>
      </c>
      <c r="I42" s="100"/>
      <c r="J42" s="88" t="s">
        <v>1760</v>
      </c>
      <c r="K42" s="99">
        <f t="shared" si="14"/>
        <v>127</v>
      </c>
      <c r="M42" s="54" t="str">
        <f t="shared" si="9"/>
        <v>.</v>
      </c>
      <c r="N42" s="178" t="str">
        <f t="shared" si="15"/>
        <v/>
      </c>
      <c r="O42" s="115"/>
      <c r="P42" s="110" t="str">
        <f t="shared" si="10"/>
        <v>.</v>
      </c>
      <c r="R42" s="145" t="str">
        <f t="shared" si="11"/>
        <v>.</v>
      </c>
      <c r="S42" s="184" t="str">
        <f t="shared" si="12"/>
        <v/>
      </c>
      <c r="T42" s="146"/>
      <c r="U42" s="148" t="str">
        <f t="shared" si="13"/>
        <v>.</v>
      </c>
      <c r="V42" s="49"/>
      <c r="W42" s="49"/>
    </row>
    <row r="43" spans="1:23" ht="15.75" thickBot="1" x14ac:dyDescent="0.3">
      <c r="A43" s="57" t="s">
        <v>816</v>
      </c>
      <c r="B43" s="95"/>
      <c r="C43" s="95"/>
      <c r="D43" s="95"/>
      <c r="E43" s="91" t="s">
        <v>813</v>
      </c>
      <c r="F43" s="49" t="str">
        <f t="shared" si="4"/>
        <v>&gt;</v>
      </c>
      <c r="G43" s="120" t="s">
        <v>988</v>
      </c>
      <c r="H43" s="88" t="str">
        <f t="shared" si="6"/>
        <v>PC-R</v>
      </c>
      <c r="I43" s="100"/>
      <c r="J43" s="88" t="s">
        <v>1761</v>
      </c>
      <c r="K43" s="99">
        <f t="shared" si="14"/>
        <v>128</v>
      </c>
      <c r="M43" s="54" t="str">
        <f t="shared" si="9"/>
        <v>.</v>
      </c>
      <c r="N43" s="178" t="str">
        <f t="shared" si="15"/>
        <v/>
      </c>
      <c r="O43" s="115"/>
      <c r="P43" s="110" t="str">
        <f t="shared" si="10"/>
        <v>.</v>
      </c>
      <c r="R43" s="145" t="str">
        <f t="shared" si="11"/>
        <v>.</v>
      </c>
      <c r="S43" s="184" t="str">
        <f t="shared" si="12"/>
        <v/>
      </c>
      <c r="T43" s="146"/>
      <c r="U43" s="148" t="str">
        <f t="shared" si="13"/>
        <v>.</v>
      </c>
      <c r="V43" s="49"/>
      <c r="W43" s="49"/>
    </row>
    <row r="44" spans="1:23" ht="15.75" thickBot="1" x14ac:dyDescent="0.3">
      <c r="A44" s="57" t="s">
        <v>816</v>
      </c>
      <c r="B44" s="95"/>
      <c r="C44" s="95"/>
      <c r="D44" s="95"/>
      <c r="E44" s="91" t="s">
        <v>814</v>
      </c>
      <c r="F44" s="49" t="str">
        <f t="shared" si="4"/>
        <v>&gt;</v>
      </c>
      <c r="G44" s="120" t="s">
        <v>989</v>
      </c>
      <c r="H44" s="88" t="str">
        <f t="shared" si="6"/>
        <v/>
      </c>
      <c r="I44" s="100"/>
      <c r="J44" s="88"/>
      <c r="K44" s="99" t="str">
        <f t="shared" si="14"/>
        <v>.</v>
      </c>
      <c r="M44" s="54" t="str">
        <f t="shared" si="9"/>
        <v>.</v>
      </c>
      <c r="N44" s="178" t="str">
        <f t="shared" si="15"/>
        <v/>
      </c>
      <c r="O44" s="115"/>
      <c r="P44" s="110" t="str">
        <f t="shared" si="10"/>
        <v>.</v>
      </c>
      <c r="R44" s="145" t="str">
        <f t="shared" si="11"/>
        <v>.</v>
      </c>
      <c r="S44" s="184" t="str">
        <f t="shared" si="12"/>
        <v/>
      </c>
      <c r="T44" s="146"/>
      <c r="U44" s="148" t="str">
        <f t="shared" si="13"/>
        <v>.</v>
      </c>
      <c r="V44" s="49"/>
      <c r="W44" s="49"/>
    </row>
    <row r="45" spans="1:23" ht="15.75" thickBot="1" x14ac:dyDescent="0.3">
      <c r="A45" s="57" t="s">
        <v>816</v>
      </c>
      <c r="B45" s="95"/>
      <c r="C45" s="95"/>
      <c r="D45" s="95"/>
      <c r="E45" s="91" t="s">
        <v>815</v>
      </c>
      <c r="F45" s="49" t="str">
        <f t="shared" si="4"/>
        <v>&gt;</v>
      </c>
      <c r="G45" s="120" t="s">
        <v>990</v>
      </c>
      <c r="H45" s="88" t="str">
        <f t="shared" si="6"/>
        <v/>
      </c>
      <c r="I45" s="100"/>
      <c r="J45" s="88"/>
      <c r="K45" s="99" t="str">
        <f t="shared" si="14"/>
        <v>.</v>
      </c>
      <c r="M45" s="54" t="str">
        <f t="shared" si="9"/>
        <v>.</v>
      </c>
      <c r="N45" s="178" t="str">
        <f t="shared" si="15"/>
        <v/>
      </c>
      <c r="O45" s="115"/>
      <c r="P45" s="110" t="str">
        <f t="shared" si="10"/>
        <v>.</v>
      </c>
      <c r="R45" s="145" t="str">
        <f t="shared" si="11"/>
        <v>.</v>
      </c>
      <c r="S45" s="184" t="str">
        <f t="shared" si="12"/>
        <v/>
      </c>
      <c r="T45" s="146"/>
      <c r="U45" s="148" t="str">
        <f t="shared" si="13"/>
        <v>.</v>
      </c>
      <c r="V45" s="49"/>
      <c r="W45" s="49"/>
    </row>
    <row r="46" spans="1:23" ht="15.75" thickBot="1" x14ac:dyDescent="0.3">
      <c r="A46" s="57" t="s">
        <v>816</v>
      </c>
      <c r="B46" s="95"/>
      <c r="C46" s="95"/>
      <c r="D46" s="95" t="s">
        <v>1011</v>
      </c>
      <c r="E46" s="91"/>
      <c r="F46" s="49" t="str">
        <f t="shared" ref="F46:F91" si="16">"&gt;"</f>
        <v>&gt;</v>
      </c>
      <c r="G46" s="120" t="s">
        <v>831</v>
      </c>
      <c r="H46" s="88" t="str">
        <f t="shared" si="6"/>
        <v/>
      </c>
      <c r="I46" s="100"/>
      <c r="J46" s="88"/>
      <c r="K46" s="99" t="str">
        <f t="shared" si="14"/>
        <v>.</v>
      </c>
      <c r="M46" s="54" t="str">
        <f t="shared" si="9"/>
        <v>.</v>
      </c>
      <c r="N46" s="178" t="str">
        <f t="shared" si="15"/>
        <v/>
      </c>
      <c r="O46" s="115"/>
      <c r="P46" s="110" t="str">
        <f t="shared" si="10"/>
        <v>.</v>
      </c>
      <c r="R46" s="145" t="str">
        <f t="shared" si="11"/>
        <v>.</v>
      </c>
      <c r="S46" s="184" t="str">
        <f t="shared" si="12"/>
        <v/>
      </c>
      <c r="T46" s="146"/>
      <c r="U46" s="148" t="str">
        <f t="shared" si="13"/>
        <v>.</v>
      </c>
      <c r="V46" s="49"/>
      <c r="W46" s="49"/>
    </row>
    <row r="47" spans="1:23" ht="15.75" thickBot="1" x14ac:dyDescent="0.3">
      <c r="A47" s="57" t="s">
        <v>816</v>
      </c>
      <c r="B47" s="95"/>
      <c r="C47" s="95"/>
      <c r="D47" s="95" t="s">
        <v>1012</v>
      </c>
      <c r="E47" s="91"/>
      <c r="F47" s="49" t="str">
        <f t="shared" si="16"/>
        <v>&gt;</v>
      </c>
      <c r="G47" s="120" t="s">
        <v>832</v>
      </c>
      <c r="H47" s="88" t="str">
        <f t="shared" si="6"/>
        <v/>
      </c>
      <c r="I47" s="100"/>
      <c r="J47" s="88"/>
      <c r="K47" s="99" t="str">
        <f t="shared" si="14"/>
        <v>.</v>
      </c>
      <c r="M47" s="54" t="str">
        <f t="shared" si="9"/>
        <v>.</v>
      </c>
      <c r="N47" s="178" t="str">
        <f t="shared" si="15"/>
        <v/>
      </c>
      <c r="O47" s="115"/>
      <c r="P47" s="110" t="str">
        <f t="shared" si="10"/>
        <v>.</v>
      </c>
      <c r="R47" s="145" t="str">
        <f t="shared" si="11"/>
        <v>.</v>
      </c>
      <c r="S47" s="184" t="str">
        <f t="shared" si="12"/>
        <v/>
      </c>
      <c r="T47" s="146"/>
      <c r="U47" s="148" t="str">
        <f t="shared" si="13"/>
        <v>.</v>
      </c>
      <c r="V47" s="49"/>
      <c r="W47" s="49"/>
    </row>
    <row r="48" spans="1:23" ht="15.75" thickBot="1" x14ac:dyDescent="0.3">
      <c r="A48" s="57" t="s">
        <v>816</v>
      </c>
      <c r="B48" s="95" t="s">
        <v>820</v>
      </c>
      <c r="C48" s="95" t="s">
        <v>879</v>
      </c>
      <c r="D48" s="95" t="s">
        <v>1013</v>
      </c>
      <c r="E48" s="91" t="s">
        <v>823</v>
      </c>
      <c r="F48" s="49" t="str">
        <f t="shared" si="16"/>
        <v>&gt;</v>
      </c>
      <c r="G48" s="120" t="s">
        <v>833</v>
      </c>
      <c r="H48" s="88" t="str">
        <f t="shared" si="6"/>
        <v/>
      </c>
      <c r="I48" s="100"/>
      <c r="J48" s="100" t="s">
        <v>925</v>
      </c>
      <c r="K48" s="99" t="str">
        <f t="shared" si="14"/>
        <v>.</v>
      </c>
      <c r="M48" s="54" t="str">
        <f t="shared" si="9"/>
        <v>B.in.08</v>
      </c>
      <c r="N48" s="178" t="str">
        <f t="shared" si="15"/>
        <v/>
      </c>
      <c r="O48" s="115" t="s">
        <v>942</v>
      </c>
      <c r="P48" s="110" t="str">
        <f t="shared" si="10"/>
        <v>.</v>
      </c>
      <c r="R48" s="145" t="str">
        <f t="shared" si="11"/>
        <v>C.in.01</v>
      </c>
      <c r="S48" s="184" t="str">
        <f t="shared" si="12"/>
        <v>BG</v>
      </c>
      <c r="T48" s="205" t="s">
        <v>901</v>
      </c>
      <c r="U48" s="148">
        <f t="shared" si="13"/>
        <v>51</v>
      </c>
      <c r="V48" s="49"/>
      <c r="W48" s="49"/>
    </row>
    <row r="49" spans="1:23" ht="15.75" thickBot="1" x14ac:dyDescent="0.3">
      <c r="A49" s="57" t="s">
        <v>816</v>
      </c>
      <c r="B49" s="95" t="s">
        <v>825</v>
      </c>
      <c r="C49" s="95" t="s">
        <v>879</v>
      </c>
      <c r="D49" s="95" t="s">
        <v>1014</v>
      </c>
      <c r="E49" s="91" t="s">
        <v>824</v>
      </c>
      <c r="F49" s="49" t="str">
        <f t="shared" si="16"/>
        <v>&gt;</v>
      </c>
      <c r="G49" s="120" t="s">
        <v>834</v>
      </c>
      <c r="H49" s="88" t="str">
        <f t="shared" si="6"/>
        <v/>
      </c>
      <c r="I49" s="100"/>
      <c r="J49" s="100" t="s">
        <v>926</v>
      </c>
      <c r="K49" s="99" t="str">
        <f t="shared" si="14"/>
        <v>.</v>
      </c>
      <c r="M49" s="54" t="str">
        <f t="shared" si="9"/>
        <v>B.in.09</v>
      </c>
      <c r="N49" s="178" t="str">
        <f t="shared" si="15"/>
        <v/>
      </c>
      <c r="O49" s="115" t="s">
        <v>943</v>
      </c>
      <c r="P49" s="110" t="str">
        <f t="shared" si="10"/>
        <v>.</v>
      </c>
      <c r="R49" s="145" t="str">
        <f t="shared" si="11"/>
        <v>C.in.02</v>
      </c>
      <c r="S49" s="184" t="str">
        <f t="shared" si="12"/>
        <v>EG</v>
      </c>
      <c r="T49" s="205" t="s">
        <v>902</v>
      </c>
      <c r="U49" s="148">
        <f t="shared" si="13"/>
        <v>52</v>
      </c>
      <c r="V49" s="49"/>
      <c r="W49" s="49"/>
    </row>
    <row r="50" spans="1:23" ht="15.75" thickBot="1" x14ac:dyDescent="0.3">
      <c r="A50" s="57" t="s">
        <v>816</v>
      </c>
      <c r="B50" s="95"/>
      <c r="C50" s="95"/>
      <c r="D50" s="95" t="s">
        <v>1015</v>
      </c>
      <c r="E50" s="91"/>
      <c r="F50" s="49" t="str">
        <f t="shared" si="16"/>
        <v>&gt;</v>
      </c>
      <c r="G50" s="120" t="s">
        <v>835</v>
      </c>
      <c r="H50" s="88" t="str">
        <f t="shared" si="6"/>
        <v/>
      </c>
      <c r="I50" s="100"/>
      <c r="J50" s="88"/>
      <c r="K50" s="99" t="str">
        <f t="shared" si="14"/>
        <v>.</v>
      </c>
      <c r="M50" s="54" t="str">
        <f t="shared" si="9"/>
        <v>.</v>
      </c>
      <c r="N50" s="178" t="str">
        <f t="shared" si="15"/>
        <v/>
      </c>
      <c r="O50" s="115"/>
      <c r="P50" s="110" t="str">
        <f t="shared" si="10"/>
        <v>.</v>
      </c>
      <c r="R50" s="145" t="str">
        <f t="shared" si="11"/>
        <v>.</v>
      </c>
      <c r="S50" s="184" t="str">
        <f t="shared" si="12"/>
        <v/>
      </c>
      <c r="T50" s="146"/>
      <c r="U50" s="148" t="str">
        <f t="shared" si="13"/>
        <v>.</v>
      </c>
      <c r="V50" s="49"/>
      <c r="W50" s="49"/>
    </row>
    <row r="51" spans="1:23" ht="15.75" thickBot="1" x14ac:dyDescent="0.3">
      <c r="A51" s="57" t="s">
        <v>816</v>
      </c>
      <c r="B51" s="95" t="s">
        <v>820</v>
      </c>
      <c r="C51" s="95" t="s">
        <v>879</v>
      </c>
      <c r="D51" s="95" t="s">
        <v>1016</v>
      </c>
      <c r="E51" s="91" t="s">
        <v>826</v>
      </c>
      <c r="F51" s="49" t="str">
        <f t="shared" si="16"/>
        <v>&gt;</v>
      </c>
      <c r="G51" s="120" t="s">
        <v>836</v>
      </c>
      <c r="H51" s="88" t="str">
        <f t="shared" si="6"/>
        <v/>
      </c>
      <c r="I51" s="100"/>
      <c r="J51" s="100" t="s">
        <v>927</v>
      </c>
      <c r="K51" s="99" t="str">
        <f t="shared" si="14"/>
        <v>.</v>
      </c>
      <c r="M51" s="54" t="str">
        <f t="shared" si="9"/>
        <v>B.in.10</v>
      </c>
      <c r="N51" s="178" t="str">
        <f t="shared" si="15"/>
        <v/>
      </c>
      <c r="O51" s="115" t="s">
        <v>944</v>
      </c>
      <c r="P51" s="110" t="str">
        <f t="shared" si="10"/>
        <v>.</v>
      </c>
      <c r="R51" s="145" t="str">
        <f t="shared" si="11"/>
        <v>C.in.03</v>
      </c>
      <c r="S51" s="184" t="str">
        <f t="shared" si="12"/>
        <v>AG</v>
      </c>
      <c r="T51" s="205" t="s">
        <v>903</v>
      </c>
      <c r="U51" s="148">
        <f t="shared" si="13"/>
        <v>53</v>
      </c>
      <c r="V51" s="49"/>
      <c r="W51" s="49"/>
    </row>
    <row r="52" spans="1:23" ht="15.75" thickBot="1" x14ac:dyDescent="0.3">
      <c r="A52" s="57" t="s">
        <v>816</v>
      </c>
      <c r="B52" s="95"/>
      <c r="C52" s="95"/>
      <c r="D52" s="95" t="s">
        <v>1017</v>
      </c>
      <c r="E52" s="91" t="s">
        <v>827</v>
      </c>
      <c r="F52" s="49" t="str">
        <f t="shared" si="16"/>
        <v>&gt;</v>
      </c>
      <c r="G52" s="120" t="s">
        <v>837</v>
      </c>
      <c r="H52" s="88" t="str">
        <f t="shared" si="6"/>
        <v/>
      </c>
      <c r="I52" s="100"/>
      <c r="J52" s="100" t="s">
        <v>928</v>
      </c>
      <c r="K52" s="99" t="str">
        <f t="shared" si="14"/>
        <v>.</v>
      </c>
      <c r="M52" s="54" t="str">
        <f t="shared" si="9"/>
        <v>B.in.11</v>
      </c>
      <c r="N52" s="178" t="str">
        <f t="shared" si="15"/>
        <v/>
      </c>
      <c r="O52" s="115" t="s">
        <v>945</v>
      </c>
      <c r="P52" s="110" t="str">
        <f t="shared" si="10"/>
        <v>.</v>
      </c>
      <c r="R52" s="145" t="str">
        <f t="shared" si="11"/>
        <v>C.in.04</v>
      </c>
      <c r="S52" s="184" t="str">
        <f t="shared" si="12"/>
        <v>Kick</v>
      </c>
      <c r="T52" s="205" t="s">
        <v>904</v>
      </c>
      <c r="U52" s="148">
        <f t="shared" si="13"/>
        <v>54</v>
      </c>
      <c r="V52" s="49"/>
      <c r="W52" s="49"/>
    </row>
    <row r="53" spans="1:23" ht="15.75" thickBot="1" x14ac:dyDescent="0.3">
      <c r="A53" s="57" t="s">
        <v>816</v>
      </c>
      <c r="B53" s="95"/>
      <c r="C53" s="95"/>
      <c r="D53" s="95" t="s">
        <v>1018</v>
      </c>
      <c r="E53" s="91" t="s">
        <v>828</v>
      </c>
      <c r="F53" s="49" t="str">
        <f t="shared" si="16"/>
        <v>&gt;</v>
      </c>
      <c r="G53" s="120" t="s">
        <v>838</v>
      </c>
      <c r="H53" s="88" t="str">
        <f t="shared" si="6"/>
        <v/>
      </c>
      <c r="I53" s="100"/>
      <c r="J53" s="100" t="s">
        <v>929</v>
      </c>
      <c r="K53" s="99" t="str">
        <f t="shared" si="14"/>
        <v>.</v>
      </c>
      <c r="M53" s="54" t="str">
        <f t="shared" si="9"/>
        <v>B.in.12</v>
      </c>
      <c r="N53" s="178" t="str">
        <f t="shared" si="15"/>
        <v/>
      </c>
      <c r="O53" s="115" t="s">
        <v>946</v>
      </c>
      <c r="P53" s="110" t="str">
        <f t="shared" si="10"/>
        <v>.</v>
      </c>
      <c r="R53" s="145" t="str">
        <f t="shared" si="11"/>
        <v>C.in.05</v>
      </c>
      <c r="S53" s="184" t="str">
        <f t="shared" si="12"/>
        <v>Snare</v>
      </c>
      <c r="T53" s="205" t="s">
        <v>905</v>
      </c>
      <c r="U53" s="148">
        <f t="shared" si="13"/>
        <v>55</v>
      </c>
      <c r="V53" s="49"/>
      <c r="W53" s="49"/>
    </row>
    <row r="54" spans="1:23" ht="15.75" thickBot="1" x14ac:dyDescent="0.3">
      <c r="A54" s="57" t="s">
        <v>816</v>
      </c>
      <c r="B54" s="95"/>
      <c r="C54" s="95"/>
      <c r="D54" s="95" t="s">
        <v>1019</v>
      </c>
      <c r="E54" s="91" t="s">
        <v>829</v>
      </c>
      <c r="F54" s="49" t="str">
        <f t="shared" si="16"/>
        <v>&gt;</v>
      </c>
      <c r="G54" s="120" t="s">
        <v>839</v>
      </c>
      <c r="H54" s="88" t="str">
        <f t="shared" si="6"/>
        <v/>
      </c>
      <c r="I54" s="100"/>
      <c r="J54" s="100" t="s">
        <v>930</v>
      </c>
      <c r="K54" s="99" t="str">
        <f t="shared" si="14"/>
        <v>.</v>
      </c>
      <c r="M54" s="54" t="str">
        <f t="shared" si="9"/>
        <v>B.in.13</v>
      </c>
      <c r="N54" s="178" t="str">
        <f t="shared" si="15"/>
        <v/>
      </c>
      <c r="O54" s="115" t="s">
        <v>947</v>
      </c>
      <c r="P54" s="110" t="str">
        <f t="shared" si="10"/>
        <v>.</v>
      </c>
      <c r="R54" s="145" t="str">
        <f t="shared" si="11"/>
        <v>C.in.06</v>
      </c>
      <c r="S54" s="184" t="str">
        <f t="shared" si="12"/>
        <v>OHL</v>
      </c>
      <c r="T54" s="205" t="s">
        <v>881</v>
      </c>
      <c r="U54" s="148">
        <f t="shared" si="13"/>
        <v>56</v>
      </c>
      <c r="V54" s="49"/>
      <c r="W54" s="49"/>
    </row>
    <row r="55" spans="1:23" ht="15.75" thickBot="1" x14ac:dyDescent="0.3">
      <c r="A55" s="57" t="s">
        <v>816</v>
      </c>
      <c r="B55" s="95"/>
      <c r="C55" s="95"/>
      <c r="D55" s="95" t="s">
        <v>1020</v>
      </c>
      <c r="E55" s="91" t="s">
        <v>830</v>
      </c>
      <c r="F55" s="49" t="str">
        <f t="shared" si="16"/>
        <v>&gt;</v>
      </c>
      <c r="G55" s="120" t="s">
        <v>840</v>
      </c>
      <c r="H55" s="88" t="str">
        <f t="shared" si="6"/>
        <v/>
      </c>
      <c r="I55" s="100"/>
      <c r="J55" s="100" t="s">
        <v>931</v>
      </c>
      <c r="K55" s="99" t="str">
        <f t="shared" si="14"/>
        <v>.</v>
      </c>
      <c r="M55" s="54" t="str">
        <f t="shared" si="9"/>
        <v>B.in.14</v>
      </c>
      <c r="N55" s="178" t="str">
        <f t="shared" si="15"/>
        <v/>
      </c>
      <c r="O55" s="115" t="s">
        <v>948</v>
      </c>
      <c r="P55" s="110" t="str">
        <f t="shared" si="10"/>
        <v>.</v>
      </c>
      <c r="R55" s="145" t="str">
        <f t="shared" si="11"/>
        <v>C.in.07</v>
      </c>
      <c r="S55" s="184" t="str">
        <f t="shared" si="12"/>
        <v>OHR</v>
      </c>
      <c r="T55" s="205" t="s">
        <v>882</v>
      </c>
      <c r="U55" s="148">
        <f t="shared" si="13"/>
        <v>57</v>
      </c>
      <c r="V55" s="49"/>
      <c r="W55" s="49"/>
    </row>
    <row r="56" spans="1:23" ht="15.75" thickBot="1" x14ac:dyDescent="0.3">
      <c r="A56" s="57" t="s">
        <v>816</v>
      </c>
      <c r="B56" s="95" t="s">
        <v>1707</v>
      </c>
      <c r="C56" s="95"/>
      <c r="D56" s="95" t="s">
        <v>1021</v>
      </c>
      <c r="E56" s="91" t="s">
        <v>1744</v>
      </c>
      <c r="F56" s="49" t="str">
        <f t="shared" si="16"/>
        <v>&gt;</v>
      </c>
      <c r="G56" s="120" t="s">
        <v>841</v>
      </c>
      <c r="H56" s="88" t="str">
        <f t="shared" si="6"/>
        <v/>
      </c>
      <c r="I56" s="100"/>
      <c r="J56" s="100" t="s">
        <v>932</v>
      </c>
      <c r="K56" s="99" t="str">
        <f t="shared" si="14"/>
        <v>.</v>
      </c>
      <c r="M56" s="54" t="str">
        <f t="shared" si="9"/>
        <v>B.in.15</v>
      </c>
      <c r="N56" s="178" t="str">
        <f t="shared" si="15"/>
        <v>HH or Skit</v>
      </c>
      <c r="O56" s="80" t="s">
        <v>886</v>
      </c>
      <c r="P56" s="110">
        <f t="shared" si="10"/>
        <v>13</v>
      </c>
      <c r="R56" s="145" t="str">
        <f t="shared" si="11"/>
        <v>.</v>
      </c>
      <c r="S56" s="184" t="str">
        <f t="shared" si="12"/>
        <v/>
      </c>
      <c r="T56" s="146"/>
      <c r="U56" s="148" t="str">
        <f t="shared" si="13"/>
        <v>.</v>
      </c>
      <c r="V56" s="49"/>
      <c r="W56" s="49"/>
    </row>
    <row r="57" spans="1:23" ht="15.75" thickBot="1" x14ac:dyDescent="0.3">
      <c r="A57" s="57" t="s">
        <v>816</v>
      </c>
      <c r="B57" s="95" t="s">
        <v>1708</v>
      </c>
      <c r="C57" s="95"/>
      <c r="D57" s="95" t="s">
        <v>1022</v>
      </c>
      <c r="E57" s="91" t="s">
        <v>1744</v>
      </c>
      <c r="F57" s="49" t="str">
        <f t="shared" si="16"/>
        <v>&gt;</v>
      </c>
      <c r="G57" s="120" t="s">
        <v>842</v>
      </c>
      <c r="H57" s="88" t="str">
        <f t="shared" si="6"/>
        <v/>
      </c>
      <c r="I57" s="100"/>
      <c r="J57" s="100" t="s">
        <v>933</v>
      </c>
      <c r="K57" s="99" t="str">
        <f t="shared" si="14"/>
        <v>.</v>
      </c>
      <c r="M57" s="54" t="str">
        <f t="shared" si="9"/>
        <v>B.in.16</v>
      </c>
      <c r="N57" s="178" t="str">
        <f t="shared" si="15"/>
        <v>HH or Skit</v>
      </c>
      <c r="O57" s="80" t="s">
        <v>887</v>
      </c>
      <c r="P57" s="110">
        <f t="shared" si="10"/>
        <v>14</v>
      </c>
      <c r="R57" s="145" t="str">
        <f t="shared" si="11"/>
        <v>.</v>
      </c>
      <c r="S57" s="184" t="str">
        <f t="shared" si="12"/>
        <v/>
      </c>
      <c r="T57" s="146"/>
      <c r="U57" s="148" t="str">
        <f t="shared" si="13"/>
        <v>.</v>
      </c>
      <c r="V57" s="49"/>
      <c r="W57" s="49"/>
    </row>
    <row r="58" spans="1:23" ht="15.75" thickBot="1" x14ac:dyDescent="0.3">
      <c r="A58" s="57" t="s">
        <v>816</v>
      </c>
      <c r="B58" s="95" t="s">
        <v>1709</v>
      </c>
      <c r="C58" s="95"/>
      <c r="D58" s="95" t="s">
        <v>1023</v>
      </c>
      <c r="E58" s="91" t="s">
        <v>1744</v>
      </c>
      <c r="F58" s="49" t="str">
        <f t="shared" si="16"/>
        <v>&gt;</v>
      </c>
      <c r="G58" s="120" t="s">
        <v>843</v>
      </c>
      <c r="H58" s="88" t="str">
        <f t="shared" si="6"/>
        <v/>
      </c>
      <c r="I58" s="100"/>
      <c r="J58" s="100" t="s">
        <v>934</v>
      </c>
      <c r="K58" s="99" t="str">
        <f t="shared" si="14"/>
        <v>.</v>
      </c>
      <c r="M58" s="54" t="str">
        <f t="shared" si="9"/>
        <v>B.in.17</v>
      </c>
      <c r="N58" s="178" t="str">
        <f t="shared" si="15"/>
        <v>HH or Skit</v>
      </c>
      <c r="O58" s="80" t="s">
        <v>888</v>
      </c>
      <c r="P58" s="110">
        <f t="shared" si="10"/>
        <v>15</v>
      </c>
      <c r="R58" s="145" t="str">
        <f t="shared" si="11"/>
        <v>.</v>
      </c>
      <c r="S58" s="184" t="str">
        <f t="shared" si="12"/>
        <v/>
      </c>
      <c r="T58" s="146"/>
      <c r="U58" s="148" t="str">
        <f t="shared" si="13"/>
        <v>.</v>
      </c>
      <c r="V58" s="49"/>
      <c r="W58" s="49"/>
    </row>
    <row r="59" spans="1:23" ht="15.75" thickBot="1" x14ac:dyDescent="0.3">
      <c r="A59" s="57" t="s">
        <v>816</v>
      </c>
      <c r="B59" s="95" t="s">
        <v>1710</v>
      </c>
      <c r="C59" s="95"/>
      <c r="D59" s="95" t="s">
        <v>1024</v>
      </c>
      <c r="E59" s="91" t="s">
        <v>1744</v>
      </c>
      <c r="F59" s="49" t="str">
        <f t="shared" si="16"/>
        <v>&gt;</v>
      </c>
      <c r="G59" s="120" t="s">
        <v>844</v>
      </c>
      <c r="H59" s="88" t="str">
        <f t="shared" si="6"/>
        <v/>
      </c>
      <c r="I59" s="100"/>
      <c r="J59" s="100" t="s">
        <v>935</v>
      </c>
      <c r="K59" s="99" t="str">
        <f t="shared" si="14"/>
        <v>.</v>
      </c>
      <c r="M59" s="54" t="str">
        <f t="shared" si="9"/>
        <v>B.in.18</v>
      </c>
      <c r="N59" s="178" t="str">
        <f t="shared" si="15"/>
        <v>HH or Skit</v>
      </c>
      <c r="O59" s="80" t="s">
        <v>889</v>
      </c>
      <c r="P59" s="110">
        <f t="shared" si="10"/>
        <v>16</v>
      </c>
      <c r="R59" s="145" t="str">
        <f t="shared" si="11"/>
        <v>.</v>
      </c>
      <c r="S59" s="184" t="str">
        <f t="shared" si="12"/>
        <v/>
      </c>
      <c r="T59" s="146"/>
      <c r="U59" s="148" t="str">
        <f t="shared" si="13"/>
        <v>.</v>
      </c>
      <c r="V59" s="49"/>
      <c r="W59" s="49"/>
    </row>
    <row r="60" spans="1:23" ht="15.75" thickBot="1" x14ac:dyDescent="0.3">
      <c r="A60" s="57" t="s">
        <v>816</v>
      </c>
      <c r="B60" s="95" t="s">
        <v>1711</v>
      </c>
      <c r="C60" s="95"/>
      <c r="D60" s="95" t="s">
        <v>1025</v>
      </c>
      <c r="E60" s="91" t="s">
        <v>1744</v>
      </c>
      <c r="F60" s="49" t="str">
        <f t="shared" si="16"/>
        <v>&gt;</v>
      </c>
      <c r="G60" s="120" t="s">
        <v>845</v>
      </c>
      <c r="H60" s="88" t="str">
        <f t="shared" si="6"/>
        <v/>
      </c>
      <c r="I60" s="100"/>
      <c r="J60" s="100" t="s">
        <v>936</v>
      </c>
      <c r="K60" s="99" t="str">
        <f t="shared" si="14"/>
        <v>.</v>
      </c>
      <c r="M60" s="54" t="str">
        <f t="shared" si="9"/>
        <v>B.in.19</v>
      </c>
      <c r="N60" s="178" t="str">
        <f t="shared" si="15"/>
        <v>HH or Skit</v>
      </c>
      <c r="O60" s="80" t="s">
        <v>890</v>
      </c>
      <c r="P60" s="110">
        <f t="shared" si="10"/>
        <v>17</v>
      </c>
      <c r="R60" s="145" t="str">
        <f t="shared" si="11"/>
        <v>.</v>
      </c>
      <c r="S60" s="184" t="str">
        <f t="shared" si="12"/>
        <v/>
      </c>
      <c r="T60" s="146"/>
      <c r="U60" s="148" t="str">
        <f t="shared" si="13"/>
        <v>.</v>
      </c>
      <c r="V60" s="49"/>
      <c r="W60" s="49"/>
    </row>
    <row r="61" spans="1:23" ht="15.75" thickBot="1" x14ac:dyDescent="0.3">
      <c r="A61" s="57" t="s">
        <v>816</v>
      </c>
      <c r="B61" s="95"/>
      <c r="C61" s="95"/>
      <c r="D61" s="95" t="s">
        <v>1026</v>
      </c>
      <c r="E61" s="91"/>
      <c r="F61" s="49" t="str">
        <f t="shared" si="16"/>
        <v>&gt;</v>
      </c>
      <c r="G61" s="120" t="s">
        <v>846</v>
      </c>
      <c r="H61" s="88" t="str">
        <f t="shared" si="6"/>
        <v/>
      </c>
      <c r="I61" s="100"/>
      <c r="J61" s="88"/>
      <c r="K61" s="99" t="str">
        <f t="shared" si="14"/>
        <v>.</v>
      </c>
      <c r="M61" s="54" t="str">
        <f t="shared" si="9"/>
        <v>.</v>
      </c>
      <c r="N61" s="178" t="str">
        <f t="shared" si="15"/>
        <v/>
      </c>
      <c r="O61" s="80"/>
      <c r="P61" s="110" t="str">
        <f t="shared" si="10"/>
        <v>.</v>
      </c>
      <c r="R61" s="145" t="str">
        <f t="shared" si="11"/>
        <v>.</v>
      </c>
      <c r="S61" s="184" t="str">
        <f t="shared" si="12"/>
        <v/>
      </c>
      <c r="T61" s="146"/>
      <c r="U61" s="148" t="str">
        <f t="shared" si="13"/>
        <v>.</v>
      </c>
      <c r="V61" s="49"/>
      <c r="W61" s="49"/>
    </row>
    <row r="62" spans="1:23" ht="15.75" thickBot="1" x14ac:dyDescent="0.3">
      <c r="A62" s="57" t="s">
        <v>816</v>
      </c>
      <c r="B62" s="95" t="s">
        <v>819</v>
      </c>
      <c r="C62" s="95" t="s">
        <v>879</v>
      </c>
      <c r="D62" s="95" t="s">
        <v>1027</v>
      </c>
      <c r="E62" s="91" t="s">
        <v>1734</v>
      </c>
      <c r="F62" s="49" t="str">
        <f t="shared" si="16"/>
        <v>&gt;</v>
      </c>
      <c r="G62" s="120" t="s">
        <v>847</v>
      </c>
      <c r="H62" s="88" t="str">
        <f t="shared" si="6"/>
        <v/>
      </c>
      <c r="I62" s="100"/>
      <c r="J62" s="100" t="s">
        <v>937</v>
      </c>
      <c r="K62" s="99" t="str">
        <f t="shared" si="14"/>
        <v>.</v>
      </c>
      <c r="M62" s="54" t="str">
        <f t="shared" si="9"/>
        <v>B.in.20</v>
      </c>
      <c r="N62" s="178" t="str">
        <f t="shared" si="15"/>
        <v>Choir or Bells.01</v>
      </c>
      <c r="O62" s="80" t="s">
        <v>903</v>
      </c>
      <c r="P62" s="110">
        <f t="shared" si="10"/>
        <v>5</v>
      </c>
      <c r="R62" s="145" t="str">
        <f t="shared" si="11"/>
        <v>.</v>
      </c>
      <c r="S62" s="184" t="str">
        <f t="shared" si="12"/>
        <v/>
      </c>
      <c r="T62" s="146"/>
      <c r="U62" s="148" t="str">
        <f t="shared" si="13"/>
        <v>.</v>
      </c>
      <c r="V62" s="49"/>
      <c r="W62" s="49"/>
    </row>
    <row r="63" spans="1:23" ht="15.75" thickBot="1" x14ac:dyDescent="0.3">
      <c r="A63" s="57" t="s">
        <v>816</v>
      </c>
      <c r="B63" s="95" t="s">
        <v>819</v>
      </c>
      <c r="C63" s="95" t="s">
        <v>879</v>
      </c>
      <c r="D63" s="95" t="s">
        <v>1028</v>
      </c>
      <c r="E63" s="91" t="s">
        <v>1735</v>
      </c>
      <c r="F63" s="49" t="str">
        <f t="shared" si="16"/>
        <v>&gt;</v>
      </c>
      <c r="G63" s="120" t="s">
        <v>848</v>
      </c>
      <c r="H63" s="88" t="str">
        <f t="shared" si="6"/>
        <v/>
      </c>
      <c r="I63" s="100"/>
      <c r="J63" s="100" t="s">
        <v>938</v>
      </c>
      <c r="K63" s="99" t="str">
        <f t="shared" si="14"/>
        <v>.</v>
      </c>
      <c r="M63" s="54" t="str">
        <f t="shared" si="9"/>
        <v>B.in.21</v>
      </c>
      <c r="N63" s="178" t="str">
        <f t="shared" si="15"/>
        <v>Choir or Bells.02</v>
      </c>
      <c r="O63" s="80" t="s">
        <v>904</v>
      </c>
      <c r="P63" s="110">
        <f t="shared" si="10"/>
        <v>6</v>
      </c>
      <c r="R63" s="145" t="str">
        <f t="shared" si="11"/>
        <v>.</v>
      </c>
      <c r="S63" s="184" t="str">
        <f t="shared" si="12"/>
        <v/>
      </c>
      <c r="T63" s="146"/>
      <c r="U63" s="148" t="str">
        <f t="shared" si="13"/>
        <v>.</v>
      </c>
      <c r="V63" s="49"/>
      <c r="W63" s="49"/>
    </row>
    <row r="64" spans="1:23" ht="15.75" thickBot="1" x14ac:dyDescent="0.3">
      <c r="A64" s="57" t="s">
        <v>816</v>
      </c>
      <c r="B64" s="95" t="s">
        <v>819</v>
      </c>
      <c r="C64" s="95" t="s">
        <v>879</v>
      </c>
      <c r="D64" s="95" t="s">
        <v>1029</v>
      </c>
      <c r="E64" s="91" t="s">
        <v>1736</v>
      </c>
      <c r="F64" s="49" t="str">
        <f t="shared" si="16"/>
        <v>&gt;</v>
      </c>
      <c r="G64" s="120" t="s">
        <v>849</v>
      </c>
      <c r="H64" s="88" t="str">
        <f t="shared" si="6"/>
        <v/>
      </c>
      <c r="I64" s="100"/>
      <c r="J64" s="100" t="s">
        <v>1762</v>
      </c>
      <c r="K64" s="99" t="str">
        <f t="shared" si="14"/>
        <v>.</v>
      </c>
      <c r="M64" s="54" t="str">
        <f t="shared" si="9"/>
        <v>B.in.22</v>
      </c>
      <c r="N64" s="178" t="str">
        <f t="shared" si="15"/>
        <v>Choir or Bells.03</v>
      </c>
      <c r="O64" s="80" t="s">
        <v>905</v>
      </c>
      <c r="P64" s="110">
        <f t="shared" si="10"/>
        <v>7</v>
      </c>
      <c r="R64" s="145" t="str">
        <f t="shared" si="11"/>
        <v>.</v>
      </c>
      <c r="S64" s="184" t="str">
        <f t="shared" si="12"/>
        <v/>
      </c>
      <c r="T64" s="146"/>
      <c r="U64" s="148" t="str">
        <f t="shared" si="13"/>
        <v>.</v>
      </c>
      <c r="V64" s="49"/>
      <c r="W64" s="49"/>
    </row>
    <row r="65" spans="1:23" ht="15.75" thickBot="1" x14ac:dyDescent="0.3">
      <c r="A65" s="57" t="s">
        <v>816</v>
      </c>
      <c r="B65" s="95" t="s">
        <v>819</v>
      </c>
      <c r="C65" s="95" t="s">
        <v>879</v>
      </c>
      <c r="D65" s="95" t="s">
        <v>1030</v>
      </c>
      <c r="E65" s="91" t="s">
        <v>1737</v>
      </c>
      <c r="F65" s="49" t="str">
        <f t="shared" si="16"/>
        <v>&gt;</v>
      </c>
      <c r="G65" s="120" t="s">
        <v>850</v>
      </c>
      <c r="H65" s="88" t="str">
        <f t="shared" si="6"/>
        <v/>
      </c>
      <c r="I65" s="100"/>
      <c r="J65" s="100" t="s">
        <v>1763</v>
      </c>
      <c r="K65" s="99" t="str">
        <f t="shared" si="14"/>
        <v>.</v>
      </c>
      <c r="M65" s="54" t="str">
        <f t="shared" si="9"/>
        <v>B.in.23</v>
      </c>
      <c r="N65" s="178" t="str">
        <f t="shared" si="15"/>
        <v>Choir or Bells.04</v>
      </c>
      <c r="O65" s="80" t="s">
        <v>881</v>
      </c>
      <c r="P65" s="110">
        <f t="shared" si="10"/>
        <v>8</v>
      </c>
      <c r="R65" s="145" t="str">
        <f t="shared" si="11"/>
        <v>.</v>
      </c>
      <c r="S65" s="184" t="str">
        <f t="shared" si="12"/>
        <v/>
      </c>
      <c r="T65" s="146"/>
      <c r="U65" s="148" t="str">
        <f t="shared" si="13"/>
        <v>.</v>
      </c>
      <c r="V65" s="49"/>
      <c r="W65" s="49"/>
    </row>
    <row r="66" spans="1:23" ht="15.75" thickBot="1" x14ac:dyDescent="0.3">
      <c r="A66" s="57" t="s">
        <v>816</v>
      </c>
      <c r="B66" s="95" t="s">
        <v>819</v>
      </c>
      <c r="C66" s="95" t="s">
        <v>879</v>
      </c>
      <c r="D66" s="95" t="s">
        <v>1031</v>
      </c>
      <c r="E66" s="91" t="s">
        <v>1738</v>
      </c>
      <c r="F66" s="49" t="str">
        <f t="shared" si="16"/>
        <v>&gt;</v>
      </c>
      <c r="G66" s="120" t="s">
        <v>851</v>
      </c>
      <c r="H66" s="88" t="str">
        <f t="shared" si="6"/>
        <v/>
      </c>
      <c r="I66" s="100"/>
      <c r="J66" s="100" t="s">
        <v>1764</v>
      </c>
      <c r="K66" s="99" t="str">
        <f t="shared" si="14"/>
        <v>.</v>
      </c>
      <c r="M66" s="54" t="str">
        <f t="shared" ref="M66:M93" si="17">IF(MID(J66,1,6)="B.out.","B.in."&amp;MID(J66,7,2),".")</f>
        <v>B.in.24</v>
      </c>
      <c r="N66" s="178" t="str">
        <f t="shared" si="15"/>
        <v>Choir or Bells.05</v>
      </c>
      <c r="O66" s="80" t="s">
        <v>882</v>
      </c>
      <c r="P66" s="110">
        <f t="shared" ref="P66:P93" si="18">IF(MID(O66,1,3)="CH.",VALUE(MID(O66,4,2))+0,".")</f>
        <v>9</v>
      </c>
      <c r="R66" s="145" t="str">
        <f t="shared" ref="R66:R93" si="19">IF(MID(O66,1,6)="C.out.","C.in."&amp;MID(O66,7,2),".")</f>
        <v>.</v>
      </c>
      <c r="S66" s="184" t="str">
        <f t="shared" ref="S66:S97" si="20">IF(MID(T66,1,3)="CH.",$E66,"")</f>
        <v/>
      </c>
      <c r="T66" s="146"/>
      <c r="U66" s="148" t="str">
        <f t="shared" ref="U66:U93" si="21">IF(MID(T66,1,3)="CH.",VALUE(MID(T66,4,2))+48,".")</f>
        <v>.</v>
      </c>
      <c r="V66" s="49"/>
      <c r="W66" s="49"/>
    </row>
    <row r="67" spans="1:23" ht="15.75" thickBot="1" x14ac:dyDescent="0.3">
      <c r="A67" s="57" t="s">
        <v>816</v>
      </c>
      <c r="B67" s="95" t="s">
        <v>819</v>
      </c>
      <c r="C67" s="95" t="s">
        <v>879</v>
      </c>
      <c r="D67" s="95" t="s">
        <v>1032</v>
      </c>
      <c r="E67" s="91" t="s">
        <v>1739</v>
      </c>
      <c r="F67" s="49" t="str">
        <f t="shared" si="16"/>
        <v>&gt;</v>
      </c>
      <c r="G67" s="120" t="s">
        <v>852</v>
      </c>
      <c r="H67" s="88" t="str">
        <f t="shared" si="6"/>
        <v/>
      </c>
      <c r="I67" s="100"/>
      <c r="J67" s="100" t="s">
        <v>1765</v>
      </c>
      <c r="K67" s="99" t="str">
        <f t="shared" si="14"/>
        <v>.</v>
      </c>
      <c r="M67" s="54" t="str">
        <f t="shared" si="17"/>
        <v>B.in.25</v>
      </c>
      <c r="N67" s="178" t="str">
        <f t="shared" si="15"/>
        <v>Choir or Bells.06</v>
      </c>
      <c r="O67" s="80" t="s">
        <v>883</v>
      </c>
      <c r="P67" s="110">
        <f t="shared" si="18"/>
        <v>10</v>
      </c>
      <c r="R67" s="145" t="str">
        <f t="shared" si="19"/>
        <v>.</v>
      </c>
      <c r="S67" s="184" t="str">
        <f t="shared" si="20"/>
        <v/>
      </c>
      <c r="T67" s="146"/>
      <c r="U67" s="148" t="str">
        <f t="shared" si="21"/>
        <v>.</v>
      </c>
      <c r="V67" s="49"/>
      <c r="W67" s="49"/>
    </row>
    <row r="68" spans="1:23" ht="15.75" thickBot="1" x14ac:dyDescent="0.3">
      <c r="A68" s="57" t="s">
        <v>816</v>
      </c>
      <c r="B68" s="95" t="s">
        <v>819</v>
      </c>
      <c r="C68" s="95" t="s">
        <v>879</v>
      </c>
      <c r="D68" s="95" t="s">
        <v>1033</v>
      </c>
      <c r="E68" s="91" t="s">
        <v>1740</v>
      </c>
      <c r="F68" s="49" t="str">
        <f t="shared" si="16"/>
        <v>&gt;</v>
      </c>
      <c r="G68" s="120" t="s">
        <v>853</v>
      </c>
      <c r="H68" s="88" t="str">
        <f t="shared" si="6"/>
        <v/>
      </c>
      <c r="I68" s="100"/>
      <c r="J68" s="100" t="s">
        <v>1766</v>
      </c>
      <c r="K68" s="99" t="str">
        <f t="shared" si="14"/>
        <v>.</v>
      </c>
      <c r="M68" s="54" t="str">
        <f t="shared" si="17"/>
        <v>B.in.26</v>
      </c>
      <c r="N68" s="178" t="str">
        <f t="shared" si="15"/>
        <v>Choir or Bells.07</v>
      </c>
      <c r="O68" s="80" t="s">
        <v>884</v>
      </c>
      <c r="P68" s="110">
        <f t="shared" si="18"/>
        <v>11</v>
      </c>
      <c r="R68" s="145" t="str">
        <f t="shared" si="19"/>
        <v>.</v>
      </c>
      <c r="S68" s="184" t="str">
        <f t="shared" si="20"/>
        <v/>
      </c>
      <c r="T68" s="146"/>
      <c r="U68" s="148" t="str">
        <f t="shared" si="21"/>
        <v>.</v>
      </c>
      <c r="V68" s="49"/>
      <c r="W68" s="49"/>
    </row>
    <row r="69" spans="1:23" ht="15.75" thickBot="1" x14ac:dyDescent="0.3">
      <c r="A69" s="57" t="s">
        <v>816</v>
      </c>
      <c r="B69" s="95" t="s">
        <v>819</v>
      </c>
      <c r="C69" s="95" t="s">
        <v>879</v>
      </c>
      <c r="D69" s="95" t="s">
        <v>1034</v>
      </c>
      <c r="E69" s="91" t="s">
        <v>1741</v>
      </c>
      <c r="F69" s="49" t="str">
        <f t="shared" si="16"/>
        <v>&gt;</v>
      </c>
      <c r="G69" s="120" t="s">
        <v>854</v>
      </c>
      <c r="H69" s="88" t="str">
        <f t="shared" si="6"/>
        <v/>
      </c>
      <c r="I69" s="100"/>
      <c r="J69" s="100" t="s">
        <v>1767</v>
      </c>
      <c r="K69" s="99" t="str">
        <f t="shared" si="14"/>
        <v>.</v>
      </c>
      <c r="M69" s="54" t="str">
        <f t="shared" si="17"/>
        <v>B.in.27</v>
      </c>
      <c r="N69" s="178" t="str">
        <f t="shared" si="15"/>
        <v>Choir or Bells.08</v>
      </c>
      <c r="O69" s="80" t="s">
        <v>885</v>
      </c>
      <c r="P69" s="110">
        <f t="shared" si="18"/>
        <v>12</v>
      </c>
      <c r="R69" s="145" t="str">
        <f t="shared" si="19"/>
        <v>.</v>
      </c>
      <c r="S69" s="184" t="str">
        <f t="shared" si="20"/>
        <v/>
      </c>
      <c r="T69" s="146"/>
      <c r="U69" s="148" t="str">
        <f t="shared" si="21"/>
        <v>.</v>
      </c>
      <c r="V69" s="49"/>
      <c r="W69" s="49"/>
    </row>
    <row r="70" spans="1:23" ht="15.75" thickBot="1" x14ac:dyDescent="0.3">
      <c r="A70" s="57" t="s">
        <v>816</v>
      </c>
      <c r="B70" s="95" t="s">
        <v>820</v>
      </c>
      <c r="C70" s="95" t="s">
        <v>879</v>
      </c>
      <c r="D70" s="95" t="s">
        <v>1035</v>
      </c>
      <c r="E70" s="91" t="s">
        <v>821</v>
      </c>
      <c r="F70" s="49" t="str">
        <f t="shared" si="16"/>
        <v>&gt;</v>
      </c>
      <c r="G70" s="120" t="s">
        <v>855</v>
      </c>
      <c r="H70" s="88" t="str">
        <f t="shared" ref="H70:H133" si="22">IF(MID(J70,1,3)="CH.",$E70,"")</f>
        <v/>
      </c>
      <c r="I70" s="100"/>
      <c r="J70" s="100" t="s">
        <v>1768</v>
      </c>
      <c r="K70" s="99" t="str">
        <f t="shared" ref="K70:K93" si="23">IF(MID(J70,1,3)="CH.",VALUE(MID(J70,4,2))+96,".")</f>
        <v>.</v>
      </c>
      <c r="M70" s="54" t="str">
        <f t="shared" si="17"/>
        <v>B.in.28</v>
      </c>
      <c r="N70" s="178" t="str">
        <f t="shared" ref="N70:N101" si="24">IF(MID(O70,1,3)="CH.",$E70,"")</f>
        <v/>
      </c>
      <c r="O70" s="115" t="s">
        <v>949</v>
      </c>
      <c r="P70" s="110" t="str">
        <f t="shared" si="18"/>
        <v>.</v>
      </c>
      <c r="R70" s="145" t="str">
        <f t="shared" si="19"/>
        <v>C.in.08</v>
      </c>
      <c r="S70" s="184" t="str">
        <f t="shared" si="20"/>
        <v>Piano</v>
      </c>
      <c r="T70" s="205" t="s">
        <v>880</v>
      </c>
      <c r="U70" s="148">
        <f t="shared" si="21"/>
        <v>49</v>
      </c>
      <c r="V70" s="49"/>
      <c r="W70" s="49"/>
    </row>
    <row r="71" spans="1:23" ht="15.75" thickBot="1" x14ac:dyDescent="0.3">
      <c r="A71" s="57" t="s">
        <v>816</v>
      </c>
      <c r="B71" s="95"/>
      <c r="C71" s="95" t="s">
        <v>879</v>
      </c>
      <c r="D71" s="95" t="s">
        <v>1036</v>
      </c>
      <c r="E71" s="91" t="s">
        <v>1264</v>
      </c>
      <c r="F71" s="49" t="str">
        <f t="shared" si="16"/>
        <v>&gt;</v>
      </c>
      <c r="G71" s="120" t="s">
        <v>856</v>
      </c>
      <c r="H71" s="88" t="str">
        <f t="shared" si="22"/>
        <v/>
      </c>
      <c r="I71" s="100"/>
      <c r="J71" s="100" t="s">
        <v>1769</v>
      </c>
      <c r="K71" s="99" t="str">
        <f t="shared" si="23"/>
        <v>.</v>
      </c>
      <c r="M71" s="54" t="str">
        <f t="shared" si="17"/>
        <v>B.in.29</v>
      </c>
      <c r="N71" s="178" t="str">
        <f t="shared" si="24"/>
        <v/>
      </c>
      <c r="O71" s="115" t="s">
        <v>1783</v>
      </c>
      <c r="P71" s="110" t="str">
        <f t="shared" si="18"/>
        <v>.</v>
      </c>
      <c r="R71" s="145" t="str">
        <f t="shared" si="19"/>
        <v>C.in.09</v>
      </c>
      <c r="S71" s="184" t="str">
        <f t="shared" si="20"/>
        <v/>
      </c>
      <c r="T71" s="146"/>
      <c r="U71" s="148" t="str">
        <f t="shared" si="21"/>
        <v>.</v>
      </c>
      <c r="V71" s="49"/>
      <c r="W71" s="49"/>
    </row>
    <row r="72" spans="1:23" ht="15.75" thickBot="1" x14ac:dyDescent="0.3">
      <c r="A72" s="57" t="s">
        <v>816</v>
      </c>
      <c r="B72" s="95"/>
      <c r="C72" s="95" t="s">
        <v>879</v>
      </c>
      <c r="D72" s="95" t="s">
        <v>1037</v>
      </c>
      <c r="E72" s="91" t="s">
        <v>1263</v>
      </c>
      <c r="F72" s="49" t="str">
        <f t="shared" si="16"/>
        <v>&gt;</v>
      </c>
      <c r="G72" s="120" t="s">
        <v>857</v>
      </c>
      <c r="H72" s="88" t="str">
        <f t="shared" si="22"/>
        <v/>
      </c>
      <c r="I72" s="100"/>
      <c r="J72" s="100" t="s">
        <v>1770</v>
      </c>
      <c r="K72" s="99" t="str">
        <f t="shared" si="23"/>
        <v>.</v>
      </c>
      <c r="M72" s="54" t="str">
        <f t="shared" si="17"/>
        <v>B.in.30</v>
      </c>
      <c r="N72" s="178" t="str">
        <f t="shared" si="24"/>
        <v/>
      </c>
      <c r="O72" s="115" t="s">
        <v>1784</v>
      </c>
      <c r="P72" s="110" t="str">
        <f t="shared" si="18"/>
        <v>.</v>
      </c>
      <c r="R72" s="145" t="str">
        <f t="shared" si="19"/>
        <v>C.in.10</v>
      </c>
      <c r="S72" s="184" t="str">
        <f t="shared" si="20"/>
        <v/>
      </c>
      <c r="T72" s="146"/>
      <c r="U72" s="148" t="str">
        <f t="shared" si="21"/>
        <v>.</v>
      </c>
      <c r="V72" s="49"/>
      <c r="W72" s="49"/>
    </row>
    <row r="73" spans="1:23" ht="15.75" thickBot="1" x14ac:dyDescent="0.3">
      <c r="A73" s="57" t="s">
        <v>816</v>
      </c>
      <c r="B73" s="95"/>
      <c r="C73" s="95" t="s">
        <v>879</v>
      </c>
      <c r="D73" s="95" t="s">
        <v>1038</v>
      </c>
      <c r="E73" s="91" t="s">
        <v>1663</v>
      </c>
      <c r="F73" s="49" t="str">
        <f t="shared" si="16"/>
        <v>&gt;</v>
      </c>
      <c r="G73" s="120" t="s">
        <v>858</v>
      </c>
      <c r="H73" s="88" t="str">
        <f t="shared" si="22"/>
        <v/>
      </c>
      <c r="I73" s="100"/>
      <c r="J73" s="100" t="s">
        <v>1771</v>
      </c>
      <c r="K73" s="99" t="str">
        <f t="shared" si="23"/>
        <v>.</v>
      </c>
      <c r="M73" s="54" t="str">
        <f t="shared" si="17"/>
        <v>B.in.31</v>
      </c>
      <c r="N73" s="178" t="str">
        <f t="shared" si="24"/>
        <v/>
      </c>
      <c r="O73" s="115" t="s">
        <v>1785</v>
      </c>
      <c r="P73" s="110" t="str">
        <f t="shared" si="18"/>
        <v>.</v>
      </c>
      <c r="R73" s="145" t="str">
        <f t="shared" si="19"/>
        <v>C.in.11</v>
      </c>
      <c r="S73" s="184" t="str">
        <f t="shared" si="20"/>
        <v/>
      </c>
      <c r="T73" s="146"/>
      <c r="U73" s="148" t="str">
        <f t="shared" si="21"/>
        <v>.</v>
      </c>
      <c r="V73" s="49"/>
      <c r="W73" s="49"/>
    </row>
    <row r="74" spans="1:23" ht="15.75" thickBot="1" x14ac:dyDescent="0.3">
      <c r="A74" s="57" t="s">
        <v>816</v>
      </c>
      <c r="B74" s="95"/>
      <c r="C74" s="95" t="s">
        <v>879</v>
      </c>
      <c r="D74" s="95" t="s">
        <v>1039</v>
      </c>
      <c r="E74" s="91" t="s">
        <v>1745</v>
      </c>
      <c r="F74" s="49" t="str">
        <f t="shared" si="16"/>
        <v>&gt;</v>
      </c>
      <c r="G74" s="120" t="s">
        <v>859</v>
      </c>
      <c r="H74" s="88" t="str">
        <f t="shared" si="22"/>
        <v/>
      </c>
      <c r="I74" s="100"/>
      <c r="J74" s="100" t="s">
        <v>1772</v>
      </c>
      <c r="K74" s="99" t="str">
        <f t="shared" si="23"/>
        <v>.</v>
      </c>
      <c r="M74" s="54" t="str">
        <f t="shared" si="17"/>
        <v>B.in.32</v>
      </c>
      <c r="N74" s="178" t="str">
        <f t="shared" si="24"/>
        <v/>
      </c>
      <c r="O74" s="115" t="s">
        <v>1786</v>
      </c>
      <c r="P74" s="110" t="str">
        <f t="shared" si="18"/>
        <v>.</v>
      </c>
      <c r="R74" s="145" t="str">
        <f t="shared" si="19"/>
        <v>C.in.12</v>
      </c>
      <c r="S74" s="184" t="str">
        <f t="shared" si="20"/>
        <v/>
      </c>
      <c r="T74" s="146"/>
      <c r="U74" s="148" t="str">
        <f t="shared" si="21"/>
        <v>.</v>
      </c>
      <c r="V74" s="49"/>
      <c r="W74" s="49"/>
    </row>
    <row r="75" spans="1:23" ht="15.75" thickBot="1" x14ac:dyDescent="0.3">
      <c r="A75" s="57" t="s">
        <v>816</v>
      </c>
      <c r="B75" s="95"/>
      <c r="C75" s="95" t="s">
        <v>879</v>
      </c>
      <c r="D75" s="95" t="s">
        <v>1040</v>
      </c>
      <c r="E75" s="91" t="s">
        <v>1746</v>
      </c>
      <c r="F75" s="49" t="str">
        <f t="shared" si="16"/>
        <v>&gt;</v>
      </c>
      <c r="G75" s="120" t="s">
        <v>860</v>
      </c>
      <c r="H75" s="88" t="str">
        <f t="shared" si="22"/>
        <v/>
      </c>
      <c r="I75" s="100"/>
      <c r="J75" s="100" t="s">
        <v>1773</v>
      </c>
      <c r="K75" s="99" t="str">
        <f t="shared" si="23"/>
        <v>.</v>
      </c>
      <c r="M75" s="54" t="str">
        <f t="shared" si="17"/>
        <v>B.in.33</v>
      </c>
      <c r="N75" s="178" t="str">
        <f t="shared" si="24"/>
        <v/>
      </c>
      <c r="O75" s="115" t="s">
        <v>1787</v>
      </c>
      <c r="P75" s="110" t="str">
        <f t="shared" si="18"/>
        <v>.</v>
      </c>
      <c r="R75" s="145" t="str">
        <f t="shared" si="19"/>
        <v>C.in.13</v>
      </c>
      <c r="S75" s="184" t="str">
        <f t="shared" si="20"/>
        <v/>
      </c>
      <c r="T75" s="146"/>
      <c r="U75" s="148" t="str">
        <f t="shared" si="21"/>
        <v>.</v>
      </c>
      <c r="V75" s="49"/>
      <c r="W75" s="49"/>
    </row>
    <row r="76" spans="1:23" ht="15.75" thickBot="1" x14ac:dyDescent="0.3">
      <c r="A76" s="57" t="s">
        <v>816</v>
      </c>
      <c r="B76" s="95"/>
      <c r="C76" s="95" t="s">
        <v>879</v>
      </c>
      <c r="D76" s="95" t="s">
        <v>1041</v>
      </c>
      <c r="E76" s="91" t="s">
        <v>1666</v>
      </c>
      <c r="F76" s="49" t="str">
        <f t="shared" si="16"/>
        <v>&gt;</v>
      </c>
      <c r="G76" s="120" t="s">
        <v>861</v>
      </c>
      <c r="H76" s="88" t="str">
        <f t="shared" si="22"/>
        <v/>
      </c>
      <c r="I76" s="100"/>
      <c r="J76" s="100" t="s">
        <v>1774</v>
      </c>
      <c r="K76" s="99" t="str">
        <f t="shared" si="23"/>
        <v>.</v>
      </c>
      <c r="M76" s="54" t="str">
        <f t="shared" si="17"/>
        <v>B.in.34</v>
      </c>
      <c r="N76" s="178" t="str">
        <f t="shared" si="24"/>
        <v/>
      </c>
      <c r="O76" s="115" t="s">
        <v>1788</v>
      </c>
      <c r="P76" s="110" t="str">
        <f t="shared" si="18"/>
        <v>.</v>
      </c>
      <c r="R76" s="145" t="str">
        <f t="shared" si="19"/>
        <v>C.in.14</v>
      </c>
      <c r="S76" s="184" t="str">
        <f t="shared" si="20"/>
        <v/>
      </c>
      <c r="T76" s="146"/>
      <c r="U76" s="148" t="str">
        <f t="shared" si="21"/>
        <v>.</v>
      </c>
      <c r="V76" s="49"/>
      <c r="W76" s="49"/>
    </row>
    <row r="77" spans="1:23" ht="15.75" thickBot="1" x14ac:dyDescent="0.3">
      <c r="A77" s="57" t="s">
        <v>816</v>
      </c>
      <c r="B77" s="95"/>
      <c r="C77" s="95" t="s">
        <v>879</v>
      </c>
      <c r="D77" s="95" t="s">
        <v>1042</v>
      </c>
      <c r="E77" s="91" t="s">
        <v>1813</v>
      </c>
      <c r="F77" s="49" t="str">
        <f t="shared" si="16"/>
        <v>&gt;</v>
      </c>
      <c r="G77" s="120" t="s">
        <v>862</v>
      </c>
      <c r="H77" s="88" t="str">
        <f t="shared" si="22"/>
        <v/>
      </c>
      <c r="I77" s="100"/>
      <c r="J77" s="100" t="s">
        <v>1775</v>
      </c>
      <c r="K77" s="99" t="str">
        <f t="shared" si="23"/>
        <v>.</v>
      </c>
      <c r="M77" s="54" t="str">
        <f t="shared" si="17"/>
        <v>B.in.35</v>
      </c>
      <c r="N77" s="178" t="str">
        <f t="shared" si="24"/>
        <v>avail to vocals</v>
      </c>
      <c r="O77" s="80" t="s">
        <v>898</v>
      </c>
      <c r="P77" s="110">
        <f t="shared" si="18"/>
        <v>25</v>
      </c>
      <c r="R77" s="145" t="str">
        <f t="shared" si="19"/>
        <v>.</v>
      </c>
      <c r="S77" s="184" t="str">
        <f t="shared" si="20"/>
        <v/>
      </c>
      <c r="T77" s="146"/>
      <c r="U77" s="148" t="str">
        <f t="shared" si="21"/>
        <v>.</v>
      </c>
      <c r="V77" s="49"/>
      <c r="W77" s="49"/>
    </row>
    <row r="78" spans="1:23" ht="15.75" thickBot="1" x14ac:dyDescent="0.3">
      <c r="A78" s="57" t="s">
        <v>816</v>
      </c>
      <c r="B78" s="95"/>
      <c r="C78" s="95" t="s">
        <v>879</v>
      </c>
      <c r="D78" s="95" t="s">
        <v>995</v>
      </c>
      <c r="E78" s="91" t="s">
        <v>1747</v>
      </c>
      <c r="F78" s="49" t="str">
        <f t="shared" si="16"/>
        <v>&gt;</v>
      </c>
      <c r="G78" s="120" t="s">
        <v>863</v>
      </c>
      <c r="H78" s="88" t="str">
        <f t="shared" si="22"/>
        <v/>
      </c>
      <c r="I78" s="100"/>
      <c r="J78" s="100" t="s">
        <v>1776</v>
      </c>
      <c r="K78" s="99" t="str">
        <f t="shared" si="23"/>
        <v>.</v>
      </c>
      <c r="M78" s="54" t="str">
        <f t="shared" si="17"/>
        <v>B.in.36</v>
      </c>
      <c r="N78" s="178" t="str">
        <f t="shared" si="24"/>
        <v/>
      </c>
      <c r="O78" s="115" t="s">
        <v>1789</v>
      </c>
      <c r="P78" s="110" t="str">
        <f t="shared" si="18"/>
        <v>.</v>
      </c>
      <c r="R78" s="145" t="str">
        <f t="shared" si="19"/>
        <v>C.in.15</v>
      </c>
      <c r="S78" s="184" t="str">
        <f t="shared" si="20"/>
        <v/>
      </c>
      <c r="T78" s="146"/>
      <c r="U78" s="148" t="str">
        <f t="shared" si="21"/>
        <v>.</v>
      </c>
      <c r="V78" s="49"/>
      <c r="W78" s="49"/>
    </row>
    <row r="79" spans="1:23" ht="15.75" thickBot="1" x14ac:dyDescent="0.3">
      <c r="A79" s="57" t="s">
        <v>816</v>
      </c>
      <c r="B79" s="95"/>
      <c r="C79" s="95" t="s">
        <v>879</v>
      </c>
      <c r="D79" s="95" t="s">
        <v>996</v>
      </c>
      <c r="E79" s="91" t="s">
        <v>1748</v>
      </c>
      <c r="F79" s="49" t="str">
        <f t="shared" si="16"/>
        <v>&gt;</v>
      </c>
      <c r="G79" s="120" t="s">
        <v>864</v>
      </c>
      <c r="H79" s="88" t="str">
        <f t="shared" si="22"/>
        <v/>
      </c>
      <c r="I79" s="100"/>
      <c r="J79" s="100" t="s">
        <v>1777</v>
      </c>
      <c r="K79" s="99" t="str">
        <f t="shared" si="23"/>
        <v>.</v>
      </c>
      <c r="M79" s="54" t="str">
        <f t="shared" si="17"/>
        <v>B.in.37</v>
      </c>
      <c r="N79" s="178" t="str">
        <f t="shared" si="24"/>
        <v/>
      </c>
      <c r="O79" s="115" t="s">
        <v>1790</v>
      </c>
      <c r="P79" s="110" t="str">
        <f t="shared" si="18"/>
        <v>.</v>
      </c>
      <c r="R79" s="145" t="str">
        <f t="shared" si="19"/>
        <v>C.in.16</v>
      </c>
      <c r="S79" s="184" t="str">
        <f t="shared" si="20"/>
        <v/>
      </c>
      <c r="T79" s="146"/>
      <c r="U79" s="148" t="str">
        <f t="shared" si="21"/>
        <v>.</v>
      </c>
      <c r="V79" s="49"/>
      <c r="W79" s="49"/>
    </row>
    <row r="80" spans="1:23" ht="15.75" thickBot="1" x14ac:dyDescent="0.3">
      <c r="A80" s="57" t="s">
        <v>816</v>
      </c>
      <c r="B80" s="95" t="s">
        <v>822</v>
      </c>
      <c r="C80" s="95" t="s">
        <v>879</v>
      </c>
      <c r="D80" s="95" t="s">
        <v>997</v>
      </c>
      <c r="E80" s="91" t="s">
        <v>1749</v>
      </c>
      <c r="F80" s="49" t="str">
        <f t="shared" si="16"/>
        <v>&gt;</v>
      </c>
      <c r="G80" s="120" t="s">
        <v>865</v>
      </c>
      <c r="H80" s="88" t="str">
        <f t="shared" si="22"/>
        <v/>
      </c>
      <c r="I80" s="100"/>
      <c r="J80" s="100" t="s">
        <v>1778</v>
      </c>
      <c r="K80" s="99" t="str">
        <f t="shared" si="23"/>
        <v>.</v>
      </c>
      <c r="M80" s="54" t="str">
        <f t="shared" si="17"/>
        <v>B.in.38</v>
      </c>
      <c r="N80" s="178" t="str">
        <f t="shared" si="24"/>
        <v/>
      </c>
      <c r="O80" s="115" t="s">
        <v>1791</v>
      </c>
      <c r="P80" s="110" t="str">
        <f t="shared" si="18"/>
        <v>.</v>
      </c>
      <c r="R80" s="145" t="str">
        <f t="shared" si="19"/>
        <v>C.in.17</v>
      </c>
      <c r="S80" s="184" t="str">
        <f t="shared" si="20"/>
        <v/>
      </c>
      <c r="T80" s="146"/>
      <c r="U80" s="148" t="str">
        <f t="shared" si="21"/>
        <v>.</v>
      </c>
      <c r="V80" s="49"/>
      <c r="W80" s="49"/>
    </row>
    <row r="81" spans="1:23" ht="15.75" thickBot="1" x14ac:dyDescent="0.3">
      <c r="A81" s="57" t="s">
        <v>816</v>
      </c>
      <c r="B81" s="95" t="s">
        <v>822</v>
      </c>
      <c r="C81" s="95" t="s">
        <v>879</v>
      </c>
      <c r="D81" s="95" t="s">
        <v>998</v>
      </c>
      <c r="E81" s="91" t="s">
        <v>1750</v>
      </c>
      <c r="F81" s="49" t="str">
        <f t="shared" si="16"/>
        <v>&gt;</v>
      </c>
      <c r="G81" s="120" t="s">
        <v>866</v>
      </c>
      <c r="H81" s="88" t="str">
        <f t="shared" si="22"/>
        <v/>
      </c>
      <c r="I81" s="100"/>
      <c r="J81" s="100" t="s">
        <v>1779</v>
      </c>
      <c r="K81" s="99" t="str">
        <f t="shared" si="23"/>
        <v>.</v>
      </c>
      <c r="M81" s="54" t="str">
        <f t="shared" si="17"/>
        <v>B.in.39</v>
      </c>
      <c r="N81" s="178" t="str">
        <f t="shared" si="24"/>
        <v/>
      </c>
      <c r="O81" s="115" t="s">
        <v>1792</v>
      </c>
      <c r="P81" s="110" t="str">
        <f t="shared" si="18"/>
        <v>.</v>
      </c>
      <c r="R81" s="145" t="str">
        <f t="shared" si="19"/>
        <v>C.in.18</v>
      </c>
      <c r="S81" s="184" t="str">
        <f t="shared" si="20"/>
        <v/>
      </c>
      <c r="T81" s="146"/>
      <c r="U81" s="148" t="str">
        <f t="shared" si="21"/>
        <v>.</v>
      </c>
      <c r="V81" s="49"/>
      <c r="W81" s="49"/>
    </row>
    <row r="82" spans="1:23" ht="15.75" thickBot="1" x14ac:dyDescent="0.3">
      <c r="A82" s="57" t="s">
        <v>816</v>
      </c>
      <c r="B82" s="95" t="s">
        <v>822</v>
      </c>
      <c r="C82" s="95" t="s">
        <v>879</v>
      </c>
      <c r="D82" s="95" t="s">
        <v>999</v>
      </c>
      <c r="E82" s="91" t="s">
        <v>1751</v>
      </c>
      <c r="F82" s="49" t="str">
        <f t="shared" si="16"/>
        <v>&gt;</v>
      </c>
      <c r="G82" s="120" t="s">
        <v>867</v>
      </c>
      <c r="H82" s="88" t="str">
        <f t="shared" si="22"/>
        <v/>
      </c>
      <c r="I82" s="100"/>
      <c r="J82" s="100" t="s">
        <v>1780</v>
      </c>
      <c r="K82" s="99" t="str">
        <f t="shared" si="23"/>
        <v>.</v>
      </c>
      <c r="M82" s="54" t="str">
        <f t="shared" si="17"/>
        <v>B.in.40</v>
      </c>
      <c r="N82" s="178" t="str">
        <f t="shared" si="24"/>
        <v/>
      </c>
      <c r="O82" s="115" t="s">
        <v>1793</v>
      </c>
      <c r="P82" s="110" t="str">
        <f t="shared" si="18"/>
        <v>.</v>
      </c>
      <c r="R82" s="145" t="str">
        <f t="shared" si="19"/>
        <v>C.in.19</v>
      </c>
      <c r="S82" s="184" t="str">
        <f t="shared" si="20"/>
        <v/>
      </c>
      <c r="T82" s="146"/>
      <c r="U82" s="148" t="str">
        <f t="shared" si="21"/>
        <v>.</v>
      </c>
      <c r="V82" s="49"/>
      <c r="W82" s="49"/>
    </row>
    <row r="83" spans="1:23" ht="15.75" thickBot="1" x14ac:dyDescent="0.3">
      <c r="A83" s="57" t="s">
        <v>816</v>
      </c>
      <c r="B83" s="95" t="s">
        <v>822</v>
      </c>
      <c r="C83" s="95" t="s">
        <v>879</v>
      </c>
      <c r="D83" s="95" t="s">
        <v>1000</v>
      </c>
      <c r="E83" s="91" t="s">
        <v>1752</v>
      </c>
      <c r="F83" s="49" t="str">
        <f t="shared" si="16"/>
        <v>&gt;</v>
      </c>
      <c r="G83" s="120" t="s">
        <v>868</v>
      </c>
      <c r="H83" s="88" t="str">
        <f t="shared" si="22"/>
        <v/>
      </c>
      <c r="I83" s="100"/>
      <c r="J83" s="100" t="s">
        <v>1781</v>
      </c>
      <c r="K83" s="99" t="str">
        <f t="shared" si="23"/>
        <v>.</v>
      </c>
      <c r="M83" s="54" t="str">
        <f t="shared" si="17"/>
        <v>B.in.41</v>
      </c>
      <c r="N83" s="178" t="str">
        <f t="shared" si="24"/>
        <v/>
      </c>
      <c r="O83" s="115" t="s">
        <v>1794</v>
      </c>
      <c r="P83" s="110" t="str">
        <f t="shared" si="18"/>
        <v>.</v>
      </c>
      <c r="R83" s="145" t="str">
        <f t="shared" si="19"/>
        <v>C.in.20</v>
      </c>
      <c r="S83" s="184" t="str">
        <f t="shared" si="20"/>
        <v/>
      </c>
      <c r="T83" s="146"/>
      <c r="U83" s="148" t="str">
        <f t="shared" si="21"/>
        <v>.</v>
      </c>
      <c r="V83" s="49"/>
      <c r="W83" s="49"/>
    </row>
    <row r="84" spans="1:23" ht="15.75" thickBot="1" x14ac:dyDescent="0.3">
      <c r="A84" s="57" t="s">
        <v>816</v>
      </c>
      <c r="B84" s="95" t="s">
        <v>822</v>
      </c>
      <c r="C84" s="95" t="s">
        <v>879</v>
      </c>
      <c r="D84" s="95" t="s">
        <v>1001</v>
      </c>
      <c r="E84" s="91" t="s">
        <v>1753</v>
      </c>
      <c r="F84" s="49" t="str">
        <f t="shared" si="16"/>
        <v>&gt;</v>
      </c>
      <c r="G84" s="120" t="s">
        <v>869</v>
      </c>
      <c r="H84" s="88" t="str">
        <f t="shared" si="22"/>
        <v/>
      </c>
      <c r="I84" s="100"/>
      <c r="J84" s="100" t="s">
        <v>1782</v>
      </c>
      <c r="K84" s="99" t="str">
        <f t="shared" si="23"/>
        <v>.</v>
      </c>
      <c r="M84" s="54" t="str">
        <f t="shared" si="17"/>
        <v>B.in.42</v>
      </c>
      <c r="N84" s="178" t="str">
        <f t="shared" si="24"/>
        <v/>
      </c>
      <c r="O84" s="115" t="s">
        <v>1795</v>
      </c>
      <c r="P84" s="110" t="str">
        <f t="shared" si="18"/>
        <v>.</v>
      </c>
      <c r="R84" s="145" t="str">
        <f t="shared" si="19"/>
        <v>C.in.21</v>
      </c>
      <c r="S84" s="184" t="str">
        <f t="shared" si="20"/>
        <v/>
      </c>
      <c r="T84" s="146"/>
      <c r="U84" s="148" t="str">
        <f t="shared" si="21"/>
        <v>.</v>
      </c>
      <c r="V84" s="49"/>
      <c r="W84" s="49"/>
    </row>
    <row r="85" spans="1:23" ht="15.75" thickBot="1" x14ac:dyDescent="0.3">
      <c r="A85" s="57" t="s">
        <v>816</v>
      </c>
      <c r="B85" s="95" t="s">
        <v>822</v>
      </c>
      <c r="C85" s="95" t="s">
        <v>879</v>
      </c>
      <c r="D85" s="95" t="s">
        <v>1002</v>
      </c>
      <c r="E85" s="91" t="s">
        <v>1754</v>
      </c>
      <c r="F85" s="49" t="str">
        <f t="shared" si="16"/>
        <v>&gt;</v>
      </c>
      <c r="G85" s="120" t="s">
        <v>870</v>
      </c>
      <c r="H85" s="88" t="str">
        <f t="shared" si="22"/>
        <v/>
      </c>
      <c r="I85" s="100"/>
      <c r="J85" s="100" t="s">
        <v>939</v>
      </c>
      <c r="K85" s="99" t="str">
        <f t="shared" si="23"/>
        <v>.</v>
      </c>
      <c r="M85" s="54" t="str">
        <f t="shared" si="17"/>
        <v>B.in.43</v>
      </c>
      <c r="N85" s="178" t="str">
        <f t="shared" si="24"/>
        <v/>
      </c>
      <c r="O85" s="115" t="s">
        <v>1796</v>
      </c>
      <c r="P85" s="110" t="str">
        <f t="shared" si="18"/>
        <v>.</v>
      </c>
      <c r="R85" s="145" t="str">
        <f t="shared" si="19"/>
        <v>C.in.22</v>
      </c>
      <c r="S85" s="184" t="str">
        <f t="shared" si="20"/>
        <v/>
      </c>
      <c r="T85" s="146"/>
      <c r="U85" s="148" t="str">
        <f t="shared" si="21"/>
        <v>.</v>
      </c>
      <c r="V85" s="49"/>
      <c r="W85" s="49"/>
    </row>
    <row r="86" spans="1:23" ht="15.75" thickBot="1" x14ac:dyDescent="0.3">
      <c r="A86" s="57" t="s">
        <v>816</v>
      </c>
      <c r="B86" s="95"/>
      <c r="C86" s="95"/>
      <c r="D86" s="95" t="s">
        <v>1003</v>
      </c>
      <c r="E86" s="91"/>
      <c r="F86" s="49" t="str">
        <f t="shared" si="16"/>
        <v>&gt;</v>
      </c>
      <c r="G86" s="120" t="s">
        <v>871</v>
      </c>
      <c r="H86" s="88" t="str">
        <f t="shared" si="22"/>
        <v/>
      </c>
      <c r="I86" s="100"/>
      <c r="J86" s="88"/>
      <c r="K86" s="99" t="str">
        <f t="shared" si="23"/>
        <v>.</v>
      </c>
      <c r="M86" s="54" t="str">
        <f t="shared" si="17"/>
        <v>.</v>
      </c>
      <c r="N86" s="178" t="str">
        <f t="shared" si="24"/>
        <v/>
      </c>
      <c r="O86" s="115"/>
      <c r="P86" s="110" t="str">
        <f t="shared" si="18"/>
        <v>.</v>
      </c>
      <c r="R86" s="145" t="str">
        <f t="shared" si="19"/>
        <v>.</v>
      </c>
      <c r="S86" s="184" t="str">
        <f t="shared" si="20"/>
        <v/>
      </c>
      <c r="T86" s="146"/>
      <c r="U86" s="148" t="str">
        <f t="shared" si="21"/>
        <v>.</v>
      </c>
      <c r="V86" s="49"/>
      <c r="W86" s="49"/>
    </row>
    <row r="87" spans="1:23" ht="15.75" thickBot="1" x14ac:dyDescent="0.3">
      <c r="A87" s="57" t="s">
        <v>816</v>
      </c>
      <c r="B87" s="95"/>
      <c r="C87" s="95"/>
      <c r="D87" s="95" t="s">
        <v>1004</v>
      </c>
      <c r="E87" s="91"/>
      <c r="F87" s="49" t="str">
        <f t="shared" si="16"/>
        <v>&gt;</v>
      </c>
      <c r="G87" s="120" t="s">
        <v>872</v>
      </c>
      <c r="H87" s="88" t="str">
        <f t="shared" si="22"/>
        <v/>
      </c>
      <c r="I87" s="100"/>
      <c r="J87" s="88"/>
      <c r="K87" s="99" t="str">
        <f t="shared" si="23"/>
        <v>.</v>
      </c>
      <c r="M87" s="54" t="str">
        <f t="shared" si="17"/>
        <v>.</v>
      </c>
      <c r="N87" s="178" t="str">
        <f t="shared" si="24"/>
        <v/>
      </c>
      <c r="O87" s="115"/>
      <c r="P87" s="110" t="str">
        <f t="shared" si="18"/>
        <v>.</v>
      </c>
      <c r="R87" s="145" t="str">
        <f t="shared" si="19"/>
        <v>.</v>
      </c>
      <c r="S87" s="184" t="str">
        <f t="shared" si="20"/>
        <v/>
      </c>
      <c r="T87" s="146"/>
      <c r="U87" s="148" t="str">
        <f t="shared" si="21"/>
        <v>.</v>
      </c>
      <c r="V87" s="49"/>
      <c r="W87" s="49"/>
    </row>
    <row r="88" spans="1:23" ht="15.75" thickBot="1" x14ac:dyDescent="0.3">
      <c r="A88" s="57" t="s">
        <v>816</v>
      </c>
      <c r="B88" s="95"/>
      <c r="C88" s="95"/>
      <c r="D88" s="95" t="s">
        <v>1005</v>
      </c>
      <c r="E88" s="91"/>
      <c r="F88" s="49" t="str">
        <f t="shared" si="16"/>
        <v>&gt;</v>
      </c>
      <c r="G88" s="120" t="s">
        <v>873</v>
      </c>
      <c r="H88" s="88" t="str">
        <f t="shared" si="22"/>
        <v/>
      </c>
      <c r="I88" s="100"/>
      <c r="J88" s="88"/>
      <c r="K88" s="99" t="str">
        <f t="shared" si="23"/>
        <v>.</v>
      </c>
      <c r="M88" s="54" t="str">
        <f t="shared" si="17"/>
        <v>.</v>
      </c>
      <c r="N88" s="178" t="str">
        <f t="shared" si="24"/>
        <v/>
      </c>
      <c r="O88" s="115"/>
      <c r="P88" s="110" t="str">
        <f t="shared" si="18"/>
        <v>.</v>
      </c>
      <c r="R88" s="145" t="str">
        <f t="shared" si="19"/>
        <v>.</v>
      </c>
      <c r="S88" s="184" t="str">
        <f t="shared" si="20"/>
        <v/>
      </c>
      <c r="T88" s="146"/>
      <c r="U88" s="148" t="str">
        <f t="shared" si="21"/>
        <v>.</v>
      </c>
      <c r="V88" s="49"/>
      <c r="W88" s="49"/>
    </row>
    <row r="89" spans="1:23" ht="15.75" thickBot="1" x14ac:dyDescent="0.3">
      <c r="A89" s="57" t="s">
        <v>816</v>
      </c>
      <c r="B89" s="95"/>
      <c r="C89" s="95"/>
      <c r="D89" s="95" t="s">
        <v>1006</v>
      </c>
      <c r="E89" s="91"/>
      <c r="F89" s="49" t="str">
        <f t="shared" si="16"/>
        <v>&gt;</v>
      </c>
      <c r="G89" s="120" t="s">
        <v>874</v>
      </c>
      <c r="H89" s="88" t="str">
        <f t="shared" si="22"/>
        <v/>
      </c>
      <c r="I89" s="100"/>
      <c r="J89" s="88"/>
      <c r="K89" s="99" t="str">
        <f t="shared" si="23"/>
        <v>.</v>
      </c>
      <c r="M89" s="54" t="str">
        <f t="shared" si="17"/>
        <v>.</v>
      </c>
      <c r="N89" s="178" t="str">
        <f t="shared" si="24"/>
        <v/>
      </c>
      <c r="O89" s="115"/>
      <c r="P89" s="110" t="str">
        <f t="shared" si="18"/>
        <v>.</v>
      </c>
      <c r="R89" s="145" t="str">
        <f t="shared" si="19"/>
        <v>.</v>
      </c>
      <c r="S89" s="184" t="str">
        <f t="shared" si="20"/>
        <v/>
      </c>
      <c r="T89" s="146"/>
      <c r="U89" s="148" t="str">
        <f t="shared" si="21"/>
        <v>.</v>
      </c>
      <c r="V89" s="49"/>
      <c r="W89" s="49"/>
    </row>
    <row r="90" spans="1:23" ht="15.75" thickBot="1" x14ac:dyDescent="0.3">
      <c r="A90" s="57" t="s">
        <v>816</v>
      </c>
      <c r="B90" s="95"/>
      <c r="C90" s="95"/>
      <c r="D90" s="95" t="s">
        <v>1007</v>
      </c>
      <c r="E90" s="91"/>
      <c r="F90" s="49" t="str">
        <f t="shared" si="16"/>
        <v>&gt;</v>
      </c>
      <c r="G90" s="120" t="s">
        <v>875</v>
      </c>
      <c r="H90" s="88" t="str">
        <f t="shared" si="22"/>
        <v/>
      </c>
      <c r="I90" s="100"/>
      <c r="J90" s="88"/>
      <c r="K90" s="99" t="str">
        <f t="shared" si="23"/>
        <v>.</v>
      </c>
      <c r="M90" s="54" t="str">
        <f t="shared" si="17"/>
        <v>.</v>
      </c>
      <c r="N90" s="178" t="str">
        <f t="shared" si="24"/>
        <v/>
      </c>
      <c r="O90" s="115"/>
      <c r="P90" s="110" t="str">
        <f t="shared" si="18"/>
        <v>.</v>
      </c>
      <c r="R90" s="145" t="str">
        <f t="shared" si="19"/>
        <v>.</v>
      </c>
      <c r="S90" s="184" t="str">
        <f t="shared" si="20"/>
        <v/>
      </c>
      <c r="T90" s="146"/>
      <c r="U90" s="148" t="str">
        <f t="shared" si="21"/>
        <v>.</v>
      </c>
      <c r="V90" s="49"/>
      <c r="W90" s="49"/>
    </row>
    <row r="91" spans="1:23" ht="15.75" thickBot="1" x14ac:dyDescent="0.3">
      <c r="A91" s="57" t="s">
        <v>816</v>
      </c>
      <c r="B91" s="95"/>
      <c r="C91" s="95"/>
      <c r="D91" s="95" t="s">
        <v>1008</v>
      </c>
      <c r="E91" s="91"/>
      <c r="F91" s="49" t="str">
        <f t="shared" si="16"/>
        <v>&gt;</v>
      </c>
      <c r="G91" s="120" t="s">
        <v>876</v>
      </c>
      <c r="H91" s="88" t="str">
        <f t="shared" si="22"/>
        <v/>
      </c>
      <c r="I91" s="100"/>
      <c r="J91" s="88"/>
      <c r="K91" s="99" t="str">
        <f t="shared" si="23"/>
        <v>.</v>
      </c>
      <c r="M91" s="54" t="str">
        <f t="shared" si="17"/>
        <v>.</v>
      </c>
      <c r="N91" s="178" t="str">
        <f t="shared" si="24"/>
        <v/>
      </c>
      <c r="O91" s="115"/>
      <c r="P91" s="110" t="str">
        <f t="shared" si="18"/>
        <v>.</v>
      </c>
      <c r="R91" s="145" t="str">
        <f t="shared" si="19"/>
        <v>.</v>
      </c>
      <c r="S91" s="184" t="str">
        <f t="shared" si="20"/>
        <v/>
      </c>
      <c r="T91" s="146"/>
      <c r="U91" s="148" t="str">
        <f t="shared" si="21"/>
        <v>.</v>
      </c>
      <c r="V91" s="49"/>
      <c r="W91" s="49"/>
    </row>
    <row r="92" spans="1:23" ht="15.75" thickBot="1" x14ac:dyDescent="0.3">
      <c r="A92" s="57" t="s">
        <v>816</v>
      </c>
      <c r="B92" s="95"/>
      <c r="C92" s="95"/>
      <c r="D92" s="95" t="s">
        <v>1009</v>
      </c>
      <c r="E92" s="92"/>
      <c r="F92" s="49" t="str">
        <f t="shared" ref="F92:F135" si="25">"&gt;"</f>
        <v>&gt;</v>
      </c>
      <c r="G92" s="120" t="s">
        <v>877</v>
      </c>
      <c r="H92" s="88" t="str">
        <f t="shared" si="22"/>
        <v/>
      </c>
      <c r="I92" s="100"/>
      <c r="J92" s="88"/>
      <c r="K92" s="99" t="str">
        <f t="shared" si="23"/>
        <v>.</v>
      </c>
      <c r="M92" s="54" t="str">
        <f t="shared" si="17"/>
        <v>.</v>
      </c>
      <c r="N92" s="178" t="str">
        <f t="shared" si="24"/>
        <v/>
      </c>
      <c r="O92" s="115"/>
      <c r="P92" s="110" t="str">
        <f t="shared" si="18"/>
        <v>.</v>
      </c>
      <c r="R92" s="145" t="str">
        <f t="shared" si="19"/>
        <v>.</v>
      </c>
      <c r="S92" s="184" t="str">
        <f t="shared" si="20"/>
        <v/>
      </c>
      <c r="T92" s="146"/>
      <c r="U92" s="148" t="str">
        <f t="shared" si="21"/>
        <v>.</v>
      </c>
      <c r="V92" s="49"/>
      <c r="W92" s="49"/>
    </row>
    <row r="93" spans="1:23" ht="15.75" thickBot="1" x14ac:dyDescent="0.3">
      <c r="A93" s="57" t="s">
        <v>816</v>
      </c>
      <c r="B93" s="95"/>
      <c r="C93" s="95"/>
      <c r="D93" s="95" t="s">
        <v>1010</v>
      </c>
      <c r="E93" s="92"/>
      <c r="F93" s="49" t="str">
        <f t="shared" si="25"/>
        <v>&gt;</v>
      </c>
      <c r="G93" s="120" t="s">
        <v>878</v>
      </c>
      <c r="H93" s="88" t="str">
        <f t="shared" si="22"/>
        <v/>
      </c>
      <c r="I93" s="100"/>
      <c r="J93" s="88"/>
      <c r="K93" s="99" t="str">
        <f t="shared" si="23"/>
        <v>.</v>
      </c>
      <c r="M93" s="54" t="str">
        <f t="shared" si="17"/>
        <v>.</v>
      </c>
      <c r="N93" s="178" t="str">
        <f t="shared" si="24"/>
        <v/>
      </c>
      <c r="O93" s="115"/>
      <c r="P93" s="110" t="str">
        <f t="shared" si="18"/>
        <v>.</v>
      </c>
      <c r="R93" s="145" t="str">
        <f t="shared" si="19"/>
        <v>.</v>
      </c>
      <c r="S93" s="184" t="str">
        <f t="shared" si="20"/>
        <v/>
      </c>
      <c r="T93" s="146"/>
      <c r="U93" s="148" t="str">
        <f t="shared" si="21"/>
        <v>.</v>
      </c>
      <c r="V93" s="49"/>
      <c r="W93" s="49"/>
    </row>
    <row r="94" spans="1:23" ht="15.75" thickBot="1" x14ac:dyDescent="0.3">
      <c r="A94" s="57" t="s">
        <v>816</v>
      </c>
      <c r="B94" s="95"/>
      <c r="C94" s="95" t="s">
        <v>750</v>
      </c>
      <c r="D94" s="95" t="s">
        <v>757</v>
      </c>
      <c r="E94" s="92"/>
      <c r="F94" s="49" t="str">
        <f t="shared" si="4"/>
        <v>&gt;</v>
      </c>
      <c r="G94" s="121"/>
      <c r="H94" s="85" t="str">
        <f t="shared" si="22"/>
        <v/>
      </c>
      <c r="I94" s="101"/>
      <c r="J94" s="85"/>
      <c r="K94" s="102"/>
      <c r="M94" s="86"/>
      <c r="N94" s="179" t="str">
        <f t="shared" si="24"/>
        <v/>
      </c>
      <c r="O94" s="116"/>
      <c r="P94" s="111"/>
      <c r="Q94" s="174"/>
      <c r="R94" s="149"/>
      <c r="S94" s="185" t="str">
        <f t="shared" si="20"/>
        <v/>
      </c>
      <c r="T94" s="150"/>
      <c r="U94" s="151"/>
      <c r="V94" s="49"/>
      <c r="W94" s="49"/>
    </row>
    <row r="95" spans="1:23" ht="15.75" thickBot="1" x14ac:dyDescent="0.3">
      <c r="A95" s="57" t="s">
        <v>816</v>
      </c>
      <c r="B95" s="95"/>
      <c r="C95" s="95" t="s">
        <v>751</v>
      </c>
      <c r="D95" s="95" t="s">
        <v>758</v>
      </c>
      <c r="E95" s="92"/>
      <c r="F95" s="49" t="str">
        <f t="shared" si="4"/>
        <v>&gt;</v>
      </c>
      <c r="G95" s="121"/>
      <c r="H95" s="85" t="str">
        <f t="shared" si="22"/>
        <v/>
      </c>
      <c r="I95" s="101"/>
      <c r="J95" s="85"/>
      <c r="K95" s="102"/>
      <c r="M95" s="86"/>
      <c r="N95" s="179" t="str">
        <f t="shared" si="24"/>
        <v/>
      </c>
      <c r="O95" s="116"/>
      <c r="P95" s="111"/>
      <c r="Q95" s="174"/>
      <c r="R95" s="149"/>
      <c r="S95" s="185" t="str">
        <f t="shared" si="20"/>
        <v/>
      </c>
      <c r="T95" s="150"/>
      <c r="U95" s="151"/>
      <c r="V95" s="49"/>
      <c r="W95" s="49"/>
    </row>
    <row r="96" spans="1:23" ht="15.75" thickBot="1" x14ac:dyDescent="0.3">
      <c r="A96" s="57" t="s">
        <v>816</v>
      </c>
      <c r="B96" s="95"/>
      <c r="C96" s="95" t="s">
        <v>752</v>
      </c>
      <c r="D96" s="95" t="s">
        <v>1376</v>
      </c>
      <c r="E96" s="92"/>
      <c r="F96" s="49" t="str">
        <f t="shared" si="4"/>
        <v>&gt;</v>
      </c>
      <c r="G96" s="121"/>
      <c r="H96" s="85" t="str">
        <f t="shared" si="22"/>
        <v/>
      </c>
      <c r="I96" s="101"/>
      <c r="J96" s="85"/>
      <c r="K96" s="102"/>
      <c r="M96" s="86"/>
      <c r="N96" s="179" t="str">
        <f t="shared" si="24"/>
        <v/>
      </c>
      <c r="O96" s="116"/>
      <c r="P96" s="111"/>
      <c r="Q96" s="174"/>
      <c r="R96" s="149"/>
      <c r="S96" s="185" t="str">
        <f t="shared" si="20"/>
        <v/>
      </c>
      <c r="T96" s="150"/>
      <c r="U96" s="151"/>
      <c r="V96" s="49"/>
      <c r="W96" s="49"/>
    </row>
    <row r="97" spans="1:23" ht="15.75" thickBot="1" x14ac:dyDescent="0.3">
      <c r="A97" s="57" t="s">
        <v>816</v>
      </c>
      <c r="B97" s="95"/>
      <c r="C97" s="95"/>
      <c r="D97" s="95"/>
      <c r="E97" s="92"/>
      <c r="F97" s="49" t="str">
        <f t="shared" si="25"/>
        <v>&gt;</v>
      </c>
      <c r="G97" s="121"/>
      <c r="H97" s="85" t="str">
        <f t="shared" si="22"/>
        <v/>
      </c>
      <c r="I97" s="101"/>
      <c r="J97" s="85"/>
      <c r="K97" s="102"/>
      <c r="M97" s="84" t="s">
        <v>951</v>
      </c>
      <c r="N97" s="180" t="str">
        <f t="shared" si="24"/>
        <v/>
      </c>
      <c r="O97" s="117"/>
      <c r="P97" s="109"/>
      <c r="R97" s="145"/>
      <c r="S97" s="184" t="str">
        <f t="shared" si="20"/>
        <v/>
      </c>
      <c r="T97" s="146"/>
      <c r="U97" s="148" t="str">
        <f t="shared" ref="U97:U128" si="26">IF(MID(T97,1,3)="CH.",VALUE(MID(T97,4,2))+48,".")</f>
        <v>.</v>
      </c>
      <c r="V97" s="49"/>
      <c r="W97" s="49"/>
    </row>
    <row r="98" spans="1:23" ht="15.75" thickBot="1" x14ac:dyDescent="0.3">
      <c r="A98" s="57" t="s">
        <v>816</v>
      </c>
      <c r="B98" s="95"/>
      <c r="C98" s="95"/>
      <c r="D98" s="95"/>
      <c r="E98" s="92"/>
      <c r="F98" s="49" t="str">
        <f t="shared" si="25"/>
        <v>&gt;</v>
      </c>
      <c r="G98" s="121"/>
      <c r="H98" s="85" t="str">
        <f t="shared" si="22"/>
        <v/>
      </c>
      <c r="I98" s="101"/>
      <c r="J98" s="85"/>
      <c r="K98" s="102"/>
      <c r="M98" s="84" t="s">
        <v>952</v>
      </c>
      <c r="N98" s="180" t="str">
        <f t="shared" si="24"/>
        <v/>
      </c>
      <c r="O98" s="117"/>
      <c r="P98" s="109" t="str">
        <f t="shared" ref="P98:P115" si="27">IF(MID(O98,1,3)="CH.",VALUE(MID(O98,4,2))+0,".")</f>
        <v>.</v>
      </c>
      <c r="R98" s="145"/>
      <c r="S98" s="184" t="str">
        <f t="shared" ref="S98:S129" si="28">IF(MID(T98,1,3)="CH.",$E98,"")</f>
        <v/>
      </c>
      <c r="T98" s="146"/>
      <c r="U98" s="148" t="str">
        <f t="shared" si="26"/>
        <v>.</v>
      </c>
      <c r="V98" s="49"/>
      <c r="W98" s="49"/>
    </row>
    <row r="99" spans="1:23" ht="15.75" thickBot="1" x14ac:dyDescent="0.3">
      <c r="A99" s="57" t="s">
        <v>816</v>
      </c>
      <c r="B99" s="95"/>
      <c r="C99" s="95"/>
      <c r="D99" s="95"/>
      <c r="E99" s="92"/>
      <c r="F99" s="49" t="str">
        <f t="shared" si="25"/>
        <v>&gt;</v>
      </c>
      <c r="G99" s="121"/>
      <c r="H99" s="85" t="str">
        <f t="shared" si="22"/>
        <v/>
      </c>
      <c r="I99" s="101"/>
      <c r="J99" s="85"/>
      <c r="K99" s="102"/>
      <c r="M99" s="84" t="s">
        <v>953</v>
      </c>
      <c r="N99" s="180" t="str">
        <f t="shared" si="24"/>
        <v/>
      </c>
      <c r="O99" s="117"/>
      <c r="P99" s="109" t="str">
        <f t="shared" si="27"/>
        <v>.</v>
      </c>
      <c r="R99" s="145"/>
      <c r="S99" s="184" t="str">
        <f t="shared" si="28"/>
        <v/>
      </c>
      <c r="T99" s="146"/>
      <c r="U99" s="148" t="str">
        <f t="shared" si="26"/>
        <v>.</v>
      </c>
      <c r="V99" s="49"/>
      <c r="W99" s="49"/>
    </row>
    <row r="100" spans="1:23" ht="15.75" thickBot="1" x14ac:dyDescent="0.3">
      <c r="A100" s="57" t="s">
        <v>816</v>
      </c>
      <c r="B100" s="95"/>
      <c r="C100" s="95"/>
      <c r="D100" s="95"/>
      <c r="E100" s="92"/>
      <c r="F100" s="49" t="str">
        <f t="shared" si="25"/>
        <v>&gt;</v>
      </c>
      <c r="G100" s="121"/>
      <c r="H100" s="85" t="str">
        <f t="shared" si="22"/>
        <v/>
      </c>
      <c r="I100" s="101"/>
      <c r="J100" s="85"/>
      <c r="K100" s="102"/>
      <c r="M100" s="84" t="s">
        <v>954</v>
      </c>
      <c r="N100" s="180" t="str">
        <f t="shared" si="24"/>
        <v/>
      </c>
      <c r="O100" s="117"/>
      <c r="P100" s="109" t="str">
        <f t="shared" si="27"/>
        <v>.</v>
      </c>
      <c r="R100" s="145"/>
      <c r="S100" s="184" t="str">
        <f t="shared" si="28"/>
        <v/>
      </c>
      <c r="T100" s="146"/>
      <c r="U100" s="148" t="str">
        <f t="shared" si="26"/>
        <v>.</v>
      </c>
      <c r="V100" s="49"/>
      <c r="W100" s="49"/>
    </row>
    <row r="101" spans="1:23" ht="15.75" thickBot="1" x14ac:dyDescent="0.3">
      <c r="A101" s="57" t="s">
        <v>816</v>
      </c>
      <c r="B101" s="95"/>
      <c r="C101" s="95"/>
      <c r="D101" s="95"/>
      <c r="E101" s="92"/>
      <c r="F101" s="49" t="str">
        <f t="shared" si="25"/>
        <v>&gt;</v>
      </c>
      <c r="G101" s="121"/>
      <c r="H101" s="85" t="str">
        <f t="shared" si="22"/>
        <v/>
      </c>
      <c r="I101" s="101"/>
      <c r="J101" s="85"/>
      <c r="K101" s="102"/>
      <c r="M101" s="84" t="s">
        <v>955</v>
      </c>
      <c r="N101" s="180" t="str">
        <f t="shared" si="24"/>
        <v/>
      </c>
      <c r="O101" s="117"/>
      <c r="P101" s="109" t="str">
        <f t="shared" si="27"/>
        <v>.</v>
      </c>
      <c r="R101" s="145"/>
      <c r="S101" s="184" t="str">
        <f t="shared" si="28"/>
        <v/>
      </c>
      <c r="T101" s="146"/>
      <c r="U101" s="148" t="str">
        <f t="shared" si="26"/>
        <v>.</v>
      </c>
      <c r="V101" s="49"/>
      <c r="W101" s="49"/>
    </row>
    <row r="102" spans="1:23" ht="15.75" thickBot="1" x14ac:dyDescent="0.3">
      <c r="A102" s="57" t="s">
        <v>816</v>
      </c>
      <c r="B102" s="95"/>
      <c r="C102" s="95"/>
      <c r="D102" s="95"/>
      <c r="E102" s="92"/>
      <c r="F102" s="49" t="str">
        <f t="shared" si="25"/>
        <v>&gt;</v>
      </c>
      <c r="G102" s="121"/>
      <c r="H102" s="85" t="str">
        <f t="shared" si="22"/>
        <v/>
      </c>
      <c r="I102" s="101"/>
      <c r="J102" s="85"/>
      <c r="K102" s="102"/>
      <c r="M102" s="84" t="s">
        <v>956</v>
      </c>
      <c r="N102" s="180" t="str">
        <f t="shared" ref="N102:N133" si="29">IF(MID(O102,1,3)="CH.",$E102,"")</f>
        <v/>
      </c>
      <c r="O102" s="117"/>
      <c r="P102" s="109" t="str">
        <f t="shared" si="27"/>
        <v>.</v>
      </c>
      <c r="R102" s="145"/>
      <c r="S102" s="184" t="str">
        <f t="shared" si="28"/>
        <v/>
      </c>
      <c r="T102" s="146"/>
      <c r="U102" s="148" t="str">
        <f t="shared" si="26"/>
        <v>.</v>
      </c>
      <c r="V102" s="49"/>
      <c r="W102" s="49"/>
    </row>
    <row r="103" spans="1:23" ht="15.75" thickBot="1" x14ac:dyDescent="0.3">
      <c r="A103" s="57" t="s">
        <v>816</v>
      </c>
      <c r="B103" s="95"/>
      <c r="C103" s="95"/>
      <c r="D103" s="95"/>
      <c r="E103" s="92"/>
      <c r="F103" s="49" t="str">
        <f t="shared" si="25"/>
        <v>&gt;</v>
      </c>
      <c r="G103" s="121"/>
      <c r="H103" s="85" t="str">
        <f t="shared" si="22"/>
        <v/>
      </c>
      <c r="I103" s="101"/>
      <c r="J103" s="85"/>
      <c r="K103" s="102"/>
      <c r="M103" s="84" t="s">
        <v>957</v>
      </c>
      <c r="N103" s="180" t="str">
        <f t="shared" si="29"/>
        <v/>
      </c>
      <c r="O103" s="117"/>
      <c r="P103" s="109" t="str">
        <f t="shared" si="27"/>
        <v>.</v>
      </c>
      <c r="R103" s="145"/>
      <c r="S103" s="184" t="str">
        <f t="shared" si="28"/>
        <v/>
      </c>
      <c r="T103" s="146"/>
      <c r="U103" s="148" t="str">
        <f t="shared" si="26"/>
        <v>.</v>
      </c>
      <c r="V103" s="49"/>
      <c r="W103" s="49"/>
    </row>
    <row r="104" spans="1:23" ht="15.75" thickBot="1" x14ac:dyDescent="0.3">
      <c r="A104" s="57" t="s">
        <v>816</v>
      </c>
      <c r="B104" s="95"/>
      <c r="C104" s="95"/>
      <c r="D104" s="95"/>
      <c r="E104" s="92"/>
      <c r="F104" s="49" t="str">
        <f t="shared" si="25"/>
        <v>&gt;</v>
      </c>
      <c r="G104" s="121"/>
      <c r="H104" s="85" t="str">
        <f t="shared" si="22"/>
        <v/>
      </c>
      <c r="I104" s="101"/>
      <c r="J104" s="85"/>
      <c r="K104" s="102"/>
      <c r="M104" s="84" t="s">
        <v>958</v>
      </c>
      <c r="N104" s="180" t="str">
        <f t="shared" si="29"/>
        <v/>
      </c>
      <c r="O104" s="117"/>
      <c r="P104" s="109" t="str">
        <f t="shared" si="27"/>
        <v>.</v>
      </c>
      <c r="R104" s="145"/>
      <c r="S104" s="184" t="str">
        <f t="shared" si="28"/>
        <v/>
      </c>
      <c r="T104" s="146"/>
      <c r="U104" s="148" t="str">
        <f t="shared" si="26"/>
        <v>.</v>
      </c>
      <c r="V104" s="49"/>
      <c r="W104" s="49"/>
    </row>
    <row r="105" spans="1:23" ht="15.75" thickBot="1" x14ac:dyDescent="0.3">
      <c r="A105" s="57" t="s">
        <v>816</v>
      </c>
      <c r="B105" s="95"/>
      <c r="C105" s="95"/>
      <c r="D105" s="95"/>
      <c r="E105" s="92"/>
      <c r="F105" s="49" t="str">
        <f t="shared" si="25"/>
        <v>&gt;</v>
      </c>
      <c r="G105" s="121"/>
      <c r="H105" s="85" t="str">
        <f t="shared" si="22"/>
        <v/>
      </c>
      <c r="I105" s="101"/>
      <c r="J105" s="85"/>
      <c r="K105" s="102"/>
      <c r="M105" s="84" t="s">
        <v>959</v>
      </c>
      <c r="N105" s="180" t="str">
        <f t="shared" si="29"/>
        <v/>
      </c>
      <c r="O105" s="117"/>
      <c r="P105" s="109" t="str">
        <f t="shared" si="27"/>
        <v>.</v>
      </c>
      <c r="R105" s="145"/>
      <c r="S105" s="184" t="str">
        <f t="shared" si="28"/>
        <v/>
      </c>
      <c r="T105" s="146"/>
      <c r="U105" s="148" t="str">
        <f t="shared" si="26"/>
        <v>.</v>
      </c>
      <c r="V105" s="49"/>
      <c r="W105" s="49"/>
    </row>
    <row r="106" spans="1:23" ht="15.75" thickBot="1" x14ac:dyDescent="0.3">
      <c r="A106" s="57" t="s">
        <v>816</v>
      </c>
      <c r="B106" s="95"/>
      <c r="C106" s="95"/>
      <c r="D106" s="95"/>
      <c r="E106" s="92"/>
      <c r="F106" s="49" t="str">
        <f t="shared" si="25"/>
        <v>&gt;</v>
      </c>
      <c r="G106" s="121"/>
      <c r="H106" s="85" t="str">
        <f t="shared" si="22"/>
        <v/>
      </c>
      <c r="I106" s="101"/>
      <c r="J106" s="85"/>
      <c r="K106" s="102"/>
      <c r="M106" s="84" t="s">
        <v>960</v>
      </c>
      <c r="N106" s="180" t="str">
        <f t="shared" si="29"/>
        <v/>
      </c>
      <c r="O106" s="117"/>
      <c r="P106" s="109" t="str">
        <f t="shared" si="27"/>
        <v>.</v>
      </c>
      <c r="R106" s="145"/>
      <c r="S106" s="184" t="str">
        <f t="shared" si="28"/>
        <v/>
      </c>
      <c r="T106" s="146"/>
      <c r="U106" s="148" t="str">
        <f t="shared" si="26"/>
        <v>.</v>
      </c>
      <c r="V106" s="49"/>
      <c r="W106" s="49"/>
    </row>
    <row r="107" spans="1:23" ht="15.75" thickBot="1" x14ac:dyDescent="0.3">
      <c r="A107" s="57" t="s">
        <v>816</v>
      </c>
      <c r="B107" s="95"/>
      <c r="C107" s="95"/>
      <c r="D107" s="95"/>
      <c r="E107" s="92"/>
      <c r="F107" s="49" t="str">
        <f t="shared" si="25"/>
        <v>&gt;</v>
      </c>
      <c r="G107" s="121"/>
      <c r="H107" s="85" t="str">
        <f t="shared" si="22"/>
        <v/>
      </c>
      <c r="I107" s="101"/>
      <c r="J107" s="85"/>
      <c r="K107" s="102"/>
      <c r="M107" s="84" t="s">
        <v>961</v>
      </c>
      <c r="N107" s="180" t="str">
        <f t="shared" si="29"/>
        <v/>
      </c>
      <c r="O107" s="117"/>
      <c r="P107" s="109" t="str">
        <f t="shared" si="27"/>
        <v>.</v>
      </c>
      <c r="R107" s="145"/>
      <c r="S107" s="184" t="str">
        <f t="shared" si="28"/>
        <v/>
      </c>
      <c r="T107" s="146"/>
      <c r="U107" s="148" t="str">
        <f t="shared" si="26"/>
        <v>.</v>
      </c>
      <c r="V107" s="49"/>
      <c r="W107" s="49"/>
    </row>
    <row r="108" spans="1:23" ht="15.75" thickBot="1" x14ac:dyDescent="0.3">
      <c r="A108" s="57" t="s">
        <v>816</v>
      </c>
      <c r="B108" s="95"/>
      <c r="C108" s="95"/>
      <c r="D108" s="95"/>
      <c r="E108" s="92"/>
      <c r="F108" s="49" t="str">
        <f t="shared" si="25"/>
        <v>&gt;</v>
      </c>
      <c r="G108" s="121"/>
      <c r="H108" s="85" t="str">
        <f t="shared" si="22"/>
        <v/>
      </c>
      <c r="I108" s="101"/>
      <c r="J108" s="85"/>
      <c r="K108" s="102"/>
      <c r="M108" s="84" t="s">
        <v>962</v>
      </c>
      <c r="N108" s="180" t="str">
        <f t="shared" si="29"/>
        <v/>
      </c>
      <c r="O108" s="117"/>
      <c r="P108" s="109" t="str">
        <f t="shared" si="27"/>
        <v>.</v>
      </c>
      <c r="R108" s="145"/>
      <c r="S108" s="184" t="str">
        <f t="shared" si="28"/>
        <v/>
      </c>
      <c r="T108" s="146"/>
      <c r="U108" s="148" t="str">
        <f t="shared" si="26"/>
        <v>.</v>
      </c>
      <c r="V108" s="49"/>
      <c r="W108" s="49"/>
    </row>
    <row r="109" spans="1:23" ht="15.75" thickBot="1" x14ac:dyDescent="0.3">
      <c r="A109" s="57" t="s">
        <v>816</v>
      </c>
      <c r="B109" s="95"/>
      <c r="C109" s="95"/>
      <c r="D109" s="95"/>
      <c r="E109" s="92"/>
      <c r="F109" s="49" t="str">
        <f t="shared" si="25"/>
        <v>&gt;</v>
      </c>
      <c r="G109" s="121"/>
      <c r="H109" s="85" t="str">
        <f t="shared" si="22"/>
        <v/>
      </c>
      <c r="I109" s="101"/>
      <c r="J109" s="85"/>
      <c r="K109" s="102"/>
      <c r="M109" s="84" t="s">
        <v>963</v>
      </c>
      <c r="N109" s="180" t="str">
        <f t="shared" si="29"/>
        <v/>
      </c>
      <c r="O109" s="117"/>
      <c r="P109" s="109" t="str">
        <f t="shared" si="27"/>
        <v>.</v>
      </c>
      <c r="R109" s="145"/>
      <c r="S109" s="184" t="str">
        <f t="shared" si="28"/>
        <v/>
      </c>
      <c r="T109" s="146"/>
      <c r="U109" s="148" t="str">
        <f t="shared" si="26"/>
        <v>.</v>
      </c>
      <c r="V109" s="49"/>
      <c r="W109" s="49"/>
    </row>
    <row r="110" spans="1:23" ht="15.75" thickBot="1" x14ac:dyDescent="0.3">
      <c r="A110" s="57" t="s">
        <v>816</v>
      </c>
      <c r="B110" s="95"/>
      <c r="C110" s="95"/>
      <c r="D110" s="95"/>
      <c r="E110" s="92"/>
      <c r="F110" s="49" t="str">
        <f t="shared" si="25"/>
        <v>&gt;</v>
      </c>
      <c r="G110" s="121"/>
      <c r="H110" s="85" t="str">
        <f t="shared" si="22"/>
        <v/>
      </c>
      <c r="I110" s="101"/>
      <c r="J110" s="85"/>
      <c r="K110" s="102"/>
      <c r="M110" s="84" t="s">
        <v>964</v>
      </c>
      <c r="N110" s="180" t="str">
        <f t="shared" si="29"/>
        <v/>
      </c>
      <c r="O110" s="117"/>
      <c r="P110" s="109" t="str">
        <f t="shared" si="27"/>
        <v>.</v>
      </c>
      <c r="R110" s="145"/>
      <c r="S110" s="184" t="str">
        <f t="shared" si="28"/>
        <v/>
      </c>
      <c r="T110" s="146"/>
      <c r="U110" s="148" t="str">
        <f t="shared" si="26"/>
        <v>.</v>
      </c>
      <c r="V110" s="49"/>
      <c r="W110" s="49"/>
    </row>
    <row r="111" spans="1:23" ht="15.75" thickBot="1" x14ac:dyDescent="0.3">
      <c r="A111" s="57" t="s">
        <v>816</v>
      </c>
      <c r="B111" s="95"/>
      <c r="C111" s="95"/>
      <c r="D111" s="95"/>
      <c r="E111" s="92"/>
      <c r="F111" s="49" t="str">
        <f t="shared" si="25"/>
        <v>&gt;</v>
      </c>
      <c r="G111" s="121"/>
      <c r="H111" s="85" t="str">
        <f t="shared" si="22"/>
        <v/>
      </c>
      <c r="I111" s="101"/>
      <c r="J111" s="85"/>
      <c r="K111" s="102"/>
      <c r="M111" s="84" t="s">
        <v>965</v>
      </c>
      <c r="N111" s="180" t="str">
        <f t="shared" si="29"/>
        <v/>
      </c>
      <c r="O111" s="117"/>
      <c r="P111" s="109" t="str">
        <f t="shared" si="27"/>
        <v>.</v>
      </c>
      <c r="R111" s="145"/>
      <c r="S111" s="184" t="str">
        <f t="shared" si="28"/>
        <v/>
      </c>
      <c r="T111" s="146"/>
      <c r="U111" s="148" t="str">
        <f t="shared" si="26"/>
        <v>.</v>
      </c>
      <c r="V111" s="49"/>
      <c r="W111" s="49"/>
    </row>
    <row r="112" spans="1:23" ht="15.75" thickBot="1" x14ac:dyDescent="0.3">
      <c r="A112" s="57" t="s">
        <v>816</v>
      </c>
      <c r="B112" s="95"/>
      <c r="C112" s="95"/>
      <c r="D112" s="95"/>
      <c r="E112" s="92"/>
      <c r="F112" s="49" t="str">
        <f t="shared" si="25"/>
        <v>&gt;</v>
      </c>
      <c r="G112" s="121"/>
      <c r="H112" s="85" t="str">
        <f t="shared" si="22"/>
        <v/>
      </c>
      <c r="I112" s="101"/>
      <c r="J112" s="85"/>
      <c r="K112" s="102"/>
      <c r="M112" s="84" t="s">
        <v>966</v>
      </c>
      <c r="N112" s="180" t="str">
        <f t="shared" si="29"/>
        <v/>
      </c>
      <c r="O112" s="117"/>
      <c r="P112" s="109" t="str">
        <f t="shared" si="27"/>
        <v>.</v>
      </c>
      <c r="R112" s="145"/>
      <c r="S112" s="184" t="str">
        <f t="shared" si="28"/>
        <v/>
      </c>
      <c r="T112" s="146"/>
      <c r="U112" s="148" t="str">
        <f t="shared" si="26"/>
        <v>.</v>
      </c>
      <c r="V112" s="49"/>
      <c r="W112" s="49"/>
    </row>
    <row r="113" spans="1:23" ht="15.75" thickBot="1" x14ac:dyDescent="0.3">
      <c r="A113" s="57" t="s">
        <v>816</v>
      </c>
      <c r="B113" s="95"/>
      <c r="C113" s="95"/>
      <c r="D113" s="95"/>
      <c r="E113" s="92"/>
      <c r="F113" s="49" t="str">
        <f t="shared" si="25"/>
        <v>&gt;</v>
      </c>
      <c r="G113" s="121"/>
      <c r="H113" s="85" t="str">
        <f t="shared" si="22"/>
        <v/>
      </c>
      <c r="I113" s="101"/>
      <c r="J113" s="85"/>
      <c r="K113" s="102"/>
      <c r="M113" s="84" t="s">
        <v>967</v>
      </c>
      <c r="N113" s="180" t="str">
        <f t="shared" si="29"/>
        <v/>
      </c>
      <c r="O113" s="117"/>
      <c r="P113" s="109" t="str">
        <f t="shared" si="27"/>
        <v>.</v>
      </c>
      <c r="R113" s="145"/>
      <c r="S113" s="184" t="str">
        <f t="shared" si="28"/>
        <v/>
      </c>
      <c r="T113" s="146"/>
      <c r="U113" s="148" t="str">
        <f t="shared" si="26"/>
        <v>.</v>
      </c>
      <c r="V113" s="49"/>
      <c r="W113" s="49"/>
    </row>
    <row r="114" spans="1:23" ht="15.75" thickBot="1" x14ac:dyDescent="0.3">
      <c r="A114" s="57" t="s">
        <v>816</v>
      </c>
      <c r="B114" s="95"/>
      <c r="C114" s="95"/>
      <c r="D114" s="95"/>
      <c r="E114" s="92"/>
      <c r="F114" s="49" t="str">
        <f t="shared" si="25"/>
        <v>&gt;</v>
      </c>
      <c r="G114" s="121"/>
      <c r="H114" s="85" t="str">
        <f t="shared" si="22"/>
        <v/>
      </c>
      <c r="I114" s="101"/>
      <c r="J114" s="85"/>
      <c r="K114" s="102"/>
      <c r="M114" s="84" t="s">
        <v>968</v>
      </c>
      <c r="N114" s="180" t="str">
        <f t="shared" si="29"/>
        <v/>
      </c>
      <c r="O114" s="117"/>
      <c r="P114" s="109" t="str">
        <f t="shared" si="27"/>
        <v>.</v>
      </c>
      <c r="R114" s="145"/>
      <c r="S114" s="184" t="str">
        <f t="shared" si="28"/>
        <v/>
      </c>
      <c r="T114" s="146"/>
      <c r="U114" s="148" t="str">
        <f t="shared" si="26"/>
        <v>.</v>
      </c>
      <c r="V114" s="49"/>
      <c r="W114" s="49"/>
    </row>
    <row r="115" spans="1:23" ht="15.75" thickBot="1" x14ac:dyDescent="0.3">
      <c r="A115" s="57" t="s">
        <v>816</v>
      </c>
      <c r="B115" s="95"/>
      <c r="C115" s="95"/>
      <c r="D115" s="95"/>
      <c r="E115" s="92" t="s">
        <v>1797</v>
      </c>
      <c r="F115" s="49" t="str">
        <f t="shared" si="25"/>
        <v>&gt;</v>
      </c>
      <c r="G115" s="121"/>
      <c r="H115" s="85" t="str">
        <f t="shared" si="22"/>
        <v/>
      </c>
      <c r="I115" s="101"/>
      <c r="J115" s="85"/>
      <c r="K115" s="102"/>
      <c r="M115" s="84" t="s">
        <v>969</v>
      </c>
      <c r="N115" s="180" t="str">
        <f t="shared" si="29"/>
        <v>2nd PC L</v>
      </c>
      <c r="O115" s="89" t="s">
        <v>1799</v>
      </c>
      <c r="P115" s="109">
        <f t="shared" si="27"/>
        <v>38</v>
      </c>
      <c r="R115" s="145"/>
      <c r="S115" s="184" t="str">
        <f t="shared" si="28"/>
        <v/>
      </c>
      <c r="T115" s="146"/>
      <c r="U115" s="148" t="str">
        <f t="shared" si="26"/>
        <v>.</v>
      </c>
      <c r="V115" s="49"/>
      <c r="W115" s="49"/>
    </row>
    <row r="116" spans="1:23" ht="15.75" thickBot="1" x14ac:dyDescent="0.3">
      <c r="A116" s="57" t="s">
        <v>816</v>
      </c>
      <c r="B116" s="95"/>
      <c r="C116" s="95"/>
      <c r="D116" s="95"/>
      <c r="E116" s="92" t="s">
        <v>1798</v>
      </c>
      <c r="F116" s="49" t="str">
        <f t="shared" si="25"/>
        <v>&gt;</v>
      </c>
      <c r="G116" s="121"/>
      <c r="H116" s="85" t="str">
        <f t="shared" si="22"/>
        <v/>
      </c>
      <c r="I116" s="101"/>
      <c r="J116" s="85"/>
      <c r="K116" s="102"/>
      <c r="M116" s="84" t="s">
        <v>970</v>
      </c>
      <c r="N116" s="180" t="str">
        <f t="shared" si="29"/>
        <v>2nd PC R</v>
      </c>
      <c r="O116" s="89" t="s">
        <v>1800</v>
      </c>
      <c r="P116" s="112" t="s">
        <v>1809</v>
      </c>
      <c r="R116" s="145"/>
      <c r="S116" s="184" t="str">
        <f t="shared" si="28"/>
        <v/>
      </c>
      <c r="T116" s="146"/>
      <c r="U116" s="148" t="str">
        <f t="shared" si="26"/>
        <v>.</v>
      </c>
      <c r="V116" s="49"/>
      <c r="W116" s="49"/>
    </row>
    <row r="117" spans="1:23" ht="15.75" thickBot="1" x14ac:dyDescent="0.3">
      <c r="A117" s="57" t="s">
        <v>816</v>
      </c>
      <c r="B117" s="95"/>
      <c r="C117" s="95"/>
      <c r="D117" s="95"/>
      <c r="E117" s="92" t="s">
        <v>1801</v>
      </c>
      <c r="F117" s="49" t="str">
        <f t="shared" si="25"/>
        <v>&gt;</v>
      </c>
      <c r="G117" s="121"/>
      <c r="H117" s="85" t="str">
        <f t="shared" si="22"/>
        <v/>
      </c>
      <c r="I117" s="101"/>
      <c r="J117" s="85"/>
      <c r="K117" s="102"/>
      <c r="M117" s="84" t="s">
        <v>971</v>
      </c>
      <c r="N117" s="180" t="str">
        <f t="shared" si="29"/>
        <v>VOX from Ext L</v>
      </c>
      <c r="O117" s="89" t="s">
        <v>1805</v>
      </c>
      <c r="P117" s="109">
        <f>IF(MID(O117,1,3)="CH.",VALUE(MID(O117,4,2))+0,".")</f>
        <v>39</v>
      </c>
      <c r="R117" s="145"/>
      <c r="S117" s="184" t="str">
        <f t="shared" si="28"/>
        <v/>
      </c>
      <c r="T117" s="146"/>
      <c r="U117" s="148" t="str">
        <f t="shared" si="26"/>
        <v>.</v>
      </c>
      <c r="V117" s="49"/>
      <c r="W117" s="49"/>
    </row>
    <row r="118" spans="1:23" ht="15.75" thickBot="1" x14ac:dyDescent="0.3">
      <c r="A118" s="57" t="s">
        <v>816</v>
      </c>
      <c r="B118" s="95"/>
      <c r="C118" s="95"/>
      <c r="D118" s="95"/>
      <c r="E118" s="92" t="s">
        <v>1802</v>
      </c>
      <c r="F118" s="49" t="str">
        <f t="shared" si="25"/>
        <v>&gt;</v>
      </c>
      <c r="G118" s="121"/>
      <c r="H118" s="85" t="str">
        <f t="shared" si="22"/>
        <v/>
      </c>
      <c r="I118" s="101"/>
      <c r="J118" s="85"/>
      <c r="K118" s="102"/>
      <c r="M118" s="84" t="s">
        <v>972</v>
      </c>
      <c r="N118" s="180" t="str">
        <f t="shared" si="29"/>
        <v>VOX from Ext R</v>
      </c>
      <c r="O118" s="89" t="s">
        <v>1806</v>
      </c>
      <c r="P118" s="112" t="s">
        <v>1810</v>
      </c>
      <c r="R118" s="145"/>
      <c r="S118" s="184" t="str">
        <f t="shared" si="28"/>
        <v/>
      </c>
      <c r="T118" s="146"/>
      <c r="U118" s="148" t="str">
        <f t="shared" si="26"/>
        <v>.</v>
      </c>
      <c r="V118" s="49"/>
      <c r="W118" s="49"/>
    </row>
    <row r="119" spans="1:23" ht="15.75" thickBot="1" x14ac:dyDescent="0.3">
      <c r="A119" s="57" t="s">
        <v>816</v>
      </c>
      <c r="B119" s="95"/>
      <c r="C119" s="95"/>
      <c r="D119" s="95"/>
      <c r="E119" s="92" t="s">
        <v>1803</v>
      </c>
      <c r="F119" s="49" t="str">
        <f t="shared" si="25"/>
        <v>&gt;</v>
      </c>
      <c r="G119" s="121"/>
      <c r="H119" s="85" t="str">
        <f t="shared" si="22"/>
        <v/>
      </c>
      <c r="I119" s="101"/>
      <c r="J119" s="85"/>
      <c r="K119" s="102"/>
      <c r="M119" s="84" t="s">
        <v>973</v>
      </c>
      <c r="N119" s="180" t="str">
        <f t="shared" si="29"/>
        <v>INST from Ext L</v>
      </c>
      <c r="O119" s="89" t="s">
        <v>1807</v>
      </c>
      <c r="P119" s="109">
        <f>IF(MID(O119,1,3)="CH.",VALUE(MID(O119,4,2))+0,".")</f>
        <v>40</v>
      </c>
      <c r="R119" s="145"/>
      <c r="S119" s="184" t="str">
        <f t="shared" si="28"/>
        <v/>
      </c>
      <c r="T119" s="146"/>
      <c r="U119" s="148" t="str">
        <f t="shared" si="26"/>
        <v>.</v>
      </c>
      <c r="V119" s="49"/>
      <c r="W119" s="49"/>
    </row>
    <row r="120" spans="1:23" ht="15.75" thickBot="1" x14ac:dyDescent="0.3">
      <c r="A120" s="57" t="s">
        <v>816</v>
      </c>
      <c r="B120" s="95"/>
      <c r="C120" s="95"/>
      <c r="D120" s="95"/>
      <c r="E120" s="92" t="s">
        <v>1804</v>
      </c>
      <c r="F120" s="49" t="str">
        <f t="shared" si="25"/>
        <v>&gt;</v>
      </c>
      <c r="G120" s="121"/>
      <c r="H120" s="85" t="str">
        <f t="shared" si="22"/>
        <v/>
      </c>
      <c r="I120" s="101"/>
      <c r="J120" s="85"/>
      <c r="K120" s="102"/>
      <c r="M120" s="84" t="s">
        <v>974</v>
      </c>
      <c r="N120" s="180" t="str">
        <f t="shared" si="29"/>
        <v>INST from Ext R</v>
      </c>
      <c r="O120" s="89" t="s">
        <v>1808</v>
      </c>
      <c r="P120" s="112" t="s">
        <v>1811</v>
      </c>
      <c r="R120" s="145"/>
      <c r="S120" s="184" t="str">
        <f t="shared" si="28"/>
        <v/>
      </c>
      <c r="T120" s="146"/>
      <c r="U120" s="148" t="str">
        <f t="shared" si="26"/>
        <v>.</v>
      </c>
      <c r="V120" s="49"/>
      <c r="W120" s="49"/>
    </row>
    <row r="121" spans="1:23" ht="15.75" thickBot="1" x14ac:dyDescent="0.3">
      <c r="A121" s="57"/>
      <c r="B121" s="95"/>
      <c r="C121" s="95" t="s">
        <v>780</v>
      </c>
      <c r="D121" s="95" t="s">
        <v>762</v>
      </c>
      <c r="E121" s="92"/>
      <c r="F121" s="49" t="str">
        <f t="shared" si="25"/>
        <v>&gt;</v>
      </c>
      <c r="G121" s="121"/>
      <c r="H121" s="85" t="str">
        <f t="shared" si="22"/>
        <v/>
      </c>
      <c r="I121" s="101"/>
      <c r="J121" s="85"/>
      <c r="K121" s="102"/>
      <c r="M121" s="107"/>
      <c r="N121" s="180" t="str">
        <f t="shared" si="29"/>
        <v/>
      </c>
      <c r="O121" s="117"/>
      <c r="P121" s="109" t="str">
        <f t="shared" ref="P121:P152" si="30">IF(MID(O121,1,3)="CH.",VALUE(MID(O121,4,2))+0,".")</f>
        <v>.</v>
      </c>
      <c r="R121" s="145"/>
      <c r="S121" s="184" t="str">
        <f t="shared" si="28"/>
        <v/>
      </c>
      <c r="T121" s="146"/>
      <c r="U121" s="148" t="str">
        <f t="shared" si="26"/>
        <v>.</v>
      </c>
      <c r="V121" s="49"/>
      <c r="W121" s="49"/>
    </row>
    <row r="122" spans="1:23" ht="15.75" thickBot="1" x14ac:dyDescent="0.3">
      <c r="A122" s="57"/>
      <c r="B122" s="95"/>
      <c r="C122" s="95" t="s">
        <v>781</v>
      </c>
      <c r="D122" s="95" t="s">
        <v>796</v>
      </c>
      <c r="E122" s="92"/>
      <c r="F122" s="49" t="str">
        <f t="shared" si="25"/>
        <v>&gt;</v>
      </c>
      <c r="G122" s="121"/>
      <c r="H122" s="85" t="str">
        <f t="shared" si="22"/>
        <v/>
      </c>
      <c r="I122" s="101"/>
      <c r="J122" s="85"/>
      <c r="K122" s="102"/>
      <c r="M122" s="107"/>
      <c r="N122" s="180" t="str">
        <f t="shared" si="29"/>
        <v/>
      </c>
      <c r="O122" s="117"/>
      <c r="P122" s="109" t="str">
        <f t="shared" si="30"/>
        <v>.</v>
      </c>
      <c r="R122" s="145"/>
      <c r="S122" s="184" t="str">
        <f t="shared" si="28"/>
        <v/>
      </c>
      <c r="T122" s="146"/>
      <c r="U122" s="148" t="str">
        <f t="shared" si="26"/>
        <v>.</v>
      </c>
      <c r="V122" s="49"/>
      <c r="W122" s="49"/>
    </row>
    <row r="123" spans="1:23" ht="15.75" thickBot="1" x14ac:dyDescent="0.3">
      <c r="A123" s="57"/>
      <c r="B123" s="95"/>
      <c r="C123" s="95" t="s">
        <v>782</v>
      </c>
      <c r="D123" s="95" t="s">
        <v>797</v>
      </c>
      <c r="E123" s="92"/>
      <c r="F123" s="49" t="str">
        <f t="shared" si="25"/>
        <v>&gt;</v>
      </c>
      <c r="G123" s="121"/>
      <c r="H123" s="85" t="str">
        <f t="shared" si="22"/>
        <v/>
      </c>
      <c r="I123" s="101"/>
      <c r="J123" s="85"/>
      <c r="K123" s="102"/>
      <c r="M123" s="107"/>
      <c r="N123" s="180" t="str">
        <f t="shared" si="29"/>
        <v/>
      </c>
      <c r="O123" s="117"/>
      <c r="P123" s="109" t="str">
        <f t="shared" si="30"/>
        <v>.</v>
      </c>
      <c r="R123" s="145"/>
      <c r="S123" s="184" t="str">
        <f t="shared" si="28"/>
        <v/>
      </c>
      <c r="T123" s="146"/>
      <c r="U123" s="148" t="str">
        <f t="shared" si="26"/>
        <v>.</v>
      </c>
      <c r="V123" s="49"/>
      <c r="W123" s="49"/>
    </row>
    <row r="124" spans="1:23" ht="15.75" thickBot="1" x14ac:dyDescent="0.3">
      <c r="A124" s="57"/>
      <c r="B124" s="95"/>
      <c r="C124" s="95" t="s">
        <v>783</v>
      </c>
      <c r="D124" s="95" t="s">
        <v>798</v>
      </c>
      <c r="E124" s="92"/>
      <c r="F124" s="49" t="str">
        <f t="shared" si="25"/>
        <v>&gt;</v>
      </c>
      <c r="G124" s="121"/>
      <c r="H124" s="85" t="str">
        <f t="shared" si="22"/>
        <v/>
      </c>
      <c r="I124" s="101"/>
      <c r="J124" s="85"/>
      <c r="K124" s="102"/>
      <c r="M124" s="107"/>
      <c r="N124" s="180" t="str">
        <f t="shared" si="29"/>
        <v/>
      </c>
      <c r="O124" s="117"/>
      <c r="P124" s="109" t="str">
        <f t="shared" si="30"/>
        <v>.</v>
      </c>
      <c r="R124" s="145"/>
      <c r="S124" s="184" t="str">
        <f t="shared" si="28"/>
        <v/>
      </c>
      <c r="T124" s="146"/>
      <c r="U124" s="148" t="str">
        <f t="shared" si="26"/>
        <v>.</v>
      </c>
      <c r="V124" s="49"/>
      <c r="W124" s="49"/>
    </row>
    <row r="125" spans="1:23" ht="15.75" thickBot="1" x14ac:dyDescent="0.3">
      <c r="A125" s="57"/>
      <c r="B125" s="95"/>
      <c r="C125" s="95" t="s">
        <v>784</v>
      </c>
      <c r="D125" s="95" t="s">
        <v>799</v>
      </c>
      <c r="E125" s="92"/>
      <c r="F125" s="49" t="str">
        <f t="shared" si="25"/>
        <v>&gt;</v>
      </c>
      <c r="G125" s="121"/>
      <c r="H125" s="85" t="str">
        <f t="shared" si="22"/>
        <v/>
      </c>
      <c r="I125" s="101"/>
      <c r="J125" s="85"/>
      <c r="K125" s="102"/>
      <c r="M125" s="107"/>
      <c r="N125" s="180" t="str">
        <f t="shared" si="29"/>
        <v/>
      </c>
      <c r="O125" s="117"/>
      <c r="P125" s="109" t="str">
        <f t="shared" si="30"/>
        <v>.</v>
      </c>
      <c r="R125" s="145"/>
      <c r="S125" s="184" t="str">
        <f t="shared" si="28"/>
        <v/>
      </c>
      <c r="T125" s="146"/>
      <c r="U125" s="148" t="str">
        <f t="shared" si="26"/>
        <v>.</v>
      </c>
      <c r="V125" s="49"/>
      <c r="W125" s="49"/>
    </row>
    <row r="126" spans="1:23" ht="15.75" thickBot="1" x14ac:dyDescent="0.3">
      <c r="A126" s="57"/>
      <c r="B126" s="95"/>
      <c r="C126" s="95" t="s">
        <v>785</v>
      </c>
      <c r="D126" s="95" t="s">
        <v>800</v>
      </c>
      <c r="E126" s="92"/>
      <c r="F126" s="49" t="str">
        <f t="shared" si="25"/>
        <v>&gt;</v>
      </c>
      <c r="G126" s="121"/>
      <c r="H126" s="85" t="str">
        <f t="shared" si="22"/>
        <v/>
      </c>
      <c r="I126" s="101"/>
      <c r="J126" s="85"/>
      <c r="K126" s="102"/>
      <c r="M126" s="107"/>
      <c r="N126" s="180" t="str">
        <f t="shared" si="29"/>
        <v/>
      </c>
      <c r="O126" s="117"/>
      <c r="P126" s="109" t="str">
        <f t="shared" si="30"/>
        <v>.</v>
      </c>
      <c r="R126" s="145"/>
      <c r="S126" s="184" t="str">
        <f t="shared" si="28"/>
        <v/>
      </c>
      <c r="T126" s="146"/>
      <c r="U126" s="148" t="str">
        <f t="shared" si="26"/>
        <v>.</v>
      </c>
      <c r="V126" s="49"/>
      <c r="W126" s="49"/>
    </row>
    <row r="127" spans="1:23" ht="15.75" thickBot="1" x14ac:dyDescent="0.3">
      <c r="A127" s="57"/>
      <c r="B127" s="95"/>
      <c r="C127" s="95" t="s">
        <v>786</v>
      </c>
      <c r="D127" s="95" t="s">
        <v>801</v>
      </c>
      <c r="E127" s="92"/>
      <c r="F127" s="49" t="str">
        <f t="shared" si="25"/>
        <v>&gt;</v>
      </c>
      <c r="G127" s="121"/>
      <c r="H127" s="85" t="str">
        <f t="shared" si="22"/>
        <v/>
      </c>
      <c r="I127" s="101"/>
      <c r="J127" s="85"/>
      <c r="K127" s="102"/>
      <c r="M127" s="107"/>
      <c r="N127" s="180" t="str">
        <f t="shared" si="29"/>
        <v/>
      </c>
      <c r="O127" s="117"/>
      <c r="P127" s="109" t="str">
        <f t="shared" si="30"/>
        <v>.</v>
      </c>
      <c r="R127" s="145"/>
      <c r="S127" s="184" t="str">
        <f t="shared" si="28"/>
        <v/>
      </c>
      <c r="T127" s="146"/>
      <c r="U127" s="148" t="str">
        <f t="shared" si="26"/>
        <v>.</v>
      </c>
      <c r="V127" s="49"/>
      <c r="W127" s="49"/>
    </row>
    <row r="128" spans="1:23" ht="15.75" thickBot="1" x14ac:dyDescent="0.3">
      <c r="A128" s="57"/>
      <c r="B128" s="95"/>
      <c r="C128" s="95" t="s">
        <v>787</v>
      </c>
      <c r="D128" s="95" t="s">
        <v>802</v>
      </c>
      <c r="E128" s="92"/>
      <c r="F128" s="49" t="str">
        <f t="shared" si="25"/>
        <v>&gt;</v>
      </c>
      <c r="G128" s="121"/>
      <c r="H128" s="85" t="str">
        <f t="shared" si="22"/>
        <v/>
      </c>
      <c r="I128" s="101"/>
      <c r="J128" s="85"/>
      <c r="K128" s="102"/>
      <c r="M128" s="107"/>
      <c r="N128" s="180" t="str">
        <f t="shared" si="29"/>
        <v/>
      </c>
      <c r="O128" s="117"/>
      <c r="P128" s="109" t="str">
        <f t="shared" si="30"/>
        <v>.</v>
      </c>
      <c r="R128" s="145"/>
      <c r="S128" s="184" t="str">
        <f t="shared" si="28"/>
        <v/>
      </c>
      <c r="T128" s="146"/>
      <c r="U128" s="148" t="str">
        <f t="shared" si="26"/>
        <v>.</v>
      </c>
      <c r="V128" s="49"/>
      <c r="W128" s="49"/>
    </row>
    <row r="129" spans="1:23" ht="15.75" thickBot="1" x14ac:dyDescent="0.3">
      <c r="A129" s="57"/>
      <c r="B129" s="95"/>
      <c r="C129" s="95" t="s">
        <v>788</v>
      </c>
      <c r="D129" s="95" t="s">
        <v>803</v>
      </c>
      <c r="E129" s="92"/>
      <c r="F129" s="49" t="str">
        <f t="shared" si="25"/>
        <v>&gt;</v>
      </c>
      <c r="G129" s="121"/>
      <c r="H129" s="85" t="str">
        <f t="shared" si="22"/>
        <v/>
      </c>
      <c r="I129" s="101"/>
      <c r="J129" s="85"/>
      <c r="K129" s="102"/>
      <c r="M129" s="107"/>
      <c r="N129" s="180" t="str">
        <f t="shared" si="29"/>
        <v/>
      </c>
      <c r="O129" s="117"/>
      <c r="P129" s="109" t="str">
        <f t="shared" si="30"/>
        <v>.</v>
      </c>
      <c r="R129" s="145"/>
      <c r="S129" s="184" t="str">
        <f t="shared" si="28"/>
        <v/>
      </c>
      <c r="T129" s="146"/>
      <c r="U129" s="148" t="str">
        <f t="shared" ref="U129:U160" si="31">IF(MID(T129,1,3)="CH.",VALUE(MID(T129,4,2))+48,".")</f>
        <v>.</v>
      </c>
      <c r="V129" s="49"/>
      <c r="W129" s="49"/>
    </row>
    <row r="130" spans="1:23" ht="15.75" thickBot="1" x14ac:dyDescent="0.3">
      <c r="A130" s="57"/>
      <c r="B130" s="95"/>
      <c r="C130" s="95" t="s">
        <v>789</v>
      </c>
      <c r="D130" s="95" t="s">
        <v>804</v>
      </c>
      <c r="E130" s="92"/>
      <c r="F130" s="49" t="str">
        <f t="shared" si="25"/>
        <v>&gt;</v>
      </c>
      <c r="G130" s="121"/>
      <c r="H130" s="85" t="str">
        <f t="shared" si="22"/>
        <v/>
      </c>
      <c r="I130" s="101"/>
      <c r="J130" s="85"/>
      <c r="K130" s="102"/>
      <c r="M130" s="107"/>
      <c r="N130" s="180" t="str">
        <f t="shared" si="29"/>
        <v/>
      </c>
      <c r="O130" s="117"/>
      <c r="P130" s="109" t="str">
        <f t="shared" si="30"/>
        <v>.</v>
      </c>
      <c r="R130" s="145"/>
      <c r="S130" s="184" t="str">
        <f t="shared" ref="S130:S135" si="32">IF(MID(T130,1,3)="CH.",$E130,"")</f>
        <v/>
      </c>
      <c r="T130" s="146"/>
      <c r="U130" s="148" t="str">
        <f t="shared" si="31"/>
        <v>.</v>
      </c>
      <c r="V130" s="49"/>
      <c r="W130" s="49"/>
    </row>
    <row r="131" spans="1:23" ht="15.75" thickBot="1" x14ac:dyDescent="0.3">
      <c r="A131" s="57"/>
      <c r="B131" s="95"/>
      <c r="C131" s="95" t="s">
        <v>790</v>
      </c>
      <c r="D131" s="95" t="s">
        <v>805</v>
      </c>
      <c r="E131" s="92"/>
      <c r="F131" s="49" t="str">
        <f t="shared" si="25"/>
        <v>&gt;</v>
      </c>
      <c r="G131" s="121"/>
      <c r="H131" s="85" t="str">
        <f t="shared" si="22"/>
        <v/>
      </c>
      <c r="I131" s="101"/>
      <c r="J131" s="85"/>
      <c r="K131" s="102"/>
      <c r="M131" s="107"/>
      <c r="N131" s="180" t="str">
        <f t="shared" si="29"/>
        <v/>
      </c>
      <c r="O131" s="117"/>
      <c r="P131" s="109" t="str">
        <f t="shared" si="30"/>
        <v>.</v>
      </c>
      <c r="R131" s="145"/>
      <c r="S131" s="184" t="str">
        <f t="shared" si="32"/>
        <v/>
      </c>
      <c r="T131" s="146"/>
      <c r="U131" s="148" t="str">
        <f t="shared" si="31"/>
        <v>.</v>
      </c>
      <c r="V131" s="49"/>
      <c r="W131" s="49"/>
    </row>
    <row r="132" spans="1:23" ht="15.75" thickBot="1" x14ac:dyDescent="0.3">
      <c r="A132" s="57"/>
      <c r="B132" s="95"/>
      <c r="C132" s="95" t="s">
        <v>791</v>
      </c>
      <c r="D132" s="95" t="s">
        <v>769</v>
      </c>
      <c r="E132" s="92"/>
      <c r="F132" s="49" t="str">
        <f t="shared" si="25"/>
        <v>&gt;</v>
      </c>
      <c r="G132" s="121"/>
      <c r="H132" s="85" t="str">
        <f t="shared" si="22"/>
        <v/>
      </c>
      <c r="I132" s="101"/>
      <c r="J132" s="85"/>
      <c r="K132" s="102"/>
      <c r="M132" s="107"/>
      <c r="N132" s="180" t="str">
        <f t="shared" si="29"/>
        <v/>
      </c>
      <c r="O132" s="117"/>
      <c r="P132" s="109" t="str">
        <f t="shared" si="30"/>
        <v>.</v>
      </c>
      <c r="R132" s="145"/>
      <c r="S132" s="184" t="str">
        <f t="shared" si="32"/>
        <v/>
      </c>
      <c r="T132" s="146"/>
      <c r="U132" s="148" t="str">
        <f t="shared" si="31"/>
        <v>.</v>
      </c>
      <c r="V132" s="49"/>
      <c r="W132" s="49"/>
    </row>
    <row r="133" spans="1:23" ht="15.75" thickBot="1" x14ac:dyDescent="0.3">
      <c r="A133" s="57"/>
      <c r="B133" s="95"/>
      <c r="C133" s="95" t="s">
        <v>792</v>
      </c>
      <c r="D133" s="95" t="s">
        <v>806</v>
      </c>
      <c r="E133" s="92"/>
      <c r="F133" s="49" t="str">
        <f t="shared" si="25"/>
        <v>&gt;</v>
      </c>
      <c r="G133" s="121"/>
      <c r="H133" s="85" t="str">
        <f t="shared" si="22"/>
        <v/>
      </c>
      <c r="I133" s="101"/>
      <c r="J133" s="85"/>
      <c r="K133" s="102"/>
      <c r="M133" s="107"/>
      <c r="N133" s="180" t="str">
        <f t="shared" si="29"/>
        <v/>
      </c>
      <c r="O133" s="117"/>
      <c r="P133" s="109" t="str">
        <f t="shared" si="30"/>
        <v>.</v>
      </c>
      <c r="R133" s="145"/>
      <c r="S133" s="184" t="str">
        <f t="shared" si="32"/>
        <v/>
      </c>
      <c r="T133" s="146"/>
      <c r="U133" s="148" t="str">
        <f t="shared" si="31"/>
        <v>.</v>
      </c>
      <c r="V133" s="49"/>
      <c r="W133" s="49"/>
    </row>
    <row r="134" spans="1:23" ht="15.75" thickBot="1" x14ac:dyDescent="0.3">
      <c r="A134" s="57"/>
      <c r="B134" s="95"/>
      <c r="C134" s="95" t="s">
        <v>793</v>
      </c>
      <c r="D134" s="95" t="s">
        <v>807</v>
      </c>
      <c r="E134" s="92"/>
      <c r="F134" s="49" t="str">
        <f t="shared" si="25"/>
        <v>&gt;</v>
      </c>
      <c r="G134" s="121"/>
      <c r="H134" s="85" t="str">
        <f t="shared" ref="H134:H197" si="33">IF(MID(J134,1,3)="CH.",$E134,"")</f>
        <v/>
      </c>
      <c r="I134" s="101"/>
      <c r="J134" s="85"/>
      <c r="K134" s="102"/>
      <c r="M134" s="107"/>
      <c r="N134" s="180" t="str">
        <f t="shared" ref="N134:N135" si="34">IF(MID(O134,1,3)="CH.",$E134,"")</f>
        <v/>
      </c>
      <c r="O134" s="117"/>
      <c r="P134" s="109" t="str">
        <f t="shared" si="30"/>
        <v>.</v>
      </c>
      <c r="R134" s="145"/>
      <c r="S134" s="184" t="str">
        <f t="shared" si="32"/>
        <v/>
      </c>
      <c r="T134" s="146"/>
      <c r="U134" s="148" t="str">
        <f t="shared" si="31"/>
        <v>.</v>
      </c>
      <c r="V134" s="49"/>
      <c r="W134" s="49"/>
    </row>
    <row r="135" spans="1:23" ht="15.75" thickBot="1" x14ac:dyDescent="0.3">
      <c r="A135" s="57"/>
      <c r="B135" s="95"/>
      <c r="C135" s="95" t="s">
        <v>794</v>
      </c>
      <c r="D135" s="95" t="s">
        <v>721</v>
      </c>
      <c r="E135" s="92"/>
      <c r="F135" s="49" t="str">
        <f t="shared" si="25"/>
        <v>&gt;</v>
      </c>
      <c r="G135" s="121"/>
      <c r="H135" s="85" t="str">
        <f t="shared" si="33"/>
        <v/>
      </c>
      <c r="I135" s="101"/>
      <c r="J135" s="85"/>
      <c r="K135" s="102"/>
      <c r="M135" s="107"/>
      <c r="N135" s="180" t="str">
        <f t="shared" si="34"/>
        <v/>
      </c>
      <c r="O135" s="117"/>
      <c r="P135" s="109" t="str">
        <f t="shared" si="30"/>
        <v>.</v>
      </c>
      <c r="R135" s="145"/>
      <c r="S135" s="184" t="str">
        <f t="shared" si="32"/>
        <v/>
      </c>
      <c r="T135" s="146"/>
      <c r="U135" s="148" t="str">
        <f t="shared" si="31"/>
        <v>.</v>
      </c>
      <c r="V135" s="49"/>
      <c r="W135" s="49"/>
    </row>
    <row r="136" spans="1:23" ht="15.75" thickBot="1" x14ac:dyDescent="0.3">
      <c r="A136" s="57" t="s">
        <v>817</v>
      </c>
      <c r="B136" s="76"/>
      <c r="C136" s="76"/>
      <c r="D136" s="76"/>
      <c r="E136" s="192"/>
      <c r="F136" s="193"/>
      <c r="G136" s="194"/>
      <c r="H136" s="56" t="str">
        <f t="shared" si="33"/>
        <v/>
      </c>
      <c r="I136" s="195"/>
      <c r="J136" s="56"/>
      <c r="K136" s="196"/>
      <c r="L136" s="193"/>
      <c r="M136" s="197" t="s">
        <v>1143</v>
      </c>
      <c r="N136" s="202" t="s">
        <v>1834</v>
      </c>
      <c r="O136" s="198" t="s">
        <v>1131</v>
      </c>
      <c r="P136" s="199" t="str">
        <f t="shared" si="30"/>
        <v>.</v>
      </c>
      <c r="Q136" s="193" t="str">
        <f>"&lt;"</f>
        <v>&lt;</v>
      </c>
      <c r="R136" s="200" t="s">
        <v>1117</v>
      </c>
      <c r="S136" s="202" t="s">
        <v>1834</v>
      </c>
      <c r="T136" s="201" t="s">
        <v>1107</v>
      </c>
      <c r="U136" s="203" t="str">
        <f t="shared" si="31"/>
        <v>.</v>
      </c>
      <c r="V136" s="49"/>
      <c r="W136" s="49"/>
    </row>
    <row r="137" spans="1:23" ht="15.75" thickBot="1" x14ac:dyDescent="0.3">
      <c r="A137" s="57" t="s">
        <v>817</v>
      </c>
      <c r="B137" s="76"/>
      <c r="C137" s="76"/>
      <c r="D137" s="76"/>
      <c r="E137" s="192"/>
      <c r="F137" s="193"/>
      <c r="G137" s="194"/>
      <c r="H137" s="56" t="str">
        <f t="shared" si="33"/>
        <v/>
      </c>
      <c r="I137" s="195"/>
      <c r="J137" s="56"/>
      <c r="K137" s="196"/>
      <c r="L137" s="193"/>
      <c r="M137" s="197" t="s">
        <v>1144</v>
      </c>
      <c r="N137" s="202" t="s">
        <v>1835</v>
      </c>
      <c r="O137" s="198" t="s">
        <v>1132</v>
      </c>
      <c r="P137" s="199" t="str">
        <f t="shared" si="30"/>
        <v>.</v>
      </c>
      <c r="Q137" s="193" t="str">
        <f t="shared" ref="Q137:Q147" si="35">"&lt;"</f>
        <v>&lt;</v>
      </c>
      <c r="R137" s="200" t="s">
        <v>1118</v>
      </c>
      <c r="S137" s="202" t="s">
        <v>1835</v>
      </c>
      <c r="T137" s="201" t="s">
        <v>1108</v>
      </c>
      <c r="U137" s="203" t="str">
        <f t="shared" si="31"/>
        <v>.</v>
      </c>
      <c r="V137" s="49"/>
      <c r="W137" s="49"/>
    </row>
    <row r="138" spans="1:23" ht="15.75" thickBot="1" x14ac:dyDescent="0.3">
      <c r="A138" s="57" t="s">
        <v>817</v>
      </c>
      <c r="B138" s="76"/>
      <c r="C138" s="76"/>
      <c r="D138" s="76"/>
      <c r="E138" s="192"/>
      <c r="F138" s="193"/>
      <c r="G138" s="194"/>
      <c r="H138" s="56" t="str">
        <f t="shared" si="33"/>
        <v/>
      </c>
      <c r="I138" s="195"/>
      <c r="J138" s="56"/>
      <c r="K138" s="196"/>
      <c r="L138" s="193"/>
      <c r="M138" s="197" t="s">
        <v>1145</v>
      </c>
      <c r="N138" s="202" t="s">
        <v>1836</v>
      </c>
      <c r="O138" s="198" t="s">
        <v>1133</v>
      </c>
      <c r="P138" s="199" t="str">
        <f t="shared" si="30"/>
        <v>.</v>
      </c>
      <c r="Q138" s="193" t="str">
        <f t="shared" si="35"/>
        <v>&lt;</v>
      </c>
      <c r="R138" s="200" t="s">
        <v>1119</v>
      </c>
      <c r="S138" s="202" t="s">
        <v>1836</v>
      </c>
      <c r="T138" s="201" t="s">
        <v>1109</v>
      </c>
      <c r="U138" s="203" t="str">
        <f t="shared" si="31"/>
        <v>.</v>
      </c>
      <c r="V138" s="49"/>
      <c r="W138" s="49"/>
    </row>
    <row r="139" spans="1:23" ht="15.75" thickBot="1" x14ac:dyDescent="0.3">
      <c r="A139" s="57" t="s">
        <v>817</v>
      </c>
      <c r="B139" s="76"/>
      <c r="C139" s="76"/>
      <c r="D139" s="76"/>
      <c r="E139" s="192"/>
      <c r="F139" s="193"/>
      <c r="G139" s="194"/>
      <c r="H139" s="56" t="str">
        <f t="shared" si="33"/>
        <v/>
      </c>
      <c r="I139" s="195"/>
      <c r="J139" s="56"/>
      <c r="K139" s="196"/>
      <c r="L139" s="193"/>
      <c r="M139" s="197" t="s">
        <v>1146</v>
      </c>
      <c r="N139" s="202" t="s">
        <v>1837</v>
      </c>
      <c r="O139" s="198" t="s">
        <v>1134</v>
      </c>
      <c r="P139" s="199" t="str">
        <f t="shared" si="30"/>
        <v>.</v>
      </c>
      <c r="Q139" s="193" t="str">
        <f t="shared" si="35"/>
        <v>&lt;</v>
      </c>
      <c r="R139" s="200" t="s">
        <v>1120</v>
      </c>
      <c r="S139" s="202" t="s">
        <v>1837</v>
      </c>
      <c r="T139" s="201" t="s">
        <v>1110</v>
      </c>
      <c r="U139" s="203" t="str">
        <f t="shared" si="31"/>
        <v>.</v>
      </c>
      <c r="V139" s="49"/>
      <c r="W139" s="49"/>
    </row>
    <row r="140" spans="1:23" ht="15.75" thickBot="1" x14ac:dyDescent="0.3">
      <c r="A140" s="57" t="s">
        <v>817</v>
      </c>
      <c r="B140" s="76"/>
      <c r="C140" s="76"/>
      <c r="D140" s="76"/>
      <c r="E140" s="192"/>
      <c r="F140" s="193"/>
      <c r="G140" s="194"/>
      <c r="H140" s="56" t="str">
        <f t="shared" si="33"/>
        <v/>
      </c>
      <c r="I140" s="195"/>
      <c r="J140" s="56"/>
      <c r="K140" s="196"/>
      <c r="L140" s="193"/>
      <c r="M140" s="197" t="s">
        <v>1147</v>
      </c>
      <c r="N140" s="202" t="s">
        <v>1838</v>
      </c>
      <c r="O140" s="198" t="s">
        <v>1135</v>
      </c>
      <c r="P140" s="199" t="str">
        <f t="shared" si="30"/>
        <v>.</v>
      </c>
      <c r="Q140" s="193" t="str">
        <f t="shared" si="35"/>
        <v>&lt;</v>
      </c>
      <c r="R140" s="200" t="s">
        <v>1121</v>
      </c>
      <c r="S140" s="202" t="s">
        <v>1838</v>
      </c>
      <c r="T140" s="201" t="s">
        <v>1111</v>
      </c>
      <c r="U140" s="203" t="str">
        <f t="shared" si="31"/>
        <v>.</v>
      </c>
      <c r="V140" s="49"/>
      <c r="W140" s="49"/>
    </row>
    <row r="141" spans="1:23" ht="15.75" thickBot="1" x14ac:dyDescent="0.3">
      <c r="A141" s="57" t="s">
        <v>817</v>
      </c>
      <c r="B141" s="76"/>
      <c r="C141" s="76"/>
      <c r="D141" s="76"/>
      <c r="E141" s="192"/>
      <c r="F141" s="193"/>
      <c r="G141" s="194"/>
      <c r="H141" s="56" t="str">
        <f t="shared" si="33"/>
        <v/>
      </c>
      <c r="I141" s="195"/>
      <c r="J141" s="56"/>
      <c r="K141" s="196"/>
      <c r="L141" s="193"/>
      <c r="M141" s="197" t="s">
        <v>1148</v>
      </c>
      <c r="N141" s="202" t="s">
        <v>1839</v>
      </c>
      <c r="O141" s="198" t="s">
        <v>1136</v>
      </c>
      <c r="P141" s="199" t="str">
        <f t="shared" si="30"/>
        <v>.</v>
      </c>
      <c r="Q141" s="193" t="str">
        <f t="shared" si="35"/>
        <v>&lt;</v>
      </c>
      <c r="R141" s="200" t="s">
        <v>1122</v>
      </c>
      <c r="S141" s="202" t="s">
        <v>1839</v>
      </c>
      <c r="T141" s="201" t="s">
        <v>1112</v>
      </c>
      <c r="U141" s="203" t="str">
        <f t="shared" si="31"/>
        <v>.</v>
      </c>
      <c r="V141" s="49"/>
      <c r="W141" s="49"/>
    </row>
    <row r="142" spans="1:23" ht="15.75" thickBot="1" x14ac:dyDescent="0.3">
      <c r="A142" s="57" t="s">
        <v>817</v>
      </c>
      <c r="B142" s="76"/>
      <c r="C142" s="76"/>
      <c r="D142" s="76"/>
      <c r="E142" s="192"/>
      <c r="F142" s="193"/>
      <c r="G142" s="194"/>
      <c r="H142" s="56" t="str">
        <f t="shared" si="33"/>
        <v/>
      </c>
      <c r="I142" s="195"/>
      <c r="J142" s="56"/>
      <c r="K142" s="196"/>
      <c r="L142" s="193"/>
      <c r="M142" s="197" t="s">
        <v>1149</v>
      </c>
      <c r="N142" s="202" t="s">
        <v>1840</v>
      </c>
      <c r="O142" s="198" t="s">
        <v>1137</v>
      </c>
      <c r="P142" s="199" t="str">
        <f t="shared" si="30"/>
        <v>.</v>
      </c>
      <c r="Q142" s="193" t="str">
        <f t="shared" si="35"/>
        <v>&lt;</v>
      </c>
      <c r="R142" s="200" t="s">
        <v>1123</v>
      </c>
      <c r="S142" s="202" t="s">
        <v>1840</v>
      </c>
      <c r="T142" s="201" t="s">
        <v>1113</v>
      </c>
      <c r="U142" s="203" t="str">
        <f t="shared" si="31"/>
        <v>.</v>
      </c>
      <c r="V142" s="49"/>
      <c r="W142" s="49"/>
    </row>
    <row r="143" spans="1:23" ht="15.75" thickBot="1" x14ac:dyDescent="0.3">
      <c r="A143" s="57" t="s">
        <v>817</v>
      </c>
      <c r="B143" s="76"/>
      <c r="C143" s="76"/>
      <c r="D143" s="76"/>
      <c r="E143" s="192"/>
      <c r="F143" s="193"/>
      <c r="G143" s="194"/>
      <c r="H143" s="56" t="str">
        <f t="shared" si="33"/>
        <v/>
      </c>
      <c r="I143" s="195"/>
      <c r="J143" s="56"/>
      <c r="K143" s="196"/>
      <c r="L143" s="193"/>
      <c r="M143" s="197" t="s">
        <v>1150</v>
      </c>
      <c r="N143" s="202" t="s">
        <v>1841</v>
      </c>
      <c r="O143" s="198" t="s">
        <v>1138</v>
      </c>
      <c r="P143" s="199" t="str">
        <f t="shared" si="30"/>
        <v>.</v>
      </c>
      <c r="Q143" s="193" t="str">
        <f t="shared" si="35"/>
        <v>&lt;</v>
      </c>
      <c r="R143" s="200" t="s">
        <v>1124</v>
      </c>
      <c r="S143" s="202" t="s">
        <v>1841</v>
      </c>
      <c r="T143" s="201" t="s">
        <v>1114</v>
      </c>
      <c r="U143" s="203" t="str">
        <f t="shared" si="31"/>
        <v>.</v>
      </c>
      <c r="V143" s="49"/>
      <c r="W143" s="49"/>
    </row>
    <row r="144" spans="1:23" ht="15.75" thickBot="1" x14ac:dyDescent="0.3">
      <c r="A144" s="57" t="s">
        <v>817</v>
      </c>
      <c r="B144" s="76"/>
      <c r="C144" s="76"/>
      <c r="D144" s="76"/>
      <c r="E144" s="192"/>
      <c r="F144" s="193"/>
      <c r="G144" s="194"/>
      <c r="H144" s="56" t="str">
        <f t="shared" si="33"/>
        <v/>
      </c>
      <c r="I144" s="195"/>
      <c r="J144" s="56"/>
      <c r="K144" s="196"/>
      <c r="L144" s="193"/>
      <c r="M144" s="197" t="s">
        <v>1151</v>
      </c>
      <c r="N144" s="202" t="s">
        <v>1842</v>
      </c>
      <c r="O144" s="198" t="s">
        <v>1139</v>
      </c>
      <c r="P144" s="199" t="str">
        <f t="shared" si="30"/>
        <v>.</v>
      </c>
      <c r="Q144" s="193" t="str">
        <f t="shared" si="35"/>
        <v>&lt;</v>
      </c>
      <c r="R144" s="200" t="s">
        <v>1125</v>
      </c>
      <c r="S144" s="202" t="s">
        <v>1842</v>
      </c>
      <c r="T144" s="201" t="s">
        <v>1115</v>
      </c>
      <c r="U144" s="203" t="str">
        <f t="shared" si="31"/>
        <v>.</v>
      </c>
      <c r="V144" s="49"/>
      <c r="W144" s="49"/>
    </row>
    <row r="145" spans="1:23" ht="15.75" thickBot="1" x14ac:dyDescent="0.3">
      <c r="A145" s="57" t="s">
        <v>817</v>
      </c>
      <c r="B145" s="76"/>
      <c r="C145" s="76"/>
      <c r="D145" s="76"/>
      <c r="E145" s="192"/>
      <c r="F145" s="193"/>
      <c r="G145" s="194"/>
      <c r="H145" s="56" t="str">
        <f t="shared" si="33"/>
        <v/>
      </c>
      <c r="I145" s="195"/>
      <c r="J145" s="56"/>
      <c r="K145" s="196"/>
      <c r="L145" s="193"/>
      <c r="M145" s="197" t="s">
        <v>1152</v>
      </c>
      <c r="N145" s="202" t="s">
        <v>1843</v>
      </c>
      <c r="O145" s="198" t="s">
        <v>1140</v>
      </c>
      <c r="P145" s="199" t="str">
        <f t="shared" si="30"/>
        <v>.</v>
      </c>
      <c r="Q145" s="193" t="str">
        <f t="shared" si="35"/>
        <v>&lt;</v>
      </c>
      <c r="R145" s="200" t="s">
        <v>1126</v>
      </c>
      <c r="S145" s="202" t="s">
        <v>1843</v>
      </c>
      <c r="T145" s="201" t="s">
        <v>1129</v>
      </c>
      <c r="U145" s="203" t="str">
        <f t="shared" si="31"/>
        <v>.</v>
      </c>
      <c r="V145" s="49"/>
      <c r="W145" s="49"/>
    </row>
    <row r="146" spans="1:23" ht="15.75" thickBot="1" x14ac:dyDescent="0.3">
      <c r="A146" s="57" t="s">
        <v>817</v>
      </c>
      <c r="B146" s="76"/>
      <c r="C146" s="76"/>
      <c r="D146" s="76"/>
      <c r="E146" s="192"/>
      <c r="F146" s="193"/>
      <c r="G146" s="194"/>
      <c r="H146" s="56" t="str">
        <f t="shared" si="33"/>
        <v/>
      </c>
      <c r="I146" s="195"/>
      <c r="J146" s="56"/>
      <c r="K146" s="196"/>
      <c r="L146" s="193"/>
      <c r="M146" s="197" t="s">
        <v>1153</v>
      </c>
      <c r="N146" s="202" t="s">
        <v>1844</v>
      </c>
      <c r="O146" s="198" t="s">
        <v>1141</v>
      </c>
      <c r="P146" s="199" t="str">
        <f t="shared" si="30"/>
        <v>.</v>
      </c>
      <c r="Q146" s="193" t="str">
        <f t="shared" si="35"/>
        <v>&lt;</v>
      </c>
      <c r="R146" s="200" t="s">
        <v>1127</v>
      </c>
      <c r="S146" s="202" t="s">
        <v>1844</v>
      </c>
      <c r="T146" s="201" t="s">
        <v>1130</v>
      </c>
      <c r="U146" s="203" t="str">
        <f t="shared" si="31"/>
        <v>.</v>
      </c>
      <c r="V146" s="49"/>
      <c r="W146" s="49"/>
    </row>
    <row r="147" spans="1:23" ht="15.75" thickBot="1" x14ac:dyDescent="0.3">
      <c r="A147" s="57" t="s">
        <v>817</v>
      </c>
      <c r="B147" s="76"/>
      <c r="C147" s="76"/>
      <c r="D147" s="76"/>
      <c r="E147" s="192"/>
      <c r="F147" s="193"/>
      <c r="G147" s="194"/>
      <c r="H147" s="56" t="str">
        <f t="shared" si="33"/>
        <v/>
      </c>
      <c r="I147" s="195"/>
      <c r="J147" s="56"/>
      <c r="K147" s="196"/>
      <c r="L147" s="193"/>
      <c r="M147" s="197" t="s">
        <v>1154</v>
      </c>
      <c r="N147" s="202" t="s">
        <v>1845</v>
      </c>
      <c r="O147" s="198" t="s">
        <v>1142</v>
      </c>
      <c r="P147" s="199" t="str">
        <f t="shared" si="30"/>
        <v>.</v>
      </c>
      <c r="Q147" s="193" t="str">
        <f t="shared" si="35"/>
        <v>&lt;</v>
      </c>
      <c r="R147" s="200" t="s">
        <v>1128</v>
      </c>
      <c r="S147" s="202" t="s">
        <v>1845</v>
      </c>
      <c r="T147" s="201" t="s">
        <v>1116</v>
      </c>
      <c r="U147" s="203" t="str">
        <f t="shared" si="31"/>
        <v>.</v>
      </c>
      <c r="V147" s="49"/>
      <c r="W147" s="49"/>
    </row>
    <row r="148" spans="1:23" ht="15.75" thickBot="1" x14ac:dyDescent="0.3">
      <c r="A148" s="57" t="s">
        <v>816</v>
      </c>
      <c r="B148" s="77"/>
      <c r="C148" s="77"/>
      <c r="D148" s="77"/>
      <c r="E148" s="87"/>
      <c r="F148" s="170"/>
      <c r="G148" s="121"/>
      <c r="H148" s="85" t="str">
        <f t="shared" si="33"/>
        <v/>
      </c>
      <c r="I148" s="101"/>
      <c r="J148" s="85"/>
      <c r="K148" s="102"/>
      <c r="L148" s="170"/>
      <c r="M148" s="107" t="s">
        <v>908</v>
      </c>
      <c r="N148" s="180" t="s">
        <v>1846</v>
      </c>
      <c r="O148" s="117" t="s">
        <v>1043</v>
      </c>
      <c r="P148" s="109" t="str">
        <f t="shared" si="30"/>
        <v>.</v>
      </c>
      <c r="Q148" s="170" t="str">
        <f>"&gt;"</f>
        <v>&gt;</v>
      </c>
      <c r="R148" s="152" t="s">
        <v>1044</v>
      </c>
      <c r="S148" s="180" t="s">
        <v>1846</v>
      </c>
      <c r="T148" s="204" t="s">
        <v>1045</v>
      </c>
      <c r="U148" s="147" t="str">
        <f t="shared" si="31"/>
        <v>.</v>
      </c>
      <c r="V148" s="49"/>
      <c r="W148" s="49"/>
    </row>
    <row r="149" spans="1:23" ht="15.75" thickBot="1" x14ac:dyDescent="0.3">
      <c r="A149" s="57" t="s">
        <v>816</v>
      </c>
      <c r="B149" s="77"/>
      <c r="C149" s="77"/>
      <c r="D149" s="77"/>
      <c r="E149" s="87"/>
      <c r="F149" s="170"/>
      <c r="G149" s="121"/>
      <c r="H149" s="85" t="str">
        <f t="shared" si="33"/>
        <v/>
      </c>
      <c r="I149" s="101"/>
      <c r="J149" s="85"/>
      <c r="K149" s="102"/>
      <c r="L149" s="170"/>
      <c r="M149" s="107" t="s">
        <v>909</v>
      </c>
      <c r="N149" s="180" t="s">
        <v>1847</v>
      </c>
      <c r="O149" s="117" t="s">
        <v>1046</v>
      </c>
      <c r="P149" s="109" t="str">
        <f t="shared" si="30"/>
        <v>.</v>
      </c>
      <c r="Q149" s="170" t="str">
        <f t="shared" ref="Q149:Q153" si="36">"&gt;"</f>
        <v>&gt;</v>
      </c>
      <c r="R149" s="152" t="s">
        <v>1051</v>
      </c>
      <c r="S149" s="180" t="s">
        <v>1847</v>
      </c>
      <c r="T149" s="204" t="s">
        <v>1056</v>
      </c>
      <c r="U149" s="147" t="str">
        <f t="shared" si="31"/>
        <v>.</v>
      </c>
      <c r="V149" s="49"/>
      <c r="W149" s="49"/>
    </row>
    <row r="150" spans="1:23" ht="15.75" thickBot="1" x14ac:dyDescent="0.3">
      <c r="A150" s="57" t="s">
        <v>816</v>
      </c>
      <c r="B150" s="77"/>
      <c r="C150" s="77"/>
      <c r="D150" s="77"/>
      <c r="E150" s="87"/>
      <c r="F150" s="170"/>
      <c r="G150" s="121"/>
      <c r="H150" s="85" t="str">
        <f t="shared" si="33"/>
        <v/>
      </c>
      <c r="I150" s="101"/>
      <c r="J150" s="85"/>
      <c r="K150" s="102"/>
      <c r="L150" s="170"/>
      <c r="M150" s="107" t="s">
        <v>910</v>
      </c>
      <c r="N150" s="180" t="s">
        <v>1848</v>
      </c>
      <c r="O150" s="117" t="s">
        <v>1047</v>
      </c>
      <c r="P150" s="109" t="str">
        <f t="shared" si="30"/>
        <v>.</v>
      </c>
      <c r="Q150" s="170" t="str">
        <f t="shared" si="36"/>
        <v>&gt;</v>
      </c>
      <c r="R150" s="152" t="s">
        <v>1052</v>
      </c>
      <c r="S150" s="180" t="s">
        <v>1848</v>
      </c>
      <c r="T150" s="204" t="s">
        <v>1057</v>
      </c>
      <c r="U150" s="147" t="str">
        <f t="shared" si="31"/>
        <v>.</v>
      </c>
      <c r="V150" s="49"/>
      <c r="W150" s="49"/>
    </row>
    <row r="151" spans="1:23" ht="15.75" thickBot="1" x14ac:dyDescent="0.3">
      <c r="A151" s="57" t="s">
        <v>816</v>
      </c>
      <c r="B151" s="77"/>
      <c r="C151" s="77"/>
      <c r="D151" s="77"/>
      <c r="E151" s="87"/>
      <c r="F151" s="170"/>
      <c r="G151" s="121"/>
      <c r="H151" s="85" t="str">
        <f t="shared" si="33"/>
        <v/>
      </c>
      <c r="I151" s="101"/>
      <c r="J151" s="85"/>
      <c r="K151" s="102"/>
      <c r="L151" s="170"/>
      <c r="M151" s="107" t="s">
        <v>911</v>
      </c>
      <c r="N151" s="180" t="s">
        <v>1849</v>
      </c>
      <c r="O151" s="117" t="s">
        <v>1048</v>
      </c>
      <c r="P151" s="109" t="str">
        <f t="shared" si="30"/>
        <v>.</v>
      </c>
      <c r="Q151" s="170" t="str">
        <f t="shared" si="36"/>
        <v>&gt;</v>
      </c>
      <c r="R151" s="152" t="s">
        <v>1053</v>
      </c>
      <c r="S151" s="180" t="s">
        <v>1849</v>
      </c>
      <c r="T151" s="204" t="s">
        <v>1058</v>
      </c>
      <c r="U151" s="147" t="str">
        <f t="shared" si="31"/>
        <v>.</v>
      </c>
      <c r="V151" s="49"/>
      <c r="W151" s="49"/>
    </row>
    <row r="152" spans="1:23" ht="15.75" thickBot="1" x14ac:dyDescent="0.3">
      <c r="A152" s="57" t="s">
        <v>816</v>
      </c>
      <c r="B152" s="77"/>
      <c r="C152" s="77"/>
      <c r="D152" s="77"/>
      <c r="E152" s="87"/>
      <c r="F152" s="170"/>
      <c r="G152" s="121"/>
      <c r="H152" s="85" t="str">
        <f t="shared" si="33"/>
        <v/>
      </c>
      <c r="I152" s="101"/>
      <c r="J152" s="85"/>
      <c r="K152" s="102"/>
      <c r="L152" s="170"/>
      <c r="M152" s="107" t="s">
        <v>912</v>
      </c>
      <c r="N152" s="180" t="s">
        <v>1850</v>
      </c>
      <c r="O152" s="117" t="s">
        <v>1049</v>
      </c>
      <c r="P152" s="109" t="str">
        <f t="shared" si="30"/>
        <v>.</v>
      </c>
      <c r="Q152" s="170" t="str">
        <f t="shared" si="36"/>
        <v>&gt;</v>
      </c>
      <c r="R152" s="152" t="s">
        <v>1054</v>
      </c>
      <c r="S152" s="180" t="s">
        <v>1850</v>
      </c>
      <c r="T152" s="204" t="s">
        <v>1059</v>
      </c>
      <c r="U152" s="147" t="str">
        <f t="shared" si="31"/>
        <v>.</v>
      </c>
      <c r="V152" s="49"/>
      <c r="W152" s="49"/>
    </row>
    <row r="153" spans="1:23" ht="15.75" thickBot="1" x14ac:dyDescent="0.3">
      <c r="A153" s="57" t="s">
        <v>816</v>
      </c>
      <c r="B153" s="77"/>
      <c r="C153" s="77"/>
      <c r="D153" s="77"/>
      <c r="E153" s="87"/>
      <c r="F153" s="170"/>
      <c r="G153" s="121"/>
      <c r="H153" s="85" t="str">
        <f t="shared" si="33"/>
        <v/>
      </c>
      <c r="I153" s="101"/>
      <c r="J153" s="85"/>
      <c r="K153" s="102"/>
      <c r="L153" s="170"/>
      <c r="M153" s="107" t="s">
        <v>913</v>
      </c>
      <c r="N153" s="180" t="s">
        <v>1851</v>
      </c>
      <c r="O153" s="117" t="s">
        <v>1050</v>
      </c>
      <c r="P153" s="109" t="str">
        <f t="shared" ref="P153:P184" si="37">IF(MID(O153,1,3)="CH.",VALUE(MID(O153,4,2))+0,".")</f>
        <v>.</v>
      </c>
      <c r="Q153" s="170" t="str">
        <f t="shared" si="36"/>
        <v>&gt;</v>
      </c>
      <c r="R153" s="152" t="s">
        <v>1055</v>
      </c>
      <c r="S153" s="180" t="s">
        <v>1851</v>
      </c>
      <c r="T153" s="204" t="s">
        <v>1060</v>
      </c>
      <c r="U153" s="147" t="str">
        <f t="shared" si="31"/>
        <v>.</v>
      </c>
      <c r="V153" s="49"/>
      <c r="W153" s="49"/>
    </row>
    <row r="154" spans="1:23" ht="15.75" thickBot="1" x14ac:dyDescent="0.3">
      <c r="A154" s="57" t="s">
        <v>816</v>
      </c>
      <c r="B154" s="95"/>
      <c r="C154" s="95" t="s">
        <v>746</v>
      </c>
      <c r="D154" s="95" t="s">
        <v>754</v>
      </c>
      <c r="E154" s="92" t="s">
        <v>1328</v>
      </c>
      <c r="G154" s="121"/>
      <c r="H154" s="85" t="str">
        <f t="shared" si="33"/>
        <v/>
      </c>
      <c r="I154" s="101"/>
      <c r="J154" s="85"/>
      <c r="K154" s="102"/>
      <c r="M154" s="54"/>
      <c r="N154" s="178" t="str">
        <f t="shared" ref="N154:N185" si="38">IF(MID(O154,1,3)="CH.",$E154,"")</f>
        <v/>
      </c>
      <c r="O154" s="115"/>
      <c r="P154" s="110" t="str">
        <f t="shared" si="37"/>
        <v>.</v>
      </c>
      <c r="R154" s="154" t="s">
        <v>951</v>
      </c>
      <c r="S154" s="186" t="str">
        <f t="shared" ref="S154:S185" si="39">IF(MID(T154,1,3)="CH.",$E154,"")</f>
        <v/>
      </c>
      <c r="T154" s="153"/>
      <c r="U154" s="147" t="str">
        <f t="shared" si="31"/>
        <v>.</v>
      </c>
      <c r="V154" s="49"/>
      <c r="W154" s="49"/>
    </row>
    <row r="155" spans="1:23" ht="15.75" thickBot="1" x14ac:dyDescent="0.3">
      <c r="A155" s="57" t="s">
        <v>816</v>
      </c>
      <c r="B155" s="95"/>
      <c r="C155" s="95" t="s">
        <v>747</v>
      </c>
      <c r="D155" s="95" t="s">
        <v>759</v>
      </c>
      <c r="E155" s="92" t="s">
        <v>1329</v>
      </c>
      <c r="G155" s="121"/>
      <c r="H155" s="85" t="str">
        <f t="shared" si="33"/>
        <v/>
      </c>
      <c r="I155" s="101"/>
      <c r="J155" s="85"/>
      <c r="K155" s="102"/>
      <c r="M155" s="54"/>
      <c r="N155" s="178" t="str">
        <f t="shared" si="38"/>
        <v/>
      </c>
      <c r="O155" s="115"/>
      <c r="P155" s="110" t="str">
        <f t="shared" si="37"/>
        <v>.</v>
      </c>
      <c r="R155" s="154" t="s">
        <v>952</v>
      </c>
      <c r="S155" s="186" t="str">
        <f t="shared" si="39"/>
        <v/>
      </c>
      <c r="T155" s="153"/>
      <c r="U155" s="147" t="str">
        <f t="shared" si="31"/>
        <v>.</v>
      </c>
      <c r="V155" s="49"/>
      <c r="W155" s="49"/>
    </row>
    <row r="156" spans="1:23" ht="15.75" thickBot="1" x14ac:dyDescent="0.3">
      <c r="A156" s="57" t="s">
        <v>816</v>
      </c>
      <c r="B156" s="95"/>
      <c r="C156" s="95" t="s">
        <v>748</v>
      </c>
      <c r="D156" s="95" t="s">
        <v>755</v>
      </c>
      <c r="E156" s="92" t="s">
        <v>1330</v>
      </c>
      <c r="G156" s="121"/>
      <c r="H156" s="85" t="str">
        <f t="shared" si="33"/>
        <v/>
      </c>
      <c r="I156" s="101"/>
      <c r="J156" s="85"/>
      <c r="K156" s="102"/>
      <c r="M156" s="54"/>
      <c r="N156" s="178" t="str">
        <f t="shared" si="38"/>
        <v/>
      </c>
      <c r="O156" s="115"/>
      <c r="P156" s="110" t="str">
        <f t="shared" si="37"/>
        <v>.</v>
      </c>
      <c r="R156" s="154" t="s">
        <v>953</v>
      </c>
      <c r="S156" s="186" t="str">
        <f t="shared" si="39"/>
        <v/>
      </c>
      <c r="T156" s="153"/>
      <c r="U156" s="147" t="str">
        <f t="shared" si="31"/>
        <v>.</v>
      </c>
      <c r="V156" s="49"/>
      <c r="W156" s="49"/>
    </row>
    <row r="157" spans="1:23" ht="15.75" thickBot="1" x14ac:dyDescent="0.3">
      <c r="A157" s="57" t="s">
        <v>816</v>
      </c>
      <c r="B157" s="95"/>
      <c r="C157" s="95" t="s">
        <v>749</v>
      </c>
      <c r="D157" s="95" t="s">
        <v>756</v>
      </c>
      <c r="E157" s="92" t="s">
        <v>1331</v>
      </c>
      <c r="G157" s="121"/>
      <c r="H157" s="85" t="str">
        <f t="shared" si="33"/>
        <v/>
      </c>
      <c r="I157" s="101"/>
      <c r="J157" s="85"/>
      <c r="K157" s="102"/>
      <c r="M157" s="54"/>
      <c r="N157" s="178" t="str">
        <f t="shared" si="38"/>
        <v/>
      </c>
      <c r="O157" s="115"/>
      <c r="P157" s="110" t="str">
        <f t="shared" si="37"/>
        <v>.</v>
      </c>
      <c r="R157" s="154" t="s">
        <v>954</v>
      </c>
      <c r="S157" s="186" t="str">
        <f t="shared" si="39"/>
        <v/>
      </c>
      <c r="T157" s="153"/>
      <c r="U157" s="147" t="str">
        <f t="shared" si="31"/>
        <v>.</v>
      </c>
      <c r="V157" s="49"/>
      <c r="W157" s="49"/>
    </row>
    <row r="158" spans="1:23" ht="15.75" thickBot="1" x14ac:dyDescent="0.3">
      <c r="A158" s="57"/>
      <c r="B158" s="95"/>
      <c r="C158" s="95"/>
      <c r="D158" s="95"/>
      <c r="E158" s="87"/>
      <c r="G158" s="121"/>
      <c r="H158" s="85" t="str">
        <f t="shared" si="33"/>
        <v/>
      </c>
      <c r="I158" s="101"/>
      <c r="J158" s="85"/>
      <c r="K158" s="102"/>
      <c r="M158" s="54"/>
      <c r="N158" s="178" t="str">
        <f t="shared" si="38"/>
        <v/>
      </c>
      <c r="O158" s="115"/>
      <c r="P158" s="110" t="str">
        <f t="shared" si="37"/>
        <v>.</v>
      </c>
      <c r="R158" s="154" t="s">
        <v>955</v>
      </c>
      <c r="S158" s="186" t="str">
        <f t="shared" si="39"/>
        <v/>
      </c>
      <c r="T158" s="153"/>
      <c r="U158" s="147" t="str">
        <f t="shared" si="31"/>
        <v>.</v>
      </c>
      <c r="V158" s="49"/>
      <c r="W158" s="49"/>
    </row>
    <row r="159" spans="1:23" ht="15.75" thickBot="1" x14ac:dyDescent="0.3">
      <c r="A159" s="57"/>
      <c r="B159" s="95"/>
      <c r="C159" s="95"/>
      <c r="D159" s="95"/>
      <c r="E159" s="87"/>
      <c r="G159" s="121"/>
      <c r="H159" s="85" t="str">
        <f t="shared" si="33"/>
        <v/>
      </c>
      <c r="I159" s="101"/>
      <c r="J159" s="85"/>
      <c r="K159" s="102"/>
      <c r="M159" s="54"/>
      <c r="N159" s="178" t="str">
        <f t="shared" si="38"/>
        <v/>
      </c>
      <c r="O159" s="115"/>
      <c r="P159" s="110" t="str">
        <f t="shared" si="37"/>
        <v>.</v>
      </c>
      <c r="R159" s="154" t="s">
        <v>956</v>
      </c>
      <c r="S159" s="186" t="str">
        <f t="shared" si="39"/>
        <v/>
      </c>
      <c r="T159" s="153"/>
      <c r="U159" s="147" t="str">
        <f t="shared" si="31"/>
        <v>.</v>
      </c>
      <c r="V159" s="49"/>
      <c r="W159" s="49"/>
    </row>
    <row r="160" spans="1:23" ht="15.75" thickBot="1" x14ac:dyDescent="0.3">
      <c r="A160" s="57"/>
      <c r="B160" s="95"/>
      <c r="C160" s="95"/>
      <c r="D160" s="95"/>
      <c r="E160" s="87"/>
      <c r="G160" s="121"/>
      <c r="H160" s="85" t="str">
        <f t="shared" si="33"/>
        <v/>
      </c>
      <c r="I160" s="101"/>
      <c r="J160" s="85"/>
      <c r="K160" s="102"/>
      <c r="M160" s="54"/>
      <c r="N160" s="178" t="str">
        <f t="shared" si="38"/>
        <v/>
      </c>
      <c r="O160" s="115"/>
      <c r="P160" s="110" t="str">
        <f t="shared" si="37"/>
        <v>.</v>
      </c>
      <c r="R160" s="154" t="s">
        <v>957</v>
      </c>
      <c r="S160" s="186" t="str">
        <f t="shared" si="39"/>
        <v/>
      </c>
      <c r="T160" s="153"/>
      <c r="U160" s="147" t="str">
        <f t="shared" si="31"/>
        <v>.</v>
      </c>
      <c r="V160" s="49"/>
      <c r="W160" s="49"/>
    </row>
    <row r="161" spans="1:23" ht="15.75" thickBot="1" x14ac:dyDescent="0.3">
      <c r="A161" s="57"/>
      <c r="B161" s="95"/>
      <c r="C161" s="95"/>
      <c r="D161" s="95"/>
      <c r="E161" s="87"/>
      <c r="G161" s="121"/>
      <c r="H161" s="85" t="str">
        <f t="shared" si="33"/>
        <v/>
      </c>
      <c r="I161" s="101"/>
      <c r="J161" s="85"/>
      <c r="K161" s="102"/>
      <c r="M161" s="54"/>
      <c r="N161" s="178" t="str">
        <f t="shared" si="38"/>
        <v/>
      </c>
      <c r="O161" s="115"/>
      <c r="P161" s="110" t="str">
        <f t="shared" si="37"/>
        <v>.</v>
      </c>
      <c r="R161" s="154" t="s">
        <v>958</v>
      </c>
      <c r="S161" s="186" t="str">
        <f t="shared" si="39"/>
        <v/>
      </c>
      <c r="T161" s="153"/>
      <c r="U161" s="147" t="str">
        <f t="shared" ref="U161:U192" si="40">IF(MID(T161,1,3)="CH.",VALUE(MID(T161,4,2))+48,".")</f>
        <v>.</v>
      </c>
      <c r="V161" s="49"/>
      <c r="W161" s="49"/>
    </row>
    <row r="162" spans="1:23" ht="15.75" thickBot="1" x14ac:dyDescent="0.3">
      <c r="A162" s="57"/>
      <c r="B162" s="95"/>
      <c r="C162" s="95"/>
      <c r="D162" s="95"/>
      <c r="E162" s="87"/>
      <c r="G162" s="121"/>
      <c r="H162" s="85" t="str">
        <f t="shared" si="33"/>
        <v/>
      </c>
      <c r="I162" s="101"/>
      <c r="J162" s="85"/>
      <c r="K162" s="102"/>
      <c r="M162" s="54"/>
      <c r="N162" s="178" t="str">
        <f t="shared" si="38"/>
        <v/>
      </c>
      <c r="O162" s="115"/>
      <c r="P162" s="110" t="str">
        <f t="shared" si="37"/>
        <v>.</v>
      </c>
      <c r="R162" s="154" t="s">
        <v>959</v>
      </c>
      <c r="S162" s="186" t="str">
        <f t="shared" si="39"/>
        <v/>
      </c>
      <c r="T162" s="153"/>
      <c r="U162" s="147" t="str">
        <f t="shared" si="40"/>
        <v>.</v>
      </c>
      <c r="V162" s="49"/>
      <c r="W162" s="49"/>
    </row>
    <row r="163" spans="1:23" ht="15.75" thickBot="1" x14ac:dyDescent="0.3">
      <c r="A163" s="57"/>
      <c r="B163" s="95"/>
      <c r="C163" s="95"/>
      <c r="D163" s="95"/>
      <c r="E163" s="87"/>
      <c r="G163" s="121"/>
      <c r="H163" s="85" t="str">
        <f t="shared" si="33"/>
        <v/>
      </c>
      <c r="I163" s="101"/>
      <c r="J163" s="85"/>
      <c r="K163" s="102"/>
      <c r="M163" s="54"/>
      <c r="N163" s="178" t="str">
        <f t="shared" si="38"/>
        <v/>
      </c>
      <c r="O163" s="115"/>
      <c r="P163" s="110" t="str">
        <f t="shared" si="37"/>
        <v>.</v>
      </c>
      <c r="R163" s="154" t="s">
        <v>960</v>
      </c>
      <c r="S163" s="186" t="str">
        <f t="shared" si="39"/>
        <v/>
      </c>
      <c r="T163" s="153"/>
      <c r="U163" s="147" t="str">
        <f t="shared" si="40"/>
        <v>.</v>
      </c>
      <c r="V163" s="49"/>
      <c r="W163" s="49"/>
    </row>
    <row r="164" spans="1:23" ht="15.75" thickBot="1" x14ac:dyDescent="0.3">
      <c r="A164" s="57"/>
      <c r="B164" s="95"/>
      <c r="C164" s="95"/>
      <c r="D164" s="95"/>
      <c r="E164" s="87"/>
      <c r="G164" s="121"/>
      <c r="H164" s="85" t="str">
        <f t="shared" si="33"/>
        <v/>
      </c>
      <c r="I164" s="101"/>
      <c r="J164" s="85"/>
      <c r="K164" s="102"/>
      <c r="M164" s="54"/>
      <c r="N164" s="178" t="str">
        <f t="shared" si="38"/>
        <v/>
      </c>
      <c r="O164" s="115"/>
      <c r="P164" s="110" t="str">
        <f t="shared" si="37"/>
        <v>.</v>
      </c>
      <c r="R164" s="154" t="s">
        <v>961</v>
      </c>
      <c r="S164" s="186" t="str">
        <f t="shared" si="39"/>
        <v/>
      </c>
      <c r="T164" s="153"/>
      <c r="U164" s="147" t="str">
        <f t="shared" si="40"/>
        <v>.</v>
      </c>
      <c r="V164" s="49"/>
      <c r="W164" s="49"/>
    </row>
    <row r="165" spans="1:23" ht="15.75" thickBot="1" x14ac:dyDescent="0.3">
      <c r="A165" s="57"/>
      <c r="B165" s="95"/>
      <c r="C165" s="95"/>
      <c r="D165" s="95"/>
      <c r="E165" s="87"/>
      <c r="G165" s="121"/>
      <c r="H165" s="85" t="str">
        <f t="shared" si="33"/>
        <v/>
      </c>
      <c r="I165" s="101"/>
      <c r="J165" s="85"/>
      <c r="K165" s="102"/>
      <c r="M165" s="54"/>
      <c r="N165" s="178" t="str">
        <f t="shared" si="38"/>
        <v/>
      </c>
      <c r="O165" s="115"/>
      <c r="P165" s="110" t="str">
        <f t="shared" si="37"/>
        <v>.</v>
      </c>
      <c r="R165" s="154" t="s">
        <v>962</v>
      </c>
      <c r="S165" s="186" t="str">
        <f t="shared" si="39"/>
        <v/>
      </c>
      <c r="T165" s="153"/>
      <c r="U165" s="147" t="str">
        <f t="shared" si="40"/>
        <v>.</v>
      </c>
      <c r="V165" s="49"/>
      <c r="W165" s="49"/>
    </row>
    <row r="166" spans="1:23" ht="15.75" thickBot="1" x14ac:dyDescent="0.3">
      <c r="A166" s="57"/>
      <c r="B166" s="95"/>
      <c r="C166" s="95"/>
      <c r="D166" s="95"/>
      <c r="E166" s="87"/>
      <c r="G166" s="121"/>
      <c r="H166" s="85" t="str">
        <f t="shared" si="33"/>
        <v/>
      </c>
      <c r="I166" s="101"/>
      <c r="J166" s="85"/>
      <c r="K166" s="102"/>
      <c r="M166" s="54"/>
      <c r="N166" s="178" t="str">
        <f t="shared" si="38"/>
        <v/>
      </c>
      <c r="O166" s="115"/>
      <c r="P166" s="110" t="str">
        <f t="shared" si="37"/>
        <v>.</v>
      </c>
      <c r="R166" s="154" t="s">
        <v>963</v>
      </c>
      <c r="S166" s="186" t="str">
        <f t="shared" si="39"/>
        <v/>
      </c>
      <c r="T166" s="153"/>
      <c r="U166" s="147" t="str">
        <f t="shared" si="40"/>
        <v>.</v>
      </c>
      <c r="V166" s="49"/>
      <c r="W166" s="49"/>
    </row>
    <row r="167" spans="1:23" ht="15.75" thickBot="1" x14ac:dyDescent="0.3">
      <c r="A167" s="57"/>
      <c r="B167" s="95"/>
      <c r="C167" s="95"/>
      <c r="D167" s="95"/>
      <c r="E167" s="87"/>
      <c r="G167" s="121"/>
      <c r="H167" s="85" t="str">
        <f t="shared" si="33"/>
        <v/>
      </c>
      <c r="I167" s="101"/>
      <c r="J167" s="85"/>
      <c r="K167" s="102"/>
      <c r="M167" s="54"/>
      <c r="N167" s="178" t="str">
        <f t="shared" si="38"/>
        <v/>
      </c>
      <c r="O167" s="115"/>
      <c r="P167" s="110" t="str">
        <f t="shared" si="37"/>
        <v>.</v>
      </c>
      <c r="R167" s="154" t="s">
        <v>964</v>
      </c>
      <c r="S167" s="186" t="str">
        <f t="shared" si="39"/>
        <v/>
      </c>
      <c r="T167" s="153"/>
      <c r="U167" s="147" t="str">
        <f t="shared" si="40"/>
        <v>.</v>
      </c>
      <c r="V167" s="49"/>
      <c r="W167" s="49"/>
    </row>
    <row r="168" spans="1:23" ht="15.75" thickBot="1" x14ac:dyDescent="0.3">
      <c r="A168" s="57"/>
      <c r="B168" s="95"/>
      <c r="C168" s="95"/>
      <c r="D168" s="95"/>
      <c r="E168" s="87"/>
      <c r="G168" s="121"/>
      <c r="H168" s="85" t="str">
        <f t="shared" si="33"/>
        <v/>
      </c>
      <c r="I168" s="101"/>
      <c r="J168" s="85"/>
      <c r="K168" s="102"/>
      <c r="M168" s="54"/>
      <c r="N168" s="178" t="str">
        <f t="shared" si="38"/>
        <v/>
      </c>
      <c r="O168" s="115"/>
      <c r="P168" s="110" t="str">
        <f t="shared" si="37"/>
        <v>.</v>
      </c>
      <c r="R168" s="154" t="s">
        <v>965</v>
      </c>
      <c r="S168" s="186" t="str">
        <f t="shared" si="39"/>
        <v/>
      </c>
      <c r="T168" s="153"/>
      <c r="U168" s="147" t="str">
        <f t="shared" si="40"/>
        <v>.</v>
      </c>
      <c r="V168" s="49"/>
      <c r="W168" s="49"/>
    </row>
    <row r="169" spans="1:23" ht="15.75" thickBot="1" x14ac:dyDescent="0.3">
      <c r="A169" s="57"/>
      <c r="B169" s="95"/>
      <c r="C169" s="95"/>
      <c r="D169" s="95"/>
      <c r="E169" s="87"/>
      <c r="G169" s="121"/>
      <c r="H169" s="85" t="str">
        <f t="shared" si="33"/>
        <v/>
      </c>
      <c r="I169" s="101"/>
      <c r="J169" s="85"/>
      <c r="K169" s="102"/>
      <c r="M169" s="54"/>
      <c r="N169" s="178" t="str">
        <f t="shared" si="38"/>
        <v/>
      </c>
      <c r="O169" s="115"/>
      <c r="P169" s="110" t="str">
        <f t="shared" si="37"/>
        <v>.</v>
      </c>
      <c r="R169" s="154" t="s">
        <v>966</v>
      </c>
      <c r="S169" s="186" t="str">
        <f t="shared" si="39"/>
        <v/>
      </c>
      <c r="T169" s="153"/>
      <c r="U169" s="147" t="str">
        <f t="shared" si="40"/>
        <v>.</v>
      </c>
      <c r="V169" s="49"/>
      <c r="W169" s="49"/>
    </row>
    <row r="170" spans="1:23" ht="15.75" thickBot="1" x14ac:dyDescent="0.3">
      <c r="A170" s="57"/>
      <c r="B170" s="95"/>
      <c r="C170" s="95"/>
      <c r="D170" s="95"/>
      <c r="E170" s="87"/>
      <c r="G170" s="121"/>
      <c r="H170" s="85" t="str">
        <f t="shared" si="33"/>
        <v/>
      </c>
      <c r="I170" s="101"/>
      <c r="J170" s="85"/>
      <c r="K170" s="102"/>
      <c r="M170" s="54"/>
      <c r="N170" s="178" t="str">
        <f t="shared" si="38"/>
        <v/>
      </c>
      <c r="O170" s="115"/>
      <c r="P170" s="110" t="str">
        <f t="shared" si="37"/>
        <v>.</v>
      </c>
      <c r="R170" s="154" t="s">
        <v>967</v>
      </c>
      <c r="S170" s="186" t="str">
        <f t="shared" si="39"/>
        <v/>
      </c>
      <c r="T170" s="153"/>
      <c r="U170" s="147" t="str">
        <f t="shared" si="40"/>
        <v>.</v>
      </c>
      <c r="V170" s="49"/>
      <c r="W170" s="49"/>
    </row>
    <row r="171" spans="1:23" ht="15.75" thickBot="1" x14ac:dyDescent="0.3">
      <c r="A171" s="57"/>
      <c r="B171" s="95"/>
      <c r="C171" s="95"/>
      <c r="D171" s="95"/>
      <c r="E171" s="87"/>
      <c r="G171" s="121"/>
      <c r="H171" s="85" t="str">
        <f t="shared" si="33"/>
        <v/>
      </c>
      <c r="I171" s="101"/>
      <c r="J171" s="85"/>
      <c r="K171" s="102"/>
      <c r="M171" s="54"/>
      <c r="N171" s="178" t="str">
        <f t="shared" si="38"/>
        <v/>
      </c>
      <c r="O171" s="115"/>
      <c r="P171" s="110" t="str">
        <f t="shared" si="37"/>
        <v>.</v>
      </c>
      <c r="R171" s="154" t="s">
        <v>968</v>
      </c>
      <c r="S171" s="186" t="str">
        <f t="shared" si="39"/>
        <v/>
      </c>
      <c r="T171" s="153"/>
      <c r="U171" s="147" t="str">
        <f t="shared" si="40"/>
        <v>.</v>
      </c>
      <c r="V171" s="49"/>
      <c r="W171" s="49"/>
    </row>
    <row r="172" spans="1:23" ht="15.75" thickBot="1" x14ac:dyDescent="0.3">
      <c r="A172" s="57"/>
      <c r="B172" s="95"/>
      <c r="C172" s="95"/>
      <c r="D172" s="95"/>
      <c r="E172" s="87"/>
      <c r="G172" s="121"/>
      <c r="H172" s="85" t="str">
        <f t="shared" si="33"/>
        <v/>
      </c>
      <c r="I172" s="101"/>
      <c r="J172" s="85"/>
      <c r="K172" s="102"/>
      <c r="M172" s="54"/>
      <c r="N172" s="178" t="str">
        <f t="shared" si="38"/>
        <v/>
      </c>
      <c r="O172" s="115"/>
      <c r="P172" s="110" t="str">
        <f t="shared" si="37"/>
        <v>.</v>
      </c>
      <c r="R172" s="154" t="s">
        <v>969</v>
      </c>
      <c r="S172" s="186" t="str">
        <f t="shared" si="39"/>
        <v/>
      </c>
      <c r="T172" s="153"/>
      <c r="U172" s="147" t="str">
        <f t="shared" si="40"/>
        <v>.</v>
      </c>
      <c r="V172" s="49"/>
      <c r="W172" s="49"/>
    </row>
    <row r="173" spans="1:23" ht="15.75" thickBot="1" x14ac:dyDescent="0.3">
      <c r="A173" s="57"/>
      <c r="B173" s="95"/>
      <c r="C173" s="95"/>
      <c r="D173" s="95"/>
      <c r="E173" s="87"/>
      <c r="G173" s="121"/>
      <c r="H173" s="85" t="str">
        <f t="shared" si="33"/>
        <v/>
      </c>
      <c r="I173" s="101"/>
      <c r="J173" s="85"/>
      <c r="K173" s="102"/>
      <c r="M173" s="54"/>
      <c r="N173" s="178" t="str">
        <f t="shared" si="38"/>
        <v/>
      </c>
      <c r="O173" s="115"/>
      <c r="P173" s="110" t="str">
        <f t="shared" si="37"/>
        <v>.</v>
      </c>
      <c r="R173" s="154" t="s">
        <v>970</v>
      </c>
      <c r="S173" s="186" t="str">
        <f t="shared" si="39"/>
        <v/>
      </c>
      <c r="T173" s="153"/>
      <c r="U173" s="147" t="str">
        <f t="shared" si="40"/>
        <v>.</v>
      </c>
      <c r="V173" s="49"/>
      <c r="W173" s="49"/>
    </row>
    <row r="174" spans="1:23" ht="15.75" thickBot="1" x14ac:dyDescent="0.3">
      <c r="A174" s="57"/>
      <c r="B174" s="95"/>
      <c r="C174" s="95"/>
      <c r="D174" s="95"/>
      <c r="E174" s="87"/>
      <c r="G174" s="121"/>
      <c r="H174" s="85" t="str">
        <f t="shared" si="33"/>
        <v/>
      </c>
      <c r="I174" s="101"/>
      <c r="J174" s="85"/>
      <c r="K174" s="102"/>
      <c r="M174" s="54"/>
      <c r="N174" s="178" t="str">
        <f t="shared" si="38"/>
        <v/>
      </c>
      <c r="O174" s="115"/>
      <c r="P174" s="110" t="str">
        <f t="shared" si="37"/>
        <v>.</v>
      </c>
      <c r="R174" s="154" t="s">
        <v>971</v>
      </c>
      <c r="S174" s="186" t="str">
        <f t="shared" si="39"/>
        <v/>
      </c>
      <c r="T174" s="153"/>
      <c r="U174" s="147" t="str">
        <f t="shared" si="40"/>
        <v>.</v>
      </c>
      <c r="V174" s="49"/>
      <c r="W174" s="49"/>
    </row>
    <row r="175" spans="1:23" ht="15.75" thickBot="1" x14ac:dyDescent="0.3">
      <c r="A175" s="57"/>
      <c r="B175" s="95"/>
      <c r="C175" s="95"/>
      <c r="D175" s="95"/>
      <c r="E175" s="87"/>
      <c r="G175" s="121"/>
      <c r="H175" s="85" t="str">
        <f t="shared" si="33"/>
        <v/>
      </c>
      <c r="I175" s="101"/>
      <c r="J175" s="85"/>
      <c r="K175" s="102"/>
      <c r="M175" s="54"/>
      <c r="N175" s="178" t="str">
        <f t="shared" si="38"/>
        <v/>
      </c>
      <c r="O175" s="115"/>
      <c r="P175" s="110" t="str">
        <f t="shared" si="37"/>
        <v>.</v>
      </c>
      <c r="R175" s="154" t="s">
        <v>972</v>
      </c>
      <c r="S175" s="186" t="str">
        <f t="shared" si="39"/>
        <v/>
      </c>
      <c r="T175" s="153"/>
      <c r="U175" s="147" t="str">
        <f t="shared" si="40"/>
        <v>.</v>
      </c>
      <c r="V175" s="49"/>
      <c r="W175" s="49"/>
    </row>
    <row r="176" spans="1:23" ht="15.75" thickBot="1" x14ac:dyDescent="0.3">
      <c r="A176" s="57"/>
      <c r="B176" s="95"/>
      <c r="C176" s="95"/>
      <c r="D176" s="95"/>
      <c r="E176" s="87"/>
      <c r="G176" s="121"/>
      <c r="H176" s="85" t="str">
        <f t="shared" si="33"/>
        <v/>
      </c>
      <c r="I176" s="101"/>
      <c r="J176" s="85"/>
      <c r="K176" s="102"/>
      <c r="M176" s="54"/>
      <c r="N176" s="178" t="str">
        <f t="shared" si="38"/>
        <v/>
      </c>
      <c r="O176" s="115"/>
      <c r="P176" s="110" t="str">
        <f t="shared" si="37"/>
        <v>.</v>
      </c>
      <c r="R176" s="154" t="s">
        <v>973</v>
      </c>
      <c r="S176" s="186" t="str">
        <f t="shared" si="39"/>
        <v/>
      </c>
      <c r="T176" s="153"/>
      <c r="U176" s="147" t="str">
        <f t="shared" si="40"/>
        <v>.</v>
      </c>
      <c r="V176" s="49"/>
      <c r="W176" s="49"/>
    </row>
    <row r="177" spans="1:23" ht="15.75" thickBot="1" x14ac:dyDescent="0.3">
      <c r="A177" s="57"/>
      <c r="B177" s="95"/>
      <c r="C177" s="95"/>
      <c r="D177" s="95"/>
      <c r="E177" s="87"/>
      <c r="G177" s="121"/>
      <c r="H177" s="85" t="str">
        <f t="shared" si="33"/>
        <v/>
      </c>
      <c r="I177" s="101"/>
      <c r="J177" s="85"/>
      <c r="K177" s="102"/>
      <c r="M177" s="54"/>
      <c r="N177" s="178" t="str">
        <f t="shared" si="38"/>
        <v/>
      </c>
      <c r="O177" s="115"/>
      <c r="P177" s="110" t="str">
        <f t="shared" si="37"/>
        <v>.</v>
      </c>
      <c r="R177" s="154" t="s">
        <v>974</v>
      </c>
      <c r="S177" s="186" t="str">
        <f t="shared" si="39"/>
        <v/>
      </c>
      <c r="T177" s="153"/>
      <c r="U177" s="147" t="str">
        <f t="shared" si="40"/>
        <v>.</v>
      </c>
      <c r="V177" s="49"/>
      <c r="W177" s="49"/>
    </row>
    <row r="178" spans="1:23" ht="15.75" thickBot="1" x14ac:dyDescent="0.3">
      <c r="A178" s="57"/>
      <c r="B178" s="95"/>
      <c r="C178" s="95"/>
      <c r="D178" s="95"/>
      <c r="E178" s="87"/>
      <c r="G178" s="121"/>
      <c r="H178" s="85" t="str">
        <f t="shared" si="33"/>
        <v/>
      </c>
      <c r="I178" s="101"/>
      <c r="J178" s="85"/>
      <c r="K178" s="102"/>
      <c r="M178" s="54"/>
      <c r="N178" s="178" t="str">
        <f t="shared" si="38"/>
        <v/>
      </c>
      <c r="O178" s="115"/>
      <c r="P178" s="110" t="str">
        <f t="shared" si="37"/>
        <v>.</v>
      </c>
      <c r="R178" s="154" t="s">
        <v>831</v>
      </c>
      <c r="S178" s="186" t="str">
        <f t="shared" si="39"/>
        <v/>
      </c>
      <c r="T178" s="153"/>
      <c r="U178" s="147" t="str">
        <f t="shared" si="40"/>
        <v>.</v>
      </c>
      <c r="V178" s="49"/>
      <c r="W178" s="49"/>
    </row>
    <row r="179" spans="1:23" ht="15.75" thickBot="1" x14ac:dyDescent="0.3">
      <c r="A179" s="57"/>
      <c r="B179" s="95"/>
      <c r="C179" s="95"/>
      <c r="D179" s="95"/>
      <c r="E179" s="87"/>
      <c r="G179" s="121"/>
      <c r="H179" s="85" t="str">
        <f t="shared" si="33"/>
        <v/>
      </c>
      <c r="I179" s="101"/>
      <c r="J179" s="85"/>
      <c r="K179" s="102"/>
      <c r="M179" s="54"/>
      <c r="N179" s="178" t="str">
        <f t="shared" si="38"/>
        <v/>
      </c>
      <c r="O179" s="115"/>
      <c r="P179" s="110" t="str">
        <f t="shared" si="37"/>
        <v>.</v>
      </c>
      <c r="R179" s="154" t="s">
        <v>832</v>
      </c>
      <c r="S179" s="186" t="str">
        <f t="shared" si="39"/>
        <v/>
      </c>
      <c r="T179" s="153"/>
      <c r="U179" s="147" t="str">
        <f t="shared" si="40"/>
        <v>.</v>
      </c>
      <c r="V179" s="49"/>
      <c r="W179" s="49"/>
    </row>
    <row r="180" spans="1:23" ht="15.75" thickBot="1" x14ac:dyDescent="0.3">
      <c r="A180" s="57"/>
      <c r="B180" s="95"/>
      <c r="C180" s="95"/>
      <c r="D180" s="95"/>
      <c r="E180" s="87"/>
      <c r="G180" s="121"/>
      <c r="H180" s="85" t="str">
        <f t="shared" si="33"/>
        <v/>
      </c>
      <c r="I180" s="101"/>
      <c r="J180" s="85"/>
      <c r="K180" s="102"/>
      <c r="M180" s="54"/>
      <c r="N180" s="178" t="str">
        <f t="shared" si="38"/>
        <v/>
      </c>
      <c r="O180" s="115"/>
      <c r="P180" s="110" t="str">
        <f t="shared" si="37"/>
        <v>.</v>
      </c>
      <c r="R180" s="154" t="s">
        <v>833</v>
      </c>
      <c r="S180" s="186" t="str">
        <f t="shared" si="39"/>
        <v/>
      </c>
      <c r="T180" s="153"/>
      <c r="U180" s="147" t="str">
        <f t="shared" si="40"/>
        <v>.</v>
      </c>
      <c r="V180" s="49"/>
      <c r="W180" s="49"/>
    </row>
    <row r="181" spans="1:23" ht="15.75" thickBot="1" x14ac:dyDescent="0.3">
      <c r="A181" s="57"/>
      <c r="B181" s="95"/>
      <c r="C181" s="95"/>
      <c r="D181" s="95"/>
      <c r="E181" s="87"/>
      <c r="G181" s="121"/>
      <c r="H181" s="85" t="str">
        <f t="shared" si="33"/>
        <v/>
      </c>
      <c r="I181" s="101"/>
      <c r="J181" s="85"/>
      <c r="K181" s="102"/>
      <c r="M181" s="54"/>
      <c r="N181" s="178" t="str">
        <f t="shared" si="38"/>
        <v/>
      </c>
      <c r="O181" s="115"/>
      <c r="P181" s="110" t="str">
        <f t="shared" si="37"/>
        <v>.</v>
      </c>
      <c r="R181" s="154" t="s">
        <v>834</v>
      </c>
      <c r="S181" s="186" t="str">
        <f t="shared" si="39"/>
        <v/>
      </c>
      <c r="T181" s="153"/>
      <c r="U181" s="147" t="str">
        <f t="shared" si="40"/>
        <v>.</v>
      </c>
      <c r="V181" s="49"/>
      <c r="W181" s="49"/>
    </row>
    <row r="182" spans="1:23" ht="15.75" thickBot="1" x14ac:dyDescent="0.3">
      <c r="A182" s="57"/>
      <c r="B182" s="95"/>
      <c r="C182" s="95"/>
      <c r="D182" s="95"/>
      <c r="E182" s="87"/>
      <c r="G182" s="121"/>
      <c r="H182" s="85" t="str">
        <f t="shared" si="33"/>
        <v/>
      </c>
      <c r="I182" s="101"/>
      <c r="J182" s="85"/>
      <c r="K182" s="102"/>
      <c r="M182" s="54"/>
      <c r="N182" s="178" t="str">
        <f t="shared" si="38"/>
        <v/>
      </c>
      <c r="O182" s="115"/>
      <c r="P182" s="110" t="str">
        <f t="shared" si="37"/>
        <v>.</v>
      </c>
      <c r="R182" s="154" t="s">
        <v>835</v>
      </c>
      <c r="S182" s="186" t="str">
        <f t="shared" si="39"/>
        <v/>
      </c>
      <c r="T182" s="153"/>
      <c r="U182" s="147" t="str">
        <f t="shared" si="40"/>
        <v>.</v>
      </c>
      <c r="V182" s="49"/>
      <c r="W182" s="49"/>
    </row>
    <row r="183" spans="1:23" ht="15.75" thickBot="1" x14ac:dyDescent="0.3">
      <c r="A183" s="57"/>
      <c r="B183" s="95"/>
      <c r="C183" s="95"/>
      <c r="D183" s="95"/>
      <c r="E183" s="87"/>
      <c r="G183" s="121"/>
      <c r="H183" s="85" t="str">
        <f t="shared" si="33"/>
        <v/>
      </c>
      <c r="I183" s="101"/>
      <c r="J183" s="85"/>
      <c r="K183" s="102"/>
      <c r="M183" s="54"/>
      <c r="N183" s="178" t="str">
        <f t="shared" si="38"/>
        <v/>
      </c>
      <c r="O183" s="115"/>
      <c r="P183" s="110" t="str">
        <f t="shared" si="37"/>
        <v>.</v>
      </c>
      <c r="R183" s="154" t="s">
        <v>836</v>
      </c>
      <c r="S183" s="186" t="str">
        <f t="shared" si="39"/>
        <v/>
      </c>
      <c r="T183" s="153"/>
      <c r="U183" s="147" t="str">
        <f t="shared" si="40"/>
        <v>.</v>
      </c>
      <c r="V183" s="49"/>
      <c r="W183" s="49"/>
    </row>
    <row r="184" spans="1:23" ht="15.75" thickBot="1" x14ac:dyDescent="0.3">
      <c r="A184" s="57"/>
      <c r="B184" s="95"/>
      <c r="C184" s="95"/>
      <c r="D184" s="95"/>
      <c r="E184" s="87"/>
      <c r="G184" s="121"/>
      <c r="H184" s="85" t="str">
        <f t="shared" si="33"/>
        <v/>
      </c>
      <c r="I184" s="101"/>
      <c r="J184" s="85"/>
      <c r="K184" s="102"/>
      <c r="M184" s="54"/>
      <c r="N184" s="178" t="str">
        <f t="shared" si="38"/>
        <v/>
      </c>
      <c r="O184" s="115"/>
      <c r="P184" s="110" t="str">
        <f t="shared" si="37"/>
        <v>.</v>
      </c>
      <c r="R184" s="154" t="s">
        <v>837</v>
      </c>
      <c r="S184" s="186" t="str">
        <f t="shared" si="39"/>
        <v/>
      </c>
      <c r="T184" s="153"/>
      <c r="U184" s="147" t="str">
        <f t="shared" si="40"/>
        <v>.</v>
      </c>
      <c r="V184" s="49"/>
      <c r="W184" s="49"/>
    </row>
    <row r="185" spans="1:23" ht="15.75" thickBot="1" x14ac:dyDescent="0.3">
      <c r="A185" s="57"/>
      <c r="B185" s="95"/>
      <c r="C185" s="95"/>
      <c r="D185" s="95"/>
      <c r="E185" s="87"/>
      <c r="G185" s="121"/>
      <c r="H185" s="85" t="str">
        <f t="shared" si="33"/>
        <v/>
      </c>
      <c r="I185" s="101"/>
      <c r="J185" s="85"/>
      <c r="K185" s="102"/>
      <c r="M185" s="54"/>
      <c r="N185" s="178" t="str">
        <f t="shared" si="38"/>
        <v/>
      </c>
      <c r="O185" s="115"/>
      <c r="P185" s="110" t="str">
        <f t="shared" ref="P185:P216" si="41">IF(MID(O185,1,3)="CH.",VALUE(MID(O185,4,2))+0,".")</f>
        <v>.</v>
      </c>
      <c r="R185" s="154" t="s">
        <v>838</v>
      </c>
      <c r="S185" s="186" t="str">
        <f t="shared" si="39"/>
        <v/>
      </c>
      <c r="T185" s="153"/>
      <c r="U185" s="147" t="str">
        <f t="shared" si="40"/>
        <v>.</v>
      </c>
      <c r="V185" s="49"/>
      <c r="W185" s="49"/>
    </row>
    <row r="186" spans="1:23" ht="15.75" thickBot="1" x14ac:dyDescent="0.3">
      <c r="A186" s="57"/>
      <c r="B186" s="95"/>
      <c r="C186" s="95"/>
      <c r="D186" s="95"/>
      <c r="E186" s="87"/>
      <c r="G186" s="121"/>
      <c r="H186" s="85" t="str">
        <f t="shared" si="33"/>
        <v/>
      </c>
      <c r="I186" s="101"/>
      <c r="J186" s="85"/>
      <c r="K186" s="102"/>
      <c r="M186" s="54"/>
      <c r="N186" s="178" t="str">
        <f t="shared" ref="N186:N217" si="42">IF(MID(O186,1,3)="CH.",$E186,"")</f>
        <v/>
      </c>
      <c r="O186" s="115"/>
      <c r="P186" s="110" t="str">
        <f t="shared" si="41"/>
        <v>.</v>
      </c>
      <c r="R186" s="154" t="s">
        <v>839</v>
      </c>
      <c r="S186" s="186" t="str">
        <f t="shared" ref="S186:S217" si="43">IF(MID(T186,1,3)="CH.",$E186,"")</f>
        <v/>
      </c>
      <c r="T186" s="153"/>
      <c r="U186" s="147" t="str">
        <f t="shared" si="40"/>
        <v>.</v>
      </c>
      <c r="V186" s="49"/>
      <c r="W186" s="49"/>
    </row>
    <row r="187" spans="1:23" ht="15.75" thickBot="1" x14ac:dyDescent="0.3">
      <c r="A187" s="57"/>
      <c r="B187" s="95"/>
      <c r="C187" s="95"/>
      <c r="D187" s="95"/>
      <c r="E187" s="87"/>
      <c r="G187" s="121"/>
      <c r="H187" s="85" t="str">
        <f t="shared" si="33"/>
        <v/>
      </c>
      <c r="I187" s="101"/>
      <c r="J187" s="85"/>
      <c r="K187" s="102"/>
      <c r="M187" s="54"/>
      <c r="N187" s="178" t="str">
        <f t="shared" si="42"/>
        <v/>
      </c>
      <c r="O187" s="115"/>
      <c r="P187" s="110" t="str">
        <f t="shared" si="41"/>
        <v>.</v>
      </c>
      <c r="R187" s="154" t="s">
        <v>840</v>
      </c>
      <c r="S187" s="186" t="str">
        <f t="shared" si="43"/>
        <v/>
      </c>
      <c r="T187" s="153"/>
      <c r="U187" s="147" t="str">
        <f t="shared" si="40"/>
        <v>.</v>
      </c>
      <c r="V187" s="49"/>
      <c r="W187" s="49"/>
    </row>
    <row r="188" spans="1:23" ht="15.75" thickBot="1" x14ac:dyDescent="0.3">
      <c r="A188" s="57"/>
      <c r="B188" s="95"/>
      <c r="C188" s="95"/>
      <c r="D188" s="95"/>
      <c r="E188" s="87"/>
      <c r="G188" s="121"/>
      <c r="H188" s="85" t="str">
        <f t="shared" si="33"/>
        <v/>
      </c>
      <c r="I188" s="101"/>
      <c r="J188" s="85"/>
      <c r="K188" s="102"/>
      <c r="M188" s="54"/>
      <c r="N188" s="178" t="str">
        <f t="shared" si="42"/>
        <v/>
      </c>
      <c r="O188" s="115"/>
      <c r="P188" s="110" t="str">
        <f t="shared" si="41"/>
        <v>.</v>
      </c>
      <c r="R188" s="154" t="s">
        <v>841</v>
      </c>
      <c r="S188" s="186" t="str">
        <f t="shared" si="43"/>
        <v/>
      </c>
      <c r="T188" s="153"/>
      <c r="U188" s="147" t="str">
        <f t="shared" si="40"/>
        <v>.</v>
      </c>
      <c r="V188" s="49"/>
      <c r="W188" s="49"/>
    </row>
    <row r="189" spans="1:23" ht="15.75" thickBot="1" x14ac:dyDescent="0.3">
      <c r="A189" s="57"/>
      <c r="B189" s="95"/>
      <c r="C189" s="95"/>
      <c r="D189" s="95"/>
      <c r="E189" s="87"/>
      <c r="G189" s="121"/>
      <c r="H189" s="85" t="str">
        <f t="shared" si="33"/>
        <v/>
      </c>
      <c r="I189" s="101"/>
      <c r="J189" s="85"/>
      <c r="K189" s="102"/>
      <c r="M189" s="54"/>
      <c r="N189" s="178" t="str">
        <f t="shared" si="42"/>
        <v/>
      </c>
      <c r="O189" s="115"/>
      <c r="P189" s="110" t="str">
        <f t="shared" si="41"/>
        <v>.</v>
      </c>
      <c r="R189" s="154" t="s">
        <v>842</v>
      </c>
      <c r="S189" s="186" t="str">
        <f t="shared" si="43"/>
        <v/>
      </c>
      <c r="T189" s="153"/>
      <c r="U189" s="147" t="str">
        <f t="shared" si="40"/>
        <v>.</v>
      </c>
      <c r="V189" s="49"/>
      <c r="W189" s="49"/>
    </row>
    <row r="190" spans="1:23" ht="15.75" thickBot="1" x14ac:dyDescent="0.3">
      <c r="A190" s="57"/>
      <c r="B190" s="95"/>
      <c r="C190" s="95"/>
      <c r="D190" s="95"/>
      <c r="E190" s="87"/>
      <c r="G190" s="121"/>
      <c r="H190" s="85" t="str">
        <f t="shared" si="33"/>
        <v/>
      </c>
      <c r="I190" s="101"/>
      <c r="J190" s="85"/>
      <c r="K190" s="102"/>
      <c r="M190" s="54"/>
      <c r="N190" s="178" t="str">
        <f t="shared" si="42"/>
        <v/>
      </c>
      <c r="O190" s="115"/>
      <c r="P190" s="110" t="str">
        <f t="shared" si="41"/>
        <v>.</v>
      </c>
      <c r="R190" s="154" t="s">
        <v>843</v>
      </c>
      <c r="S190" s="186" t="str">
        <f t="shared" si="43"/>
        <v/>
      </c>
      <c r="T190" s="153"/>
      <c r="U190" s="147" t="str">
        <f t="shared" si="40"/>
        <v>.</v>
      </c>
      <c r="V190" s="49"/>
      <c r="W190" s="49"/>
    </row>
    <row r="191" spans="1:23" ht="15.75" thickBot="1" x14ac:dyDescent="0.3">
      <c r="A191" s="57"/>
      <c r="B191" s="95"/>
      <c r="C191" s="95"/>
      <c r="D191" s="95"/>
      <c r="E191" s="87"/>
      <c r="G191" s="121"/>
      <c r="H191" s="85" t="str">
        <f t="shared" si="33"/>
        <v/>
      </c>
      <c r="I191" s="101"/>
      <c r="J191" s="85"/>
      <c r="K191" s="102"/>
      <c r="M191" s="54"/>
      <c r="N191" s="178" t="str">
        <f t="shared" si="42"/>
        <v/>
      </c>
      <c r="O191" s="115"/>
      <c r="P191" s="110" t="str">
        <f t="shared" si="41"/>
        <v>.</v>
      </c>
      <c r="R191" s="154" t="s">
        <v>844</v>
      </c>
      <c r="S191" s="186" t="str">
        <f t="shared" si="43"/>
        <v/>
      </c>
      <c r="T191" s="153"/>
      <c r="U191" s="147" t="str">
        <f t="shared" si="40"/>
        <v>.</v>
      </c>
      <c r="V191" s="49"/>
      <c r="W191" s="49"/>
    </row>
    <row r="192" spans="1:23" ht="15.75" thickBot="1" x14ac:dyDescent="0.3">
      <c r="A192" s="57"/>
      <c r="B192" s="95"/>
      <c r="C192" s="95"/>
      <c r="D192" s="95"/>
      <c r="E192" s="87"/>
      <c r="G192" s="121"/>
      <c r="H192" s="85" t="str">
        <f t="shared" si="33"/>
        <v/>
      </c>
      <c r="I192" s="101"/>
      <c r="J192" s="85"/>
      <c r="K192" s="102"/>
      <c r="M192" s="54"/>
      <c r="N192" s="178" t="str">
        <f t="shared" si="42"/>
        <v/>
      </c>
      <c r="O192" s="115"/>
      <c r="P192" s="110" t="str">
        <f t="shared" si="41"/>
        <v>.</v>
      </c>
      <c r="R192" s="154" t="s">
        <v>845</v>
      </c>
      <c r="S192" s="186" t="str">
        <f t="shared" si="43"/>
        <v/>
      </c>
      <c r="T192" s="153"/>
      <c r="U192" s="147" t="str">
        <f t="shared" si="40"/>
        <v>.</v>
      </c>
      <c r="V192" s="49"/>
      <c r="W192" s="49"/>
    </row>
    <row r="193" spans="1:23" ht="15.75" thickBot="1" x14ac:dyDescent="0.3">
      <c r="A193" s="57"/>
      <c r="B193" s="95"/>
      <c r="C193" s="95"/>
      <c r="D193" s="95"/>
      <c r="E193" s="87"/>
      <c r="G193" s="121"/>
      <c r="H193" s="85" t="str">
        <f t="shared" si="33"/>
        <v/>
      </c>
      <c r="I193" s="101"/>
      <c r="J193" s="85"/>
      <c r="K193" s="102"/>
      <c r="M193" s="54"/>
      <c r="N193" s="178" t="str">
        <f t="shared" si="42"/>
        <v/>
      </c>
      <c r="O193" s="115"/>
      <c r="P193" s="110" t="str">
        <f t="shared" si="41"/>
        <v>.</v>
      </c>
      <c r="R193" s="154" t="s">
        <v>846</v>
      </c>
      <c r="S193" s="186" t="str">
        <f t="shared" si="43"/>
        <v/>
      </c>
      <c r="T193" s="153"/>
      <c r="U193" s="147" t="str">
        <f t="shared" ref="U193:U224" si="44">IF(MID(T193,1,3)="CH.",VALUE(MID(T193,4,2))+48,".")</f>
        <v>.</v>
      </c>
      <c r="V193" s="49"/>
      <c r="W193" s="49"/>
    </row>
    <row r="194" spans="1:23" ht="15.75" thickBot="1" x14ac:dyDescent="0.3">
      <c r="A194" s="57"/>
      <c r="B194" s="95"/>
      <c r="C194" s="95"/>
      <c r="D194" s="95"/>
      <c r="E194" s="87"/>
      <c r="G194" s="121"/>
      <c r="H194" s="85" t="str">
        <f t="shared" si="33"/>
        <v/>
      </c>
      <c r="I194" s="101"/>
      <c r="J194" s="85"/>
      <c r="K194" s="102"/>
      <c r="M194" s="54"/>
      <c r="N194" s="178" t="str">
        <f t="shared" si="42"/>
        <v/>
      </c>
      <c r="O194" s="115"/>
      <c r="P194" s="110" t="str">
        <f t="shared" si="41"/>
        <v>.</v>
      </c>
      <c r="R194" s="154" t="s">
        <v>847</v>
      </c>
      <c r="S194" s="186" t="str">
        <f t="shared" si="43"/>
        <v/>
      </c>
      <c r="T194" s="153"/>
      <c r="U194" s="147" t="str">
        <f t="shared" si="44"/>
        <v>.</v>
      </c>
      <c r="V194" s="49"/>
      <c r="W194" s="49"/>
    </row>
    <row r="195" spans="1:23" ht="15.75" thickBot="1" x14ac:dyDescent="0.3">
      <c r="A195" s="57"/>
      <c r="B195" s="95"/>
      <c r="C195" s="95"/>
      <c r="D195" s="95"/>
      <c r="E195" s="87"/>
      <c r="G195" s="121"/>
      <c r="H195" s="85" t="str">
        <f t="shared" si="33"/>
        <v/>
      </c>
      <c r="I195" s="101"/>
      <c r="J195" s="85"/>
      <c r="K195" s="102"/>
      <c r="M195" s="54"/>
      <c r="N195" s="178" t="str">
        <f t="shared" si="42"/>
        <v/>
      </c>
      <c r="O195" s="115"/>
      <c r="P195" s="110" t="str">
        <f t="shared" si="41"/>
        <v>.</v>
      </c>
      <c r="R195" s="154" t="s">
        <v>848</v>
      </c>
      <c r="S195" s="186" t="str">
        <f t="shared" si="43"/>
        <v/>
      </c>
      <c r="T195" s="153"/>
      <c r="U195" s="147" t="str">
        <f t="shared" si="44"/>
        <v>.</v>
      </c>
      <c r="V195" s="49"/>
      <c r="W195" s="49"/>
    </row>
    <row r="196" spans="1:23" ht="15.75" thickBot="1" x14ac:dyDescent="0.3">
      <c r="A196" s="57"/>
      <c r="B196" s="95"/>
      <c r="C196" s="95"/>
      <c r="D196" s="95"/>
      <c r="E196" s="87"/>
      <c r="G196" s="121"/>
      <c r="H196" s="85" t="str">
        <f t="shared" si="33"/>
        <v/>
      </c>
      <c r="I196" s="101"/>
      <c r="J196" s="85"/>
      <c r="K196" s="102"/>
      <c r="M196" s="54"/>
      <c r="N196" s="178" t="str">
        <f t="shared" si="42"/>
        <v/>
      </c>
      <c r="O196" s="115"/>
      <c r="P196" s="110" t="str">
        <f t="shared" si="41"/>
        <v>.</v>
      </c>
      <c r="R196" s="154" t="s">
        <v>849</v>
      </c>
      <c r="S196" s="186" t="str">
        <f t="shared" si="43"/>
        <v/>
      </c>
      <c r="T196" s="153"/>
      <c r="U196" s="147" t="str">
        <f t="shared" si="44"/>
        <v>.</v>
      </c>
      <c r="V196" s="49"/>
      <c r="W196" s="49"/>
    </row>
    <row r="197" spans="1:23" ht="15.75" thickBot="1" x14ac:dyDescent="0.3">
      <c r="A197" s="57"/>
      <c r="B197" s="95"/>
      <c r="C197" s="95"/>
      <c r="D197" s="95"/>
      <c r="E197" s="87"/>
      <c r="G197" s="121"/>
      <c r="H197" s="85" t="str">
        <f t="shared" si="33"/>
        <v/>
      </c>
      <c r="I197" s="101"/>
      <c r="J197" s="85"/>
      <c r="K197" s="102"/>
      <c r="M197" s="54"/>
      <c r="N197" s="178" t="str">
        <f t="shared" si="42"/>
        <v/>
      </c>
      <c r="O197" s="115"/>
      <c r="P197" s="110" t="str">
        <f t="shared" si="41"/>
        <v>.</v>
      </c>
      <c r="R197" s="154" t="s">
        <v>850</v>
      </c>
      <c r="S197" s="186" t="str">
        <f t="shared" si="43"/>
        <v/>
      </c>
      <c r="T197" s="153"/>
      <c r="U197" s="147" t="str">
        <f t="shared" si="44"/>
        <v>.</v>
      </c>
      <c r="V197" s="49"/>
      <c r="W197" s="49"/>
    </row>
    <row r="198" spans="1:23" ht="15.75" thickBot="1" x14ac:dyDescent="0.3">
      <c r="A198" s="57"/>
      <c r="B198" s="95"/>
      <c r="C198" s="95"/>
      <c r="D198" s="95"/>
      <c r="E198" s="87"/>
      <c r="G198" s="121"/>
      <c r="H198" s="85" t="str">
        <f t="shared" ref="H198:H233" si="45">IF(MID(J198,1,3)="CH.",$E198,"")</f>
        <v/>
      </c>
      <c r="I198" s="101"/>
      <c r="J198" s="85"/>
      <c r="K198" s="102"/>
      <c r="M198" s="54"/>
      <c r="N198" s="178" t="str">
        <f t="shared" si="42"/>
        <v/>
      </c>
      <c r="O198" s="115"/>
      <c r="P198" s="110" t="str">
        <f t="shared" si="41"/>
        <v>.</v>
      </c>
      <c r="R198" s="154" t="s">
        <v>851</v>
      </c>
      <c r="S198" s="186" t="str">
        <f t="shared" si="43"/>
        <v/>
      </c>
      <c r="T198" s="153"/>
      <c r="U198" s="147" t="str">
        <f t="shared" si="44"/>
        <v>.</v>
      </c>
      <c r="V198" s="49"/>
      <c r="W198" s="49"/>
    </row>
    <row r="199" spans="1:23" ht="15.75" thickBot="1" x14ac:dyDescent="0.3">
      <c r="A199" s="57"/>
      <c r="B199" s="95"/>
      <c r="C199" s="95"/>
      <c r="D199" s="95"/>
      <c r="E199" s="87"/>
      <c r="G199" s="121"/>
      <c r="H199" s="85" t="str">
        <f t="shared" si="45"/>
        <v/>
      </c>
      <c r="I199" s="101"/>
      <c r="J199" s="85"/>
      <c r="K199" s="102"/>
      <c r="M199" s="54"/>
      <c r="N199" s="178" t="str">
        <f t="shared" si="42"/>
        <v/>
      </c>
      <c r="O199" s="115"/>
      <c r="P199" s="110" t="str">
        <f t="shared" si="41"/>
        <v>.</v>
      </c>
      <c r="R199" s="154" t="s">
        <v>852</v>
      </c>
      <c r="S199" s="186" t="str">
        <f t="shared" si="43"/>
        <v/>
      </c>
      <c r="T199" s="153"/>
      <c r="U199" s="147" t="str">
        <f t="shared" si="44"/>
        <v>.</v>
      </c>
      <c r="V199" s="49"/>
      <c r="W199" s="49"/>
    </row>
    <row r="200" spans="1:23" ht="15.75" thickBot="1" x14ac:dyDescent="0.3">
      <c r="A200" s="57"/>
      <c r="B200" s="95"/>
      <c r="C200" s="95"/>
      <c r="D200" s="95"/>
      <c r="E200" s="87"/>
      <c r="G200" s="121"/>
      <c r="H200" s="85" t="str">
        <f t="shared" si="45"/>
        <v/>
      </c>
      <c r="I200" s="101"/>
      <c r="J200" s="85"/>
      <c r="K200" s="102"/>
      <c r="M200" s="54"/>
      <c r="N200" s="178" t="str">
        <f t="shared" si="42"/>
        <v/>
      </c>
      <c r="O200" s="115"/>
      <c r="P200" s="110" t="str">
        <f t="shared" si="41"/>
        <v>.</v>
      </c>
      <c r="R200" s="154" t="s">
        <v>853</v>
      </c>
      <c r="S200" s="186" t="str">
        <f t="shared" si="43"/>
        <v/>
      </c>
      <c r="T200" s="153"/>
      <c r="U200" s="147" t="str">
        <f t="shared" si="44"/>
        <v>.</v>
      </c>
      <c r="V200" s="49"/>
      <c r="W200" s="49"/>
    </row>
    <row r="201" spans="1:23" ht="15.75" thickBot="1" x14ac:dyDescent="0.3">
      <c r="A201" s="57"/>
      <c r="B201" s="95"/>
      <c r="C201" s="95"/>
      <c r="D201" s="95"/>
      <c r="E201" s="87"/>
      <c r="G201" s="121"/>
      <c r="H201" s="85" t="str">
        <f t="shared" si="45"/>
        <v/>
      </c>
      <c r="I201" s="101"/>
      <c r="J201" s="85"/>
      <c r="K201" s="102"/>
      <c r="M201" s="54"/>
      <c r="N201" s="178" t="str">
        <f t="shared" si="42"/>
        <v/>
      </c>
      <c r="O201" s="115"/>
      <c r="P201" s="110" t="str">
        <f t="shared" si="41"/>
        <v>.</v>
      </c>
      <c r="R201" s="154" t="s">
        <v>854</v>
      </c>
      <c r="S201" s="186" t="str">
        <f t="shared" si="43"/>
        <v/>
      </c>
      <c r="T201" s="153"/>
      <c r="U201" s="147" t="str">
        <f t="shared" si="44"/>
        <v>.</v>
      </c>
      <c r="V201" s="49"/>
      <c r="W201" s="49"/>
    </row>
    <row r="202" spans="1:23" ht="15.75" thickBot="1" x14ac:dyDescent="0.3">
      <c r="A202" s="57"/>
      <c r="B202" s="95"/>
      <c r="C202" s="95"/>
      <c r="D202" s="95"/>
      <c r="E202" s="87"/>
      <c r="G202" s="121"/>
      <c r="H202" s="85" t="str">
        <f t="shared" si="45"/>
        <v/>
      </c>
      <c r="I202" s="101"/>
      <c r="J202" s="85"/>
      <c r="K202" s="102"/>
      <c r="M202" s="54"/>
      <c r="N202" s="178" t="str">
        <f t="shared" si="42"/>
        <v/>
      </c>
      <c r="O202" s="115"/>
      <c r="P202" s="110" t="str">
        <f t="shared" si="41"/>
        <v>.</v>
      </c>
      <c r="R202" s="154" t="s">
        <v>855</v>
      </c>
      <c r="S202" s="186" t="str">
        <f t="shared" si="43"/>
        <v/>
      </c>
      <c r="T202" s="153"/>
      <c r="U202" s="147" t="str">
        <f t="shared" si="44"/>
        <v>.</v>
      </c>
      <c r="V202" s="49"/>
      <c r="W202" s="49"/>
    </row>
    <row r="203" spans="1:23" ht="15.75" thickBot="1" x14ac:dyDescent="0.3">
      <c r="A203" s="57"/>
      <c r="B203" s="95"/>
      <c r="C203" s="95"/>
      <c r="D203" s="95"/>
      <c r="E203" s="87"/>
      <c r="G203" s="121"/>
      <c r="H203" s="85" t="str">
        <f t="shared" si="45"/>
        <v/>
      </c>
      <c r="I203" s="101"/>
      <c r="J203" s="85"/>
      <c r="K203" s="102"/>
      <c r="M203" s="54"/>
      <c r="N203" s="178" t="str">
        <f t="shared" si="42"/>
        <v/>
      </c>
      <c r="O203" s="115"/>
      <c r="P203" s="110" t="str">
        <f t="shared" si="41"/>
        <v>.</v>
      </c>
      <c r="R203" s="154" t="s">
        <v>856</v>
      </c>
      <c r="S203" s="186" t="str">
        <f t="shared" si="43"/>
        <v/>
      </c>
      <c r="T203" s="153"/>
      <c r="U203" s="147" t="str">
        <f t="shared" si="44"/>
        <v>.</v>
      </c>
      <c r="V203" s="49"/>
      <c r="W203" s="49"/>
    </row>
    <row r="204" spans="1:23" ht="15.75" thickBot="1" x14ac:dyDescent="0.3">
      <c r="A204" s="57"/>
      <c r="B204" s="95"/>
      <c r="C204" s="95"/>
      <c r="D204" s="95"/>
      <c r="E204" s="87"/>
      <c r="G204" s="121"/>
      <c r="H204" s="85" t="str">
        <f t="shared" si="45"/>
        <v/>
      </c>
      <c r="I204" s="101"/>
      <c r="J204" s="85"/>
      <c r="K204" s="102"/>
      <c r="M204" s="54"/>
      <c r="N204" s="178" t="str">
        <f t="shared" si="42"/>
        <v/>
      </c>
      <c r="O204" s="115"/>
      <c r="P204" s="110" t="str">
        <f t="shared" si="41"/>
        <v>.</v>
      </c>
      <c r="R204" s="154" t="s">
        <v>857</v>
      </c>
      <c r="S204" s="186" t="str">
        <f t="shared" si="43"/>
        <v/>
      </c>
      <c r="T204" s="153"/>
      <c r="U204" s="147" t="str">
        <f t="shared" si="44"/>
        <v>.</v>
      </c>
      <c r="V204" s="49"/>
      <c r="W204" s="49"/>
    </row>
    <row r="205" spans="1:23" ht="15.75" thickBot="1" x14ac:dyDescent="0.3">
      <c r="A205" s="57"/>
      <c r="B205" s="95"/>
      <c r="C205" s="95"/>
      <c r="D205" s="95"/>
      <c r="E205" s="87"/>
      <c r="G205" s="121"/>
      <c r="H205" s="85" t="str">
        <f t="shared" si="45"/>
        <v/>
      </c>
      <c r="I205" s="101"/>
      <c r="J205" s="85"/>
      <c r="K205" s="102"/>
      <c r="M205" s="54"/>
      <c r="N205" s="178" t="str">
        <f t="shared" si="42"/>
        <v/>
      </c>
      <c r="O205" s="115"/>
      <c r="P205" s="110" t="str">
        <f t="shared" si="41"/>
        <v>.</v>
      </c>
      <c r="R205" s="154" t="s">
        <v>858</v>
      </c>
      <c r="S205" s="186" t="str">
        <f t="shared" si="43"/>
        <v/>
      </c>
      <c r="T205" s="153"/>
      <c r="U205" s="147" t="str">
        <f t="shared" si="44"/>
        <v>.</v>
      </c>
      <c r="V205" s="49"/>
      <c r="W205" s="49"/>
    </row>
    <row r="206" spans="1:23" ht="15.75" thickBot="1" x14ac:dyDescent="0.3">
      <c r="A206" s="57"/>
      <c r="B206" s="95"/>
      <c r="C206" s="95"/>
      <c r="D206" s="95"/>
      <c r="E206" s="87"/>
      <c r="G206" s="121"/>
      <c r="H206" s="85" t="str">
        <f t="shared" si="45"/>
        <v/>
      </c>
      <c r="I206" s="101"/>
      <c r="J206" s="85"/>
      <c r="K206" s="102"/>
      <c r="M206" s="54"/>
      <c r="N206" s="178" t="str">
        <f t="shared" si="42"/>
        <v/>
      </c>
      <c r="O206" s="115"/>
      <c r="P206" s="110" t="str">
        <f t="shared" si="41"/>
        <v>.</v>
      </c>
      <c r="R206" s="154" t="s">
        <v>859</v>
      </c>
      <c r="S206" s="186" t="str">
        <f t="shared" si="43"/>
        <v/>
      </c>
      <c r="T206" s="153"/>
      <c r="U206" s="147" t="str">
        <f t="shared" si="44"/>
        <v>.</v>
      </c>
      <c r="V206" s="49"/>
      <c r="W206" s="49"/>
    </row>
    <row r="207" spans="1:23" ht="15.75" thickBot="1" x14ac:dyDescent="0.3">
      <c r="A207" s="57"/>
      <c r="B207" s="95"/>
      <c r="C207" s="95"/>
      <c r="D207" s="95"/>
      <c r="E207" s="87"/>
      <c r="G207" s="121"/>
      <c r="H207" s="85" t="str">
        <f t="shared" si="45"/>
        <v/>
      </c>
      <c r="I207" s="101"/>
      <c r="J207" s="85"/>
      <c r="K207" s="102"/>
      <c r="M207" s="54"/>
      <c r="N207" s="178" t="str">
        <f t="shared" si="42"/>
        <v/>
      </c>
      <c r="O207" s="115"/>
      <c r="P207" s="110" t="str">
        <f t="shared" si="41"/>
        <v>.</v>
      </c>
      <c r="R207" s="154" t="s">
        <v>860</v>
      </c>
      <c r="S207" s="186" t="str">
        <f t="shared" si="43"/>
        <v/>
      </c>
      <c r="T207" s="153"/>
      <c r="U207" s="147" t="str">
        <f t="shared" si="44"/>
        <v>.</v>
      </c>
      <c r="V207" s="49"/>
      <c r="W207" s="49"/>
    </row>
    <row r="208" spans="1:23" ht="15.75" thickBot="1" x14ac:dyDescent="0.3">
      <c r="A208" s="57"/>
      <c r="B208" s="95"/>
      <c r="C208" s="95"/>
      <c r="D208" s="95"/>
      <c r="E208" s="87"/>
      <c r="G208" s="121"/>
      <c r="H208" s="85" t="str">
        <f t="shared" si="45"/>
        <v/>
      </c>
      <c r="I208" s="101"/>
      <c r="J208" s="85"/>
      <c r="K208" s="102"/>
      <c r="M208" s="54"/>
      <c r="N208" s="178" t="str">
        <f t="shared" si="42"/>
        <v/>
      </c>
      <c r="O208" s="115"/>
      <c r="P208" s="110" t="str">
        <f t="shared" si="41"/>
        <v>.</v>
      </c>
      <c r="R208" s="154" t="s">
        <v>861</v>
      </c>
      <c r="S208" s="186" t="str">
        <f t="shared" si="43"/>
        <v/>
      </c>
      <c r="T208" s="153"/>
      <c r="U208" s="147" t="str">
        <f t="shared" si="44"/>
        <v>.</v>
      </c>
      <c r="V208" s="49"/>
      <c r="W208" s="49"/>
    </row>
    <row r="209" spans="1:23" ht="15.75" thickBot="1" x14ac:dyDescent="0.3">
      <c r="A209" s="57"/>
      <c r="B209" s="95"/>
      <c r="C209" s="95"/>
      <c r="D209" s="95"/>
      <c r="E209" s="87"/>
      <c r="G209" s="121"/>
      <c r="H209" s="85" t="str">
        <f t="shared" si="45"/>
        <v/>
      </c>
      <c r="I209" s="101"/>
      <c r="J209" s="85"/>
      <c r="K209" s="102"/>
      <c r="M209" s="54"/>
      <c r="N209" s="178" t="str">
        <f t="shared" si="42"/>
        <v/>
      </c>
      <c r="O209" s="115"/>
      <c r="P209" s="110" t="str">
        <f t="shared" si="41"/>
        <v>.</v>
      </c>
      <c r="R209" s="154" t="s">
        <v>862</v>
      </c>
      <c r="S209" s="186" t="str">
        <f t="shared" si="43"/>
        <v/>
      </c>
      <c r="T209" s="153"/>
      <c r="U209" s="147" t="str">
        <f t="shared" si="44"/>
        <v>.</v>
      </c>
      <c r="V209" s="49"/>
      <c r="W209" s="49"/>
    </row>
    <row r="210" spans="1:23" ht="30.75" thickBot="1" x14ac:dyDescent="0.3">
      <c r="A210" s="78" t="s">
        <v>817</v>
      </c>
      <c r="B210" s="127"/>
      <c r="C210" s="127"/>
      <c r="D210" s="127" t="s">
        <v>1074</v>
      </c>
      <c r="E210" s="128" t="s">
        <v>1076</v>
      </c>
      <c r="F210" s="171" t="str">
        <f>"&lt;"</f>
        <v>&lt;</v>
      </c>
      <c r="G210" s="134" t="s">
        <v>1079</v>
      </c>
      <c r="H210" s="125" t="str">
        <f t="shared" si="45"/>
        <v>Main L</v>
      </c>
      <c r="I210" s="135" t="s">
        <v>941</v>
      </c>
      <c r="J210" s="125" t="s">
        <v>890</v>
      </c>
      <c r="K210" s="126">
        <f t="shared" ref="K210:K233" si="46">IF(MID(J210,1,3)="CH.",VALUE(MID(J210,4,2))+96,".")</f>
        <v>113</v>
      </c>
      <c r="L210" s="171"/>
      <c r="M210" s="137" t="s">
        <v>1067</v>
      </c>
      <c r="N210" s="181" t="str">
        <f t="shared" si="42"/>
        <v/>
      </c>
      <c r="O210" s="138"/>
      <c r="P210" s="139" t="str">
        <f t="shared" si="41"/>
        <v>.</v>
      </c>
      <c r="Q210" s="171"/>
      <c r="R210" s="155"/>
      <c r="S210" s="187" t="str">
        <f t="shared" si="43"/>
        <v/>
      </c>
      <c r="T210" s="156"/>
      <c r="U210" s="157" t="str">
        <f t="shared" si="44"/>
        <v>.</v>
      </c>
      <c r="V210" s="49"/>
      <c r="W210" s="49"/>
    </row>
    <row r="211" spans="1:23" ht="30.75" thickBot="1" x14ac:dyDescent="0.3">
      <c r="A211" s="78" t="s">
        <v>817</v>
      </c>
      <c r="B211" s="127"/>
      <c r="C211" s="127"/>
      <c r="D211" s="127" t="s">
        <v>1075</v>
      </c>
      <c r="E211" s="128" t="s">
        <v>1077</v>
      </c>
      <c r="F211" s="171" t="str">
        <f t="shared" ref="F211:F227" si="47">"&lt;"</f>
        <v>&lt;</v>
      </c>
      <c r="G211" s="134" t="s">
        <v>1080</v>
      </c>
      <c r="H211" s="125" t="str">
        <f t="shared" si="45"/>
        <v>Main R</v>
      </c>
      <c r="I211" s="135" t="s">
        <v>1071</v>
      </c>
      <c r="J211" s="125" t="s">
        <v>891</v>
      </c>
      <c r="K211" s="126">
        <f t="shared" si="46"/>
        <v>114</v>
      </c>
      <c r="L211" s="171"/>
      <c r="M211" s="137" t="s">
        <v>1068</v>
      </c>
      <c r="N211" s="181" t="str">
        <f t="shared" si="42"/>
        <v/>
      </c>
      <c r="O211" s="138"/>
      <c r="P211" s="139" t="str">
        <f t="shared" si="41"/>
        <v>.</v>
      </c>
      <c r="Q211" s="171"/>
      <c r="R211" s="155"/>
      <c r="S211" s="187" t="str">
        <f t="shared" si="43"/>
        <v/>
      </c>
      <c r="T211" s="156"/>
      <c r="U211" s="157" t="str">
        <f t="shared" si="44"/>
        <v>.</v>
      </c>
      <c r="V211" s="49"/>
      <c r="W211" s="49"/>
    </row>
    <row r="212" spans="1:23" ht="30.75" thickBot="1" x14ac:dyDescent="0.3">
      <c r="A212" s="78" t="s">
        <v>817</v>
      </c>
      <c r="B212" s="127"/>
      <c r="C212" s="127"/>
      <c r="D212" s="127" t="s">
        <v>770</v>
      </c>
      <c r="E212" s="128" t="s">
        <v>1078</v>
      </c>
      <c r="F212" s="171" t="str">
        <f t="shared" si="47"/>
        <v>&lt;</v>
      </c>
      <c r="G212" s="134" t="s">
        <v>1081</v>
      </c>
      <c r="H212" s="125" t="str">
        <f t="shared" si="45"/>
        <v>Main C</v>
      </c>
      <c r="I212" s="135" t="s">
        <v>1072</v>
      </c>
      <c r="J212" s="125" t="s">
        <v>892</v>
      </c>
      <c r="K212" s="126">
        <f t="shared" si="46"/>
        <v>115</v>
      </c>
      <c r="L212" s="171"/>
      <c r="M212" s="137" t="s">
        <v>1069</v>
      </c>
      <c r="N212" s="181" t="str">
        <f t="shared" si="42"/>
        <v/>
      </c>
      <c r="O212" s="138"/>
      <c r="P212" s="139" t="str">
        <f t="shared" si="41"/>
        <v>.</v>
      </c>
      <c r="Q212" s="171"/>
      <c r="R212" s="155"/>
      <c r="S212" s="187" t="str">
        <f t="shared" si="43"/>
        <v/>
      </c>
      <c r="T212" s="156"/>
      <c r="U212" s="157" t="str">
        <f t="shared" si="44"/>
        <v>.</v>
      </c>
      <c r="V212" s="49"/>
      <c r="W212" s="49"/>
    </row>
    <row r="213" spans="1:23" ht="60.75" thickBot="1" x14ac:dyDescent="0.3">
      <c r="A213" s="78" t="s">
        <v>817</v>
      </c>
      <c r="B213" s="127"/>
      <c r="C213" s="127"/>
      <c r="D213" s="127" t="s">
        <v>777</v>
      </c>
      <c r="E213" s="128" t="s">
        <v>1082</v>
      </c>
      <c r="F213" s="171" t="str">
        <f t="shared" si="47"/>
        <v>&lt;</v>
      </c>
      <c r="G213" s="134" t="s">
        <v>1085</v>
      </c>
      <c r="H213" s="125" t="str">
        <f t="shared" si="45"/>
        <v>Sub</v>
      </c>
      <c r="I213" s="135" t="s">
        <v>1073</v>
      </c>
      <c r="J213" s="125" t="s">
        <v>893</v>
      </c>
      <c r="K213" s="126">
        <f t="shared" si="46"/>
        <v>116</v>
      </c>
      <c r="L213" s="171"/>
      <c r="M213" s="137" t="s">
        <v>1070</v>
      </c>
      <c r="N213" s="181" t="str">
        <f t="shared" si="42"/>
        <v/>
      </c>
      <c r="O213" s="138"/>
      <c r="P213" s="139" t="str">
        <f t="shared" si="41"/>
        <v>.</v>
      </c>
      <c r="Q213" s="171"/>
      <c r="R213" s="155"/>
      <c r="S213" s="187" t="str">
        <f t="shared" si="43"/>
        <v/>
      </c>
      <c r="T213" s="156"/>
      <c r="U213" s="157" t="str">
        <f t="shared" si="44"/>
        <v>.</v>
      </c>
      <c r="V213" s="49"/>
      <c r="W213" s="49"/>
    </row>
    <row r="214" spans="1:23" ht="30.75" thickBot="1" x14ac:dyDescent="0.3">
      <c r="A214" s="78" t="s">
        <v>817</v>
      </c>
      <c r="B214" s="127"/>
      <c r="C214" s="127"/>
      <c r="D214" s="127"/>
      <c r="E214" s="128"/>
      <c r="F214" s="171" t="str">
        <f t="shared" si="47"/>
        <v>&lt;</v>
      </c>
      <c r="G214" s="136"/>
      <c r="H214" s="125" t="str">
        <f t="shared" si="45"/>
        <v/>
      </c>
      <c r="I214" s="135"/>
      <c r="J214" s="125"/>
      <c r="K214" s="126" t="str">
        <f t="shared" si="46"/>
        <v>.</v>
      </c>
      <c r="L214" s="171"/>
      <c r="M214" s="137" t="s">
        <v>1821</v>
      </c>
      <c r="N214" s="181" t="str">
        <f t="shared" si="42"/>
        <v/>
      </c>
      <c r="O214" s="168" t="s">
        <v>1823</v>
      </c>
      <c r="P214" s="139" t="str">
        <f t="shared" si="41"/>
        <v>.</v>
      </c>
      <c r="Q214" s="171"/>
      <c r="R214" s="155"/>
      <c r="S214" s="187" t="str">
        <f t="shared" si="43"/>
        <v/>
      </c>
      <c r="T214" s="156"/>
      <c r="U214" s="157" t="str">
        <f t="shared" si="44"/>
        <v>.</v>
      </c>
      <c r="V214" s="49"/>
      <c r="W214" s="49"/>
    </row>
    <row r="215" spans="1:23" ht="30.75" thickBot="1" x14ac:dyDescent="0.3">
      <c r="A215" s="78" t="s">
        <v>817</v>
      </c>
      <c r="B215" s="127"/>
      <c r="C215" s="127"/>
      <c r="D215" s="127"/>
      <c r="E215" s="128"/>
      <c r="F215" s="171" t="str">
        <f t="shared" si="47"/>
        <v>&lt;</v>
      </c>
      <c r="G215" s="136"/>
      <c r="H215" s="125" t="str">
        <f t="shared" si="45"/>
        <v/>
      </c>
      <c r="I215" s="135"/>
      <c r="J215" s="125"/>
      <c r="K215" s="126" t="str">
        <f t="shared" si="46"/>
        <v>.</v>
      </c>
      <c r="L215" s="171"/>
      <c r="M215" s="137" t="s">
        <v>1822</v>
      </c>
      <c r="N215" s="181" t="str">
        <f t="shared" si="42"/>
        <v/>
      </c>
      <c r="O215" s="168" t="s">
        <v>1824</v>
      </c>
      <c r="P215" s="139" t="str">
        <f t="shared" si="41"/>
        <v>.</v>
      </c>
      <c r="Q215" s="171"/>
      <c r="R215" s="155"/>
      <c r="S215" s="187" t="str">
        <f t="shared" si="43"/>
        <v/>
      </c>
      <c r="T215" s="156"/>
      <c r="U215" s="157" t="str">
        <f t="shared" si="44"/>
        <v>.</v>
      </c>
      <c r="V215" s="49"/>
      <c r="W215" s="49"/>
    </row>
    <row r="216" spans="1:23" ht="45.75" thickBot="1" x14ac:dyDescent="0.3">
      <c r="A216" s="78" t="s">
        <v>817</v>
      </c>
      <c r="B216" s="127"/>
      <c r="C216" s="127"/>
      <c r="D216" s="127" t="s">
        <v>771</v>
      </c>
      <c r="E216" s="129" t="s">
        <v>1815</v>
      </c>
      <c r="F216" s="171" t="str">
        <f t="shared" si="47"/>
        <v>&lt;</v>
      </c>
      <c r="G216" s="134" t="s">
        <v>1089</v>
      </c>
      <c r="H216" s="125" t="str">
        <f t="shared" si="45"/>
        <v>mOvrChr</v>
      </c>
      <c r="I216" s="135" t="s">
        <v>1083</v>
      </c>
      <c r="J216" s="125" t="s">
        <v>894</v>
      </c>
      <c r="K216" s="126">
        <f t="shared" si="46"/>
        <v>117</v>
      </c>
      <c r="L216" s="171"/>
      <c r="M216" s="140" t="s">
        <v>939</v>
      </c>
      <c r="N216" s="181" t="str">
        <f t="shared" si="42"/>
        <v/>
      </c>
      <c r="O216" s="138" t="s">
        <v>1044</v>
      </c>
      <c r="P216" s="139" t="str">
        <f t="shared" si="41"/>
        <v>.</v>
      </c>
      <c r="Q216" s="171"/>
      <c r="R216" s="158" t="s">
        <v>1061</v>
      </c>
      <c r="S216" s="188" t="str">
        <f t="shared" si="43"/>
        <v/>
      </c>
      <c r="T216" s="159" t="s">
        <v>1090</v>
      </c>
      <c r="U216" s="160" t="str">
        <f t="shared" si="44"/>
        <v>.</v>
      </c>
      <c r="V216" s="49"/>
      <c r="W216" s="49"/>
    </row>
    <row r="217" spans="1:23" ht="45.75" thickBot="1" x14ac:dyDescent="0.3">
      <c r="A217" s="78" t="s">
        <v>817</v>
      </c>
      <c r="B217" s="127"/>
      <c r="C217" s="127"/>
      <c r="D217" s="127"/>
      <c r="E217" s="129" t="s">
        <v>1816</v>
      </c>
      <c r="F217" s="171" t="str">
        <f t="shared" si="47"/>
        <v>&lt;</v>
      </c>
      <c r="G217" s="134" t="s">
        <v>1105</v>
      </c>
      <c r="H217" s="125" t="str">
        <f t="shared" si="45"/>
        <v>mPiano</v>
      </c>
      <c r="I217" s="135" t="s">
        <v>1084</v>
      </c>
      <c r="J217" s="125" t="s">
        <v>895</v>
      </c>
      <c r="K217" s="126">
        <f t="shared" si="46"/>
        <v>118</v>
      </c>
      <c r="L217" s="171"/>
      <c r="M217" s="140" t="s">
        <v>940</v>
      </c>
      <c r="N217" s="181" t="str">
        <f t="shared" si="42"/>
        <v/>
      </c>
      <c r="O217" s="138" t="s">
        <v>1051</v>
      </c>
      <c r="P217" s="139" t="str">
        <f t="shared" ref="P217:P233" si="48">IF(MID(O217,1,3)="CH.",VALUE(MID(O217,4,2))+0,".")</f>
        <v>.</v>
      </c>
      <c r="Q217" s="171"/>
      <c r="R217" s="158" t="s">
        <v>1062</v>
      </c>
      <c r="S217" s="188" t="str">
        <f t="shared" si="43"/>
        <v/>
      </c>
      <c r="T217" s="159" t="s">
        <v>1091</v>
      </c>
      <c r="U217" s="160" t="str">
        <f t="shared" si="44"/>
        <v>.</v>
      </c>
      <c r="V217" s="49"/>
      <c r="W217" s="49"/>
    </row>
    <row r="218" spans="1:23" ht="60.75" thickBot="1" x14ac:dyDescent="0.3">
      <c r="A218" s="78" t="s">
        <v>817</v>
      </c>
      <c r="B218" s="127"/>
      <c r="C218" s="127"/>
      <c r="D218" s="127" t="s">
        <v>774</v>
      </c>
      <c r="E218" s="129" t="s">
        <v>1817</v>
      </c>
      <c r="F218" s="171" t="str">
        <f t="shared" si="47"/>
        <v>&lt;</v>
      </c>
      <c r="G218" s="134" t="s">
        <v>1087</v>
      </c>
      <c r="H218" s="125" t="str">
        <f t="shared" si="45"/>
        <v>mOrgan</v>
      </c>
      <c r="I218" s="135" t="s">
        <v>991</v>
      </c>
      <c r="J218" s="125" t="s">
        <v>896</v>
      </c>
      <c r="K218" s="126">
        <f t="shared" si="46"/>
        <v>119</v>
      </c>
      <c r="L218" s="171"/>
      <c r="M218" s="140" t="s">
        <v>914</v>
      </c>
      <c r="N218" s="181" t="str">
        <f t="shared" ref="N218:N233" si="49">IF(MID(O218,1,3)="CH.",$E218,"")</f>
        <v/>
      </c>
      <c r="O218" s="138" t="s">
        <v>1052</v>
      </c>
      <c r="P218" s="139" t="str">
        <f t="shared" si="48"/>
        <v>.</v>
      </c>
      <c r="Q218" s="171"/>
      <c r="R218" s="158" t="s">
        <v>1063</v>
      </c>
      <c r="S218" s="188" t="str">
        <f t="shared" ref="S218:S233" si="50">IF(MID(T218,1,3)="CH.",$E218,"")</f>
        <v/>
      </c>
      <c r="T218" s="159" t="s">
        <v>1092</v>
      </c>
      <c r="U218" s="160" t="str">
        <f t="shared" si="44"/>
        <v>.</v>
      </c>
      <c r="V218" s="49"/>
      <c r="W218" s="49"/>
    </row>
    <row r="219" spans="1:23" ht="60.75" thickBot="1" x14ac:dyDescent="0.3">
      <c r="A219" s="78" t="s">
        <v>817</v>
      </c>
      <c r="B219" s="127"/>
      <c r="C219" s="127"/>
      <c r="D219" s="127" t="s">
        <v>775</v>
      </c>
      <c r="E219" s="129" t="s">
        <v>1818</v>
      </c>
      <c r="F219" s="171" t="str">
        <f t="shared" si="47"/>
        <v>&lt;</v>
      </c>
      <c r="G219" s="134" t="s">
        <v>1086</v>
      </c>
      <c r="H219" s="125" t="str">
        <f t="shared" si="45"/>
        <v>mGTR</v>
      </c>
      <c r="I219" s="135" t="s">
        <v>992</v>
      </c>
      <c r="J219" s="125" t="s">
        <v>897</v>
      </c>
      <c r="K219" s="126">
        <f t="shared" si="46"/>
        <v>120</v>
      </c>
      <c r="L219" s="171"/>
      <c r="M219" s="140" t="s">
        <v>915</v>
      </c>
      <c r="N219" s="181" t="str">
        <f t="shared" si="49"/>
        <v/>
      </c>
      <c r="O219" s="138" t="s">
        <v>1053</v>
      </c>
      <c r="P219" s="139" t="str">
        <f t="shared" si="48"/>
        <v>.</v>
      </c>
      <c r="Q219" s="171"/>
      <c r="R219" s="158" t="s">
        <v>1064</v>
      </c>
      <c r="S219" s="188" t="str">
        <f t="shared" si="50"/>
        <v/>
      </c>
      <c r="T219" s="159" t="s">
        <v>1093</v>
      </c>
      <c r="U219" s="160" t="str">
        <f t="shared" si="44"/>
        <v>.</v>
      </c>
      <c r="V219" s="49"/>
      <c r="W219" s="49"/>
    </row>
    <row r="220" spans="1:23" ht="60.75" thickBot="1" x14ac:dyDescent="0.3">
      <c r="A220" s="78" t="s">
        <v>817</v>
      </c>
      <c r="B220" s="127"/>
      <c r="C220" s="127"/>
      <c r="D220" s="127" t="s">
        <v>776</v>
      </c>
      <c r="E220" s="129" t="s">
        <v>1819</v>
      </c>
      <c r="F220" s="171" t="str">
        <f t="shared" si="47"/>
        <v>&lt;</v>
      </c>
      <c r="G220" s="134" t="s">
        <v>1088</v>
      </c>
      <c r="H220" s="125" t="str">
        <f t="shared" si="45"/>
        <v>mVOX</v>
      </c>
      <c r="I220" s="135" t="s">
        <v>993</v>
      </c>
      <c r="J220" s="125" t="s">
        <v>898</v>
      </c>
      <c r="K220" s="126">
        <f t="shared" si="46"/>
        <v>121</v>
      </c>
      <c r="L220" s="171"/>
      <c r="M220" s="140" t="s">
        <v>916</v>
      </c>
      <c r="N220" s="181" t="str">
        <f t="shared" si="49"/>
        <v/>
      </c>
      <c r="O220" s="138" t="s">
        <v>1054</v>
      </c>
      <c r="P220" s="139" t="str">
        <f t="shared" si="48"/>
        <v>.</v>
      </c>
      <c r="Q220" s="171"/>
      <c r="R220" s="158" t="s">
        <v>1065</v>
      </c>
      <c r="S220" s="188" t="str">
        <f t="shared" si="50"/>
        <v/>
      </c>
      <c r="T220" s="159" t="s">
        <v>1094</v>
      </c>
      <c r="U220" s="160" t="str">
        <f t="shared" si="44"/>
        <v>.</v>
      </c>
      <c r="V220" s="49"/>
      <c r="W220" s="49"/>
    </row>
    <row r="221" spans="1:23" ht="45.75" thickBot="1" x14ac:dyDescent="0.3">
      <c r="A221" s="78" t="s">
        <v>817</v>
      </c>
      <c r="B221" s="127"/>
      <c r="C221" s="127"/>
      <c r="D221" s="127"/>
      <c r="E221" s="129" t="s">
        <v>1820</v>
      </c>
      <c r="F221" s="171" t="str">
        <f t="shared" si="47"/>
        <v>&lt;</v>
      </c>
      <c r="G221" s="134" t="s">
        <v>1106</v>
      </c>
      <c r="H221" s="125" t="str">
        <f t="shared" si="45"/>
        <v>MDRUM</v>
      </c>
      <c r="I221" s="135" t="s">
        <v>994</v>
      </c>
      <c r="J221" s="125" t="s">
        <v>899</v>
      </c>
      <c r="K221" s="126">
        <f t="shared" si="46"/>
        <v>122</v>
      </c>
      <c r="L221" s="171"/>
      <c r="M221" s="140" t="s">
        <v>917</v>
      </c>
      <c r="N221" s="181" t="str">
        <f t="shared" si="49"/>
        <v/>
      </c>
      <c r="O221" s="138" t="s">
        <v>1055</v>
      </c>
      <c r="P221" s="139" t="str">
        <f t="shared" si="48"/>
        <v>.</v>
      </c>
      <c r="Q221" s="171"/>
      <c r="R221" s="158" t="s">
        <v>1066</v>
      </c>
      <c r="S221" s="188" t="str">
        <f t="shared" si="50"/>
        <v/>
      </c>
      <c r="T221" s="159" t="s">
        <v>1095</v>
      </c>
      <c r="U221" s="160" t="str">
        <f t="shared" si="44"/>
        <v>.</v>
      </c>
      <c r="V221" s="49"/>
      <c r="W221" s="49"/>
    </row>
    <row r="222" spans="1:23" ht="45.75" thickBot="1" x14ac:dyDescent="0.3">
      <c r="A222" s="78" t="s">
        <v>817</v>
      </c>
      <c r="B222" s="127"/>
      <c r="C222" s="127"/>
      <c r="D222" s="127" t="s">
        <v>772</v>
      </c>
      <c r="E222" s="129" t="s">
        <v>1097</v>
      </c>
      <c r="F222" s="171" t="str">
        <f t="shared" si="47"/>
        <v>&lt;</v>
      </c>
      <c r="G222" s="134" t="s">
        <v>1096</v>
      </c>
      <c r="H222" s="125" t="str">
        <f t="shared" si="45"/>
        <v/>
      </c>
      <c r="I222" s="135"/>
      <c r="J222" s="125"/>
      <c r="K222" s="126" t="str">
        <f t="shared" si="46"/>
        <v>.</v>
      </c>
      <c r="L222" s="171"/>
      <c r="M222" s="140"/>
      <c r="N222" s="181" t="str">
        <f t="shared" si="49"/>
        <v/>
      </c>
      <c r="O222" s="138"/>
      <c r="P222" s="139" t="str">
        <f t="shared" si="48"/>
        <v>.</v>
      </c>
      <c r="Q222" s="171"/>
      <c r="R222" s="158"/>
      <c r="S222" s="188" t="str">
        <f t="shared" si="50"/>
        <v/>
      </c>
      <c r="T222" s="159"/>
      <c r="U222" s="160" t="str">
        <f t="shared" si="44"/>
        <v>.</v>
      </c>
      <c r="V222" s="49"/>
      <c r="W222" s="49"/>
    </row>
    <row r="223" spans="1:23" ht="30.75" thickBot="1" x14ac:dyDescent="0.3">
      <c r="A223" s="78" t="s">
        <v>817</v>
      </c>
      <c r="B223" s="127"/>
      <c r="C223" s="127"/>
      <c r="D223" s="127"/>
      <c r="E223" s="129" t="s">
        <v>1102</v>
      </c>
      <c r="F223" s="171" t="str">
        <f t="shared" si="47"/>
        <v>&lt;</v>
      </c>
      <c r="G223" s="134" t="s">
        <v>1101</v>
      </c>
      <c r="H223" s="125" t="str">
        <f t="shared" si="45"/>
        <v/>
      </c>
      <c r="I223" s="135"/>
      <c r="J223" s="125"/>
      <c r="K223" s="126" t="str">
        <f t="shared" si="46"/>
        <v>.</v>
      </c>
      <c r="L223" s="171"/>
      <c r="M223" s="140"/>
      <c r="N223" s="181" t="str">
        <f t="shared" si="49"/>
        <v/>
      </c>
      <c r="O223" s="138"/>
      <c r="P223" s="139" t="str">
        <f t="shared" si="48"/>
        <v>.</v>
      </c>
      <c r="Q223" s="171"/>
      <c r="R223" s="158"/>
      <c r="S223" s="188" t="str">
        <f t="shared" si="50"/>
        <v/>
      </c>
      <c r="T223" s="159"/>
      <c r="U223" s="160" t="str">
        <f t="shared" si="44"/>
        <v>.</v>
      </c>
      <c r="V223" s="49"/>
      <c r="W223" s="49"/>
    </row>
    <row r="224" spans="1:23" ht="30.75" thickBot="1" x14ac:dyDescent="0.3">
      <c r="A224" s="78" t="s">
        <v>817</v>
      </c>
      <c r="B224" s="127"/>
      <c r="C224" s="127"/>
      <c r="D224" s="127"/>
      <c r="E224" s="129" t="s">
        <v>1104</v>
      </c>
      <c r="F224" s="171" t="str">
        <f t="shared" si="47"/>
        <v>&lt;</v>
      </c>
      <c r="G224" s="134" t="s">
        <v>1103</v>
      </c>
      <c r="H224" s="125" t="str">
        <f t="shared" si="45"/>
        <v/>
      </c>
      <c r="I224" s="135"/>
      <c r="J224" s="125"/>
      <c r="K224" s="126" t="str">
        <f t="shared" si="46"/>
        <v>.</v>
      </c>
      <c r="L224" s="171"/>
      <c r="M224" s="140"/>
      <c r="N224" s="181" t="str">
        <f t="shared" si="49"/>
        <v/>
      </c>
      <c r="O224" s="138"/>
      <c r="P224" s="139" t="str">
        <f t="shared" si="48"/>
        <v>.</v>
      </c>
      <c r="Q224" s="171"/>
      <c r="R224" s="158"/>
      <c r="S224" s="188" t="str">
        <f t="shared" si="50"/>
        <v/>
      </c>
      <c r="T224" s="159"/>
      <c r="U224" s="160" t="str">
        <f t="shared" si="44"/>
        <v>.</v>
      </c>
      <c r="V224" s="49"/>
      <c r="W224" s="49"/>
    </row>
    <row r="225" spans="1:23" ht="33.75" customHeight="1" thickBot="1" x14ac:dyDescent="0.3">
      <c r="A225" s="78" t="s">
        <v>818</v>
      </c>
      <c r="B225" s="130"/>
      <c r="C225" s="130"/>
      <c r="D225" s="130" t="s">
        <v>773</v>
      </c>
      <c r="E225" s="131" t="s">
        <v>1098</v>
      </c>
      <c r="F225" s="170" t="str">
        <f t="shared" si="47"/>
        <v>&lt;</v>
      </c>
      <c r="G225" s="141"/>
      <c r="H225" s="88" t="str">
        <f t="shared" si="45"/>
        <v/>
      </c>
      <c r="I225" s="100"/>
      <c r="J225" s="88"/>
      <c r="K225" s="99" t="str">
        <f t="shared" si="46"/>
        <v>.</v>
      </c>
      <c r="L225" s="170"/>
      <c r="M225" s="107"/>
      <c r="N225" s="180" t="str">
        <f t="shared" si="49"/>
        <v/>
      </c>
      <c r="O225" s="117"/>
      <c r="P225" s="109" t="str">
        <f t="shared" si="48"/>
        <v>.</v>
      </c>
      <c r="Q225" s="170"/>
      <c r="R225" s="161"/>
      <c r="S225" s="189" t="str">
        <f t="shared" si="50"/>
        <v/>
      </c>
      <c r="T225" s="162"/>
      <c r="U225" s="163" t="str">
        <f t="shared" ref="U225:U233" si="51">IF(MID(T225,1,3)="CH.",VALUE(MID(T225,4,2))+48,".")</f>
        <v>.</v>
      </c>
      <c r="V225" s="49"/>
      <c r="W225" s="49"/>
    </row>
    <row r="226" spans="1:23" ht="15.75" thickBot="1" x14ac:dyDescent="0.3">
      <c r="A226" s="78" t="s">
        <v>818</v>
      </c>
      <c r="B226" s="130"/>
      <c r="C226" s="130"/>
      <c r="D226" s="130" t="s">
        <v>778</v>
      </c>
      <c r="E226" s="131" t="s">
        <v>1099</v>
      </c>
      <c r="F226" s="170" t="str">
        <f t="shared" si="47"/>
        <v>&lt;</v>
      </c>
      <c r="G226" s="141"/>
      <c r="H226" s="88" t="str">
        <f t="shared" si="45"/>
        <v/>
      </c>
      <c r="I226" s="100"/>
      <c r="J226" s="88"/>
      <c r="K226" s="99" t="str">
        <f t="shared" si="46"/>
        <v>.</v>
      </c>
      <c r="L226" s="170"/>
      <c r="M226" s="107"/>
      <c r="N226" s="180" t="str">
        <f t="shared" si="49"/>
        <v/>
      </c>
      <c r="O226" s="117"/>
      <c r="P226" s="109" t="str">
        <f t="shared" si="48"/>
        <v>.</v>
      </c>
      <c r="Q226" s="170"/>
      <c r="R226" s="161"/>
      <c r="S226" s="189" t="str">
        <f t="shared" si="50"/>
        <v/>
      </c>
      <c r="T226" s="162"/>
      <c r="U226" s="163" t="str">
        <f t="shared" si="51"/>
        <v>.</v>
      </c>
      <c r="V226" s="49"/>
      <c r="W226" s="49"/>
    </row>
    <row r="227" spans="1:23" ht="15.75" thickBot="1" x14ac:dyDescent="0.3">
      <c r="A227" s="78" t="s">
        <v>818</v>
      </c>
      <c r="B227" s="130"/>
      <c r="C227" s="130"/>
      <c r="D227" s="130" t="s">
        <v>779</v>
      </c>
      <c r="E227" s="131" t="s">
        <v>1100</v>
      </c>
      <c r="F227" s="170" t="str">
        <f t="shared" si="47"/>
        <v>&lt;</v>
      </c>
      <c r="G227" s="141"/>
      <c r="H227" s="88" t="str">
        <f t="shared" si="45"/>
        <v/>
      </c>
      <c r="I227" s="100"/>
      <c r="J227" s="88"/>
      <c r="K227" s="99" t="str">
        <f t="shared" si="46"/>
        <v>.</v>
      </c>
      <c r="L227" s="170"/>
      <c r="M227" s="107"/>
      <c r="N227" s="180" t="str">
        <f t="shared" si="49"/>
        <v/>
      </c>
      <c r="O227" s="117"/>
      <c r="P227" s="109" t="str">
        <f t="shared" si="48"/>
        <v>.</v>
      </c>
      <c r="Q227" s="170"/>
      <c r="R227" s="161"/>
      <c r="S227" s="189" t="str">
        <f t="shared" si="50"/>
        <v/>
      </c>
      <c r="T227" s="162"/>
      <c r="U227" s="163" t="str">
        <f t="shared" si="51"/>
        <v>.</v>
      </c>
      <c r="V227" s="49"/>
      <c r="W227" s="49"/>
    </row>
    <row r="228" spans="1:23" ht="15.75" thickBot="1" x14ac:dyDescent="0.3">
      <c r="A228" s="57"/>
      <c r="B228" s="132"/>
      <c r="C228" s="132" t="s">
        <v>795</v>
      </c>
      <c r="D228" s="132"/>
      <c r="E228" s="133"/>
      <c r="G228" s="122"/>
      <c r="H228" s="88" t="str">
        <f t="shared" si="45"/>
        <v/>
      </c>
      <c r="I228" s="103"/>
      <c r="J228" s="55"/>
      <c r="K228" s="99" t="str">
        <f t="shared" si="46"/>
        <v>.</v>
      </c>
      <c r="M228" s="54"/>
      <c r="N228" s="178" t="str">
        <f t="shared" si="49"/>
        <v/>
      </c>
      <c r="O228" s="115"/>
      <c r="P228" s="110" t="str">
        <f t="shared" si="48"/>
        <v>.</v>
      </c>
      <c r="R228" s="145"/>
      <c r="S228" s="184" t="str">
        <f t="shared" si="50"/>
        <v/>
      </c>
      <c r="T228" s="146"/>
      <c r="U228" s="148" t="str">
        <f t="shared" si="51"/>
        <v>.</v>
      </c>
      <c r="V228" s="49"/>
      <c r="W228" s="49"/>
    </row>
    <row r="229" spans="1:23" ht="15.75" thickBot="1" x14ac:dyDescent="0.3">
      <c r="A229" s="57" t="s">
        <v>816</v>
      </c>
      <c r="B229" s="132"/>
      <c r="C229" s="132" t="s">
        <v>761</v>
      </c>
      <c r="D229" s="132"/>
      <c r="E229" s="133"/>
      <c r="F229" s="49" t="str">
        <f t="shared" si="4"/>
        <v>&gt;</v>
      </c>
      <c r="G229" s="122"/>
      <c r="H229" s="88" t="str">
        <f t="shared" si="45"/>
        <v/>
      </c>
      <c r="I229" s="103"/>
      <c r="J229" s="55"/>
      <c r="K229" s="99" t="str">
        <f t="shared" si="46"/>
        <v>.</v>
      </c>
      <c r="M229" s="54"/>
      <c r="N229" s="178" t="str">
        <f t="shared" si="49"/>
        <v/>
      </c>
      <c r="O229" s="115"/>
      <c r="P229" s="110" t="str">
        <f t="shared" si="48"/>
        <v>.</v>
      </c>
      <c r="R229" s="145"/>
      <c r="S229" s="184" t="str">
        <f t="shared" si="50"/>
        <v/>
      </c>
      <c r="T229" s="146"/>
      <c r="U229" s="148" t="str">
        <f t="shared" si="51"/>
        <v>.</v>
      </c>
      <c r="V229" s="49"/>
      <c r="W229" s="49"/>
    </row>
    <row r="230" spans="1:23" ht="15.75" thickBot="1" x14ac:dyDescent="0.3">
      <c r="A230" s="57" t="s">
        <v>816</v>
      </c>
      <c r="B230" s="96"/>
      <c r="C230" s="96"/>
      <c r="D230" s="96" t="s">
        <v>763</v>
      </c>
      <c r="E230" s="58" t="s">
        <v>764</v>
      </c>
      <c r="F230" s="49" t="str">
        <f t="shared" si="4"/>
        <v>&gt;</v>
      </c>
      <c r="G230" s="122"/>
      <c r="H230" s="88" t="str">
        <f t="shared" si="45"/>
        <v/>
      </c>
      <c r="I230" s="103"/>
      <c r="J230" s="55"/>
      <c r="K230" s="99" t="str">
        <f t="shared" si="46"/>
        <v>.</v>
      </c>
      <c r="M230" s="54"/>
      <c r="N230" s="178" t="str">
        <f t="shared" si="49"/>
        <v/>
      </c>
      <c r="O230" s="115"/>
      <c r="P230" s="110" t="str">
        <f t="shared" si="48"/>
        <v>.</v>
      </c>
      <c r="R230" s="145"/>
      <c r="S230" s="184" t="str">
        <f t="shared" si="50"/>
        <v/>
      </c>
      <c r="T230" s="146"/>
      <c r="U230" s="148" t="str">
        <f t="shared" si="51"/>
        <v>.</v>
      </c>
      <c r="V230" s="49"/>
      <c r="W230" s="49"/>
    </row>
    <row r="231" spans="1:23" ht="15.75" thickBot="1" x14ac:dyDescent="0.3">
      <c r="A231" s="57" t="s">
        <v>816</v>
      </c>
      <c r="B231" s="96"/>
      <c r="C231" s="96"/>
      <c r="D231" s="96" t="s">
        <v>765</v>
      </c>
      <c r="E231" s="58" t="s">
        <v>764</v>
      </c>
      <c r="F231" s="49" t="str">
        <f t="shared" si="4"/>
        <v>&gt;</v>
      </c>
      <c r="G231" s="122"/>
      <c r="H231" s="88" t="str">
        <f t="shared" si="45"/>
        <v/>
      </c>
      <c r="I231" s="103"/>
      <c r="J231" s="55"/>
      <c r="K231" s="99" t="str">
        <f t="shared" si="46"/>
        <v>.</v>
      </c>
      <c r="M231" s="54"/>
      <c r="N231" s="178" t="str">
        <f t="shared" si="49"/>
        <v/>
      </c>
      <c r="O231" s="115"/>
      <c r="P231" s="110" t="str">
        <f t="shared" si="48"/>
        <v>.</v>
      </c>
      <c r="R231" s="145"/>
      <c r="S231" s="184" t="str">
        <f t="shared" si="50"/>
        <v/>
      </c>
      <c r="T231" s="146"/>
      <c r="U231" s="148" t="str">
        <f t="shared" si="51"/>
        <v>.</v>
      </c>
      <c r="V231" s="49"/>
      <c r="W231" s="49"/>
    </row>
    <row r="232" spans="1:23" ht="15.75" thickBot="1" x14ac:dyDescent="0.3">
      <c r="A232" s="57" t="s">
        <v>816</v>
      </c>
      <c r="B232" s="96"/>
      <c r="C232" s="96"/>
      <c r="D232" s="96" t="s">
        <v>766</v>
      </c>
      <c r="E232" s="58" t="s">
        <v>764</v>
      </c>
      <c r="F232" s="49" t="str">
        <f t="shared" si="4"/>
        <v>&gt;</v>
      </c>
      <c r="G232" s="122"/>
      <c r="H232" s="88" t="str">
        <f t="shared" si="45"/>
        <v/>
      </c>
      <c r="I232" s="103"/>
      <c r="J232" s="55"/>
      <c r="K232" s="99" t="str">
        <f t="shared" si="46"/>
        <v>.</v>
      </c>
      <c r="M232" s="54"/>
      <c r="N232" s="178" t="str">
        <f t="shared" si="49"/>
        <v/>
      </c>
      <c r="O232" s="115"/>
      <c r="P232" s="110" t="str">
        <f t="shared" si="48"/>
        <v>.</v>
      </c>
      <c r="R232" s="145"/>
      <c r="S232" s="184" t="str">
        <f t="shared" si="50"/>
        <v/>
      </c>
      <c r="T232" s="146"/>
      <c r="U232" s="148" t="str">
        <f t="shared" si="51"/>
        <v>.</v>
      </c>
      <c r="V232" s="49"/>
      <c r="W232" s="49"/>
    </row>
    <row r="233" spans="1:23" ht="15.75" thickBot="1" x14ac:dyDescent="0.3">
      <c r="A233" s="57" t="s">
        <v>816</v>
      </c>
      <c r="B233" s="96"/>
      <c r="C233" s="96"/>
      <c r="D233" s="96" t="s">
        <v>760</v>
      </c>
      <c r="E233" s="58" t="s">
        <v>767</v>
      </c>
      <c r="F233" s="49" t="str">
        <f t="shared" si="4"/>
        <v>&gt;</v>
      </c>
      <c r="G233" s="123"/>
      <c r="H233" s="124" t="str">
        <f t="shared" si="45"/>
        <v/>
      </c>
      <c r="I233" s="104"/>
      <c r="J233" s="79"/>
      <c r="K233" s="105" t="str">
        <f t="shared" si="46"/>
        <v>.</v>
      </c>
      <c r="M233" s="81"/>
      <c r="N233" s="182" t="str">
        <f t="shared" si="49"/>
        <v/>
      </c>
      <c r="O233" s="118"/>
      <c r="P233" s="113" t="str">
        <f t="shared" si="48"/>
        <v>.</v>
      </c>
      <c r="R233" s="164"/>
      <c r="S233" s="190" t="str">
        <f t="shared" si="50"/>
        <v/>
      </c>
      <c r="T233" s="165"/>
      <c r="U233" s="166" t="str">
        <f t="shared" si="51"/>
        <v>.</v>
      </c>
      <c r="V233" s="49"/>
      <c r="W233" s="49"/>
    </row>
  </sheetData>
  <phoneticPr fontId="1" type="noConversion"/>
  <conditionalFormatting sqref="J2:K233">
    <cfRule type="expression" dxfId="1" priority="1">
      <formula>"mid($H2,1,3)=""CH."""</formula>
    </cfRule>
  </conditionalFormatting>
  <conditionalFormatting sqref="O2:O233">
    <cfRule type="expression" dxfId="0" priority="2">
      <formula>"mid($N2,1,3)=""CH."""</formula>
    </cfRule>
  </conditionalFormatting>
  <printOptions horizontalCentered="1"/>
  <pageMargins left="0.25" right="0.25" top="0.5" bottom="0.5" header="0.3" footer="0.3"/>
  <pageSetup scale="69" fitToHeight="13" orientation="landscape" r:id="rId1"/>
  <headerFooter>
    <oddFooter>&amp;L&amp;F&amp;CPage &amp;P of &amp;N&amp;R&amp;D&amp;T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D689-4E04-485B-8EE6-002E59FA92E2}">
  <dimension ref="A1:E120"/>
  <sheetViews>
    <sheetView topLeftCell="A73" workbookViewId="0">
      <selection activeCell="B2" sqref="B2"/>
    </sheetView>
  </sheetViews>
  <sheetFormatPr defaultRowHeight="15" x14ac:dyDescent="0.25"/>
  <cols>
    <col min="1" max="1" width="13.5703125" customWidth="1"/>
    <col min="2" max="2" width="18.28515625" style="68" customWidth="1"/>
    <col min="4" max="4" width="13" style="73" customWidth="1"/>
    <col min="5" max="5" width="14.28515625" customWidth="1"/>
  </cols>
  <sheetData>
    <row r="1" spans="1:5" x14ac:dyDescent="0.25">
      <c r="A1" t="s">
        <v>1712</v>
      </c>
      <c r="B1" s="68" t="s">
        <v>1742</v>
      </c>
      <c r="D1" s="73" t="s">
        <v>1704</v>
      </c>
      <c r="E1" s="67" t="s">
        <v>1717</v>
      </c>
    </row>
    <row r="2" spans="1:5" x14ac:dyDescent="0.25">
      <c r="A2" t="s">
        <v>1278</v>
      </c>
      <c r="B2" s="68" t="s">
        <v>1310</v>
      </c>
      <c r="C2" t="s">
        <v>1344</v>
      </c>
      <c r="D2" s="73" t="s">
        <v>714</v>
      </c>
      <c r="E2" t="str">
        <f>_xlfn.XLOOKUP($D2,REFS!$B$2:$B$187,REFS!$F$2:$F$187,"-")</f>
        <v>cmx.L.in.01</v>
      </c>
    </row>
    <row r="3" spans="1:5" x14ac:dyDescent="0.25">
      <c r="A3" t="s">
        <v>1279</v>
      </c>
      <c r="B3" s="68" t="s">
        <v>1311</v>
      </c>
      <c r="C3" t="s">
        <v>1345</v>
      </c>
      <c r="D3" s="73" t="s">
        <v>1155</v>
      </c>
      <c r="E3" t="str">
        <f>_xlfn.XLOOKUP($D3,REFS!$B$2:$B$187,REFS!$F$2:$F$187,"-")</f>
        <v>cmx.L.in.02</v>
      </c>
    </row>
    <row r="4" spans="1:5" x14ac:dyDescent="0.25">
      <c r="A4" t="s">
        <v>1280</v>
      </c>
      <c r="B4" s="68" t="s">
        <v>1312</v>
      </c>
      <c r="C4" t="s">
        <v>1346</v>
      </c>
      <c r="D4" s="73" t="s">
        <v>713</v>
      </c>
      <c r="E4" t="str">
        <f>_xlfn.XLOOKUP($D4,REFS!$B$2:$B$187,REFS!$F$2:$F$187,"-")</f>
        <v>cmx.L.in.03</v>
      </c>
    </row>
    <row r="5" spans="1:5" x14ac:dyDescent="0.25">
      <c r="A5" t="s">
        <v>1281</v>
      </c>
      <c r="B5" s="68" t="s">
        <v>1313</v>
      </c>
      <c r="C5" t="s">
        <v>1347</v>
      </c>
      <c r="D5" s="73" t="s">
        <v>715</v>
      </c>
      <c r="E5" t="str">
        <f>_xlfn.XLOOKUP($D5,REFS!$B$2:$B$187,REFS!$F$2:$F$187,"-")</f>
        <v>cmx.L.in.04</v>
      </c>
    </row>
    <row r="6" spans="1:5" x14ac:dyDescent="0.25">
      <c r="A6" t="s">
        <v>1282</v>
      </c>
      <c r="B6" s="68" t="s">
        <v>1314</v>
      </c>
      <c r="C6" t="s">
        <v>1348</v>
      </c>
      <c r="D6" s="73" t="s">
        <v>1718</v>
      </c>
      <c r="E6" t="str">
        <f>_xlfn.XLOOKUP($D6,REFS!$B$2:$B$187,REFS!$F$2:$F$187,"-")</f>
        <v>cmx.L.in.05</v>
      </c>
    </row>
    <row r="7" spans="1:5" x14ac:dyDescent="0.25">
      <c r="A7" t="s">
        <v>1283</v>
      </c>
      <c r="B7" s="68" t="s">
        <v>1315</v>
      </c>
      <c r="C7" t="s">
        <v>1349</v>
      </c>
      <c r="D7" s="73" t="s">
        <v>1719</v>
      </c>
      <c r="E7" t="str">
        <f>_xlfn.XLOOKUP($D7,REFS!$B$2:$B$187,REFS!$F$2:$F$187,"-")</f>
        <v>cmx.L.in.06</v>
      </c>
    </row>
    <row r="8" spans="1:5" x14ac:dyDescent="0.25">
      <c r="A8" t="s">
        <v>1284</v>
      </c>
      <c r="B8" s="68" t="s">
        <v>1316</v>
      </c>
      <c r="C8" t="s">
        <v>1350</v>
      </c>
      <c r="D8" s="73" t="s">
        <v>1720</v>
      </c>
      <c r="E8" t="str">
        <f>_xlfn.XLOOKUP($D8,REFS!$B$2:$B$187,REFS!$F$2:$F$187,"-")</f>
        <v>cmx.L.in.07</v>
      </c>
    </row>
    <row r="9" spans="1:5" x14ac:dyDescent="0.25">
      <c r="A9" t="s">
        <v>1285</v>
      </c>
      <c r="B9" s="68" t="s">
        <v>1317</v>
      </c>
      <c r="C9" t="s">
        <v>1351</v>
      </c>
      <c r="D9" s="73" t="s">
        <v>1429</v>
      </c>
      <c r="E9" t="str">
        <f>_xlfn.XLOOKUP($D9,REFS!$B$2:$B$187,REFS!$F$2:$F$187,"-")</f>
        <v>cmx.L.in.11</v>
      </c>
    </row>
    <row r="10" spans="1:5" x14ac:dyDescent="0.25">
      <c r="A10" t="s">
        <v>1286</v>
      </c>
      <c r="C10" t="s">
        <v>1352</v>
      </c>
      <c r="D10" s="73" t="s">
        <v>1721</v>
      </c>
      <c r="E10" t="str">
        <f>_xlfn.XLOOKUP($D10,REFS!$B$2:$B$187,REFS!$F$2:$F$187,"-")</f>
        <v>-</v>
      </c>
    </row>
    <row r="11" spans="1:5" x14ac:dyDescent="0.25">
      <c r="A11" t="s">
        <v>1287</v>
      </c>
      <c r="C11" t="s">
        <v>1353</v>
      </c>
      <c r="D11" s="73" t="s">
        <v>1721</v>
      </c>
      <c r="E11" t="str">
        <f>_xlfn.XLOOKUP($D11,REFS!$B$2:$B$187,REFS!$F$2:$F$187,"-")</f>
        <v>-</v>
      </c>
    </row>
    <row r="12" spans="1:5" x14ac:dyDescent="0.25">
      <c r="A12" t="s">
        <v>1288</v>
      </c>
      <c r="C12" t="s">
        <v>1354</v>
      </c>
      <c r="D12" s="73" t="s">
        <v>1721</v>
      </c>
      <c r="E12" t="str">
        <f>_xlfn.XLOOKUP($D12,REFS!$B$2:$B$187,REFS!$F$2:$F$187,"-")</f>
        <v>-</v>
      </c>
    </row>
    <row r="13" spans="1:5" x14ac:dyDescent="0.25">
      <c r="A13" t="s">
        <v>1289</v>
      </c>
      <c r="C13" t="s">
        <v>1355</v>
      </c>
      <c r="D13" s="73" t="s">
        <v>1721</v>
      </c>
      <c r="E13" t="str">
        <f>_xlfn.XLOOKUP($D13,REFS!$B$2:$B$187,REFS!$F$2:$F$187,"-")</f>
        <v>-</v>
      </c>
    </row>
    <row r="14" spans="1:5" x14ac:dyDescent="0.25">
      <c r="A14" t="s">
        <v>1290</v>
      </c>
      <c r="C14" t="s">
        <v>1356</v>
      </c>
      <c r="D14" s="73" t="s">
        <v>1721</v>
      </c>
      <c r="E14" t="str">
        <f>_xlfn.XLOOKUP($D14,REFS!$B$2:$B$187,REFS!$F$2:$F$187,"-")</f>
        <v>-</v>
      </c>
    </row>
    <row r="15" spans="1:5" x14ac:dyDescent="0.25">
      <c r="A15" t="s">
        <v>1291</v>
      </c>
      <c r="C15" t="s">
        <v>1357</v>
      </c>
      <c r="D15" s="73" t="s">
        <v>1721</v>
      </c>
      <c r="E15" t="str">
        <f>_xlfn.XLOOKUP($D15,REFS!$B$2:$B$187,REFS!$F$2:$F$187,"-")</f>
        <v>-</v>
      </c>
    </row>
    <row r="16" spans="1:5" x14ac:dyDescent="0.25">
      <c r="A16" t="s">
        <v>1292</v>
      </c>
      <c r="B16" s="68" t="s">
        <v>723</v>
      </c>
      <c r="C16" t="s">
        <v>1358</v>
      </c>
      <c r="D16" s="73" t="s">
        <v>723</v>
      </c>
      <c r="E16" t="str">
        <f>_xlfn.XLOOKUP($D16,REFS!$B$2:$B$187,REFS!$F$2:$F$187,"-")</f>
        <v>cmx.L.in.15</v>
      </c>
    </row>
    <row r="17" spans="1:5" x14ac:dyDescent="0.25">
      <c r="A17" t="s">
        <v>1293</v>
      </c>
      <c r="B17" s="68" t="s">
        <v>724</v>
      </c>
      <c r="C17" t="s">
        <v>1359</v>
      </c>
      <c r="D17" s="73" t="s">
        <v>724</v>
      </c>
      <c r="E17" t="str">
        <f>_xlfn.XLOOKUP($D17,REFS!$B$2:$B$187,REFS!$F$2:$F$187,"-")</f>
        <v>cmx.L.in.16</v>
      </c>
    </row>
    <row r="18" spans="1:5" x14ac:dyDescent="0.25">
      <c r="A18" s="65" t="s">
        <v>1294</v>
      </c>
      <c r="B18" s="74" t="s">
        <v>1318</v>
      </c>
      <c r="C18" s="65" t="s">
        <v>1360</v>
      </c>
      <c r="D18" s="73" t="s">
        <v>1721</v>
      </c>
      <c r="E18" t="str">
        <f>_xlfn.XLOOKUP($D18,REFS!$B$2:$B$187,REFS!$F$2:$F$187,"-")</f>
        <v>-</v>
      </c>
    </row>
    <row r="19" spans="1:5" x14ac:dyDescent="0.25">
      <c r="A19" s="65" t="s">
        <v>1295</v>
      </c>
      <c r="B19" s="74" t="s">
        <v>1319</v>
      </c>
      <c r="C19" s="65" t="s">
        <v>1361</v>
      </c>
      <c r="D19" s="73" t="s">
        <v>1721</v>
      </c>
      <c r="E19" t="str">
        <f>_xlfn.XLOOKUP($D19,REFS!$B$2:$B$187,REFS!$F$2:$F$187,"-")</f>
        <v>-</v>
      </c>
    </row>
    <row r="20" spans="1:5" x14ac:dyDescent="0.25">
      <c r="A20" s="65" t="s">
        <v>1296</v>
      </c>
      <c r="B20" s="74" t="s">
        <v>1320</v>
      </c>
      <c r="C20" s="65" t="s">
        <v>1362</v>
      </c>
      <c r="D20" s="73" t="s">
        <v>1721</v>
      </c>
      <c r="E20" t="str">
        <f>_xlfn.XLOOKUP($D20,REFS!$B$2:$B$187,REFS!$F$2:$F$187,"-")</f>
        <v>-</v>
      </c>
    </row>
    <row r="21" spans="1:5" x14ac:dyDescent="0.25">
      <c r="A21" s="65" t="s">
        <v>1297</v>
      </c>
      <c r="B21" s="74" t="s">
        <v>1321</v>
      </c>
      <c r="C21" s="65" t="s">
        <v>1363</v>
      </c>
      <c r="D21" s="73" t="s">
        <v>1721</v>
      </c>
      <c r="E21" t="str">
        <f>_xlfn.XLOOKUP($D21,REFS!$B$2:$B$187,REFS!$F$2:$F$187,"-")</f>
        <v>-</v>
      </c>
    </row>
    <row r="22" spans="1:5" x14ac:dyDescent="0.25">
      <c r="A22" s="65" t="s">
        <v>1298</v>
      </c>
      <c r="B22" s="74" t="s">
        <v>1322</v>
      </c>
      <c r="C22" s="65" t="s">
        <v>1364</v>
      </c>
      <c r="D22" s="73" t="s">
        <v>1721</v>
      </c>
      <c r="E22" t="str">
        <f>_xlfn.XLOOKUP($D22,REFS!$B$2:$B$187,REFS!$F$2:$F$187,"-")</f>
        <v>-</v>
      </c>
    </row>
    <row r="23" spans="1:5" x14ac:dyDescent="0.25">
      <c r="A23" s="65" t="s">
        <v>1299</v>
      </c>
      <c r="B23" s="74" t="s">
        <v>1323</v>
      </c>
      <c r="C23" s="65" t="s">
        <v>1365</v>
      </c>
      <c r="D23" s="73" t="s">
        <v>1721</v>
      </c>
      <c r="E23" t="str">
        <f>_xlfn.XLOOKUP($D23,REFS!$B$2:$B$187,REFS!$F$2:$F$187,"-")</f>
        <v>-</v>
      </c>
    </row>
    <row r="24" spans="1:5" x14ac:dyDescent="0.25">
      <c r="A24" s="65" t="s">
        <v>1300</v>
      </c>
      <c r="B24" s="74" t="s">
        <v>1324</v>
      </c>
      <c r="C24" s="65" t="s">
        <v>1366</v>
      </c>
      <c r="D24" s="73" t="s">
        <v>1721</v>
      </c>
      <c r="E24" t="str">
        <f>_xlfn.XLOOKUP($D24,REFS!$B$2:$B$187,REFS!$F$2:$F$187,"-")</f>
        <v>-</v>
      </c>
    </row>
    <row r="25" spans="1:5" x14ac:dyDescent="0.25">
      <c r="A25" s="65" t="s">
        <v>1301</v>
      </c>
      <c r="B25" s="74" t="s">
        <v>1325</v>
      </c>
      <c r="C25" s="65" t="s">
        <v>1367</v>
      </c>
      <c r="D25" s="73" t="s">
        <v>1721</v>
      </c>
      <c r="E25" t="str">
        <f>_xlfn.XLOOKUP($D25,REFS!$B$2:$B$187,REFS!$F$2:$F$187,"-")</f>
        <v>-</v>
      </c>
    </row>
    <row r="26" spans="1:5" x14ac:dyDescent="0.25">
      <c r="A26" s="65" t="s">
        <v>1302</v>
      </c>
      <c r="B26" s="74" t="s">
        <v>1326</v>
      </c>
      <c r="C26" s="65" t="s">
        <v>1368</v>
      </c>
      <c r="D26" s="73" t="s">
        <v>1721</v>
      </c>
      <c r="E26" t="str">
        <f>_xlfn.XLOOKUP($D26,REFS!$B$2:$B$187,REFS!$F$2:$F$187,"-")</f>
        <v>-</v>
      </c>
    </row>
    <row r="27" spans="1:5" x14ac:dyDescent="0.25">
      <c r="A27" s="65" t="s">
        <v>1303</v>
      </c>
      <c r="B27" s="74" t="s">
        <v>1327</v>
      </c>
      <c r="C27" s="65" t="s">
        <v>1369</v>
      </c>
      <c r="D27" s="73" t="s">
        <v>1721</v>
      </c>
      <c r="E27" t="str">
        <f>_xlfn.XLOOKUP($D27,REFS!$B$2:$B$187,REFS!$F$2:$F$187,"-")</f>
        <v>-</v>
      </c>
    </row>
    <row r="28" spans="1:5" x14ac:dyDescent="0.25">
      <c r="A28" s="63" t="s">
        <v>1304</v>
      </c>
      <c r="B28" s="75"/>
      <c r="C28" s="64" t="str">
        <f>"-"</f>
        <v>-</v>
      </c>
      <c r="D28" s="73" t="s">
        <v>1721</v>
      </c>
      <c r="E28" t="str">
        <f>_xlfn.XLOOKUP($D28,REFS!$B$2:$B$187,REFS!$F$2:$F$187,"-")</f>
        <v>-</v>
      </c>
    </row>
    <row r="29" spans="1:5" x14ac:dyDescent="0.25">
      <c r="A29" s="63" t="s">
        <v>1305</v>
      </c>
      <c r="B29" s="75"/>
      <c r="C29" s="64" t="str">
        <f t="shared" ref="C29:C33" si="0">"-"</f>
        <v>-</v>
      </c>
      <c r="D29" s="73" t="s">
        <v>1721</v>
      </c>
      <c r="E29" t="str">
        <f>_xlfn.XLOOKUP($D29,REFS!$B$2:$B$187,REFS!$F$2:$F$187,"-")</f>
        <v>-</v>
      </c>
    </row>
    <row r="30" spans="1:5" x14ac:dyDescent="0.25">
      <c r="A30" s="63" t="s">
        <v>1306</v>
      </c>
      <c r="B30" s="75"/>
      <c r="C30" s="64" t="str">
        <f t="shared" si="0"/>
        <v>-</v>
      </c>
      <c r="D30" s="73" t="s">
        <v>1721</v>
      </c>
      <c r="E30" t="str">
        <f>_xlfn.XLOOKUP($D30,REFS!$B$2:$B$187,REFS!$F$2:$F$187,"-")</f>
        <v>-</v>
      </c>
    </row>
    <row r="31" spans="1:5" x14ac:dyDescent="0.25">
      <c r="A31" s="63" t="s">
        <v>1307</v>
      </c>
      <c r="B31" s="75"/>
      <c r="C31" s="64" t="str">
        <f t="shared" si="0"/>
        <v>-</v>
      </c>
      <c r="D31" s="73" t="s">
        <v>1721</v>
      </c>
      <c r="E31" t="str">
        <f>_xlfn.XLOOKUP($D31,REFS!$B$2:$B$187,REFS!$F$2:$F$187,"-")</f>
        <v>-</v>
      </c>
    </row>
    <row r="32" spans="1:5" x14ac:dyDescent="0.25">
      <c r="A32" s="63" t="s">
        <v>1308</v>
      </c>
      <c r="B32" s="75"/>
      <c r="C32" s="64" t="str">
        <f t="shared" si="0"/>
        <v>-</v>
      </c>
      <c r="D32" s="73" t="s">
        <v>1721</v>
      </c>
      <c r="E32" t="str">
        <f>_xlfn.XLOOKUP($D32,REFS!$B$2:$B$187,REFS!$F$2:$F$187,"-")</f>
        <v>-</v>
      </c>
    </row>
    <row r="33" spans="1:5" x14ac:dyDescent="0.25">
      <c r="A33" s="63" t="s">
        <v>1309</v>
      </c>
      <c r="B33" s="75"/>
      <c r="C33" s="64" t="str">
        <f t="shared" si="0"/>
        <v>-</v>
      </c>
      <c r="D33" s="73" t="s">
        <v>1721</v>
      </c>
      <c r="E33" t="str">
        <f>_xlfn.XLOOKUP($D33,REFS!$B$2:$B$187,REFS!$F$2:$F$187,"-")</f>
        <v>-</v>
      </c>
    </row>
    <row r="34" spans="1:5" x14ac:dyDescent="0.25">
      <c r="A34" s="65" t="s">
        <v>1334</v>
      </c>
      <c r="B34" s="74" t="s">
        <v>1338</v>
      </c>
      <c r="C34" s="65" t="s">
        <v>1370</v>
      </c>
      <c r="D34" s="73" t="s">
        <v>1721</v>
      </c>
      <c r="E34" t="str">
        <f>_xlfn.XLOOKUP($D34,REFS!$B$2:$B$187,REFS!$F$2:$F$187,"-")</f>
        <v>-</v>
      </c>
    </row>
    <row r="35" spans="1:5" x14ac:dyDescent="0.25">
      <c r="A35" s="65" t="s">
        <v>1335</v>
      </c>
      <c r="B35" s="74" t="s">
        <v>1339</v>
      </c>
      <c r="C35" s="65" t="s">
        <v>1371</v>
      </c>
      <c r="D35" s="73" t="s">
        <v>1721</v>
      </c>
      <c r="E35" t="str">
        <f>_xlfn.XLOOKUP($D35,REFS!$B$2:$B$187,REFS!$F$2:$F$187,"-")</f>
        <v>-</v>
      </c>
    </row>
    <row r="36" spans="1:5" x14ac:dyDescent="0.25">
      <c r="A36" s="65" t="s">
        <v>1332</v>
      </c>
      <c r="B36" s="74" t="s">
        <v>1340</v>
      </c>
      <c r="C36" s="65" t="s">
        <v>1372</v>
      </c>
      <c r="D36" s="73" t="s">
        <v>1721</v>
      </c>
      <c r="E36" t="str">
        <f>_xlfn.XLOOKUP($D36,REFS!$B$2:$B$187,REFS!$F$2:$F$187,"-")</f>
        <v>-</v>
      </c>
    </row>
    <row r="37" spans="1:5" x14ac:dyDescent="0.25">
      <c r="A37" s="65" t="s">
        <v>1333</v>
      </c>
      <c r="B37" s="74" t="s">
        <v>1341</v>
      </c>
      <c r="C37" s="65" t="s">
        <v>1373</v>
      </c>
      <c r="D37" s="73" t="s">
        <v>1721</v>
      </c>
      <c r="E37" t="str">
        <f>_xlfn.XLOOKUP($D37,REFS!$B$2:$B$187,REFS!$F$2:$F$187,"-")</f>
        <v>-</v>
      </c>
    </row>
    <row r="38" spans="1:5" x14ac:dyDescent="0.25">
      <c r="A38" s="65" t="s">
        <v>1336</v>
      </c>
      <c r="B38" s="74" t="s">
        <v>1342</v>
      </c>
      <c r="C38" s="65" t="s">
        <v>1374</v>
      </c>
      <c r="D38" s="73" t="s">
        <v>1721</v>
      </c>
      <c r="E38" t="str">
        <f>_xlfn.XLOOKUP($D38,REFS!$B$2:$B$187,REFS!$F$2:$F$187,"-")</f>
        <v>-</v>
      </c>
    </row>
    <row r="39" spans="1:5" x14ac:dyDescent="0.25">
      <c r="A39" s="65" t="s">
        <v>1337</v>
      </c>
      <c r="B39" s="74" t="s">
        <v>1343</v>
      </c>
      <c r="C39" s="65" t="s">
        <v>1375</v>
      </c>
      <c r="D39" s="73" t="s">
        <v>1721</v>
      </c>
      <c r="E39" t="str">
        <f>_xlfn.XLOOKUP($D39,REFS!$B$2:$B$187,REFS!$F$2:$F$187,"-")</f>
        <v>-</v>
      </c>
    </row>
    <row r="40" spans="1:5" x14ac:dyDescent="0.25">
      <c r="A40" t="s">
        <v>1158</v>
      </c>
      <c r="B40" s="74" t="s">
        <v>1277</v>
      </c>
      <c r="D40" s="73" t="s">
        <v>1721</v>
      </c>
      <c r="E40" t="str">
        <f>_xlfn.XLOOKUP($D40,REFS!$B$2:$B$187,REFS!$F$2:$F$187,"-")</f>
        <v>-</v>
      </c>
    </row>
    <row r="41" spans="1:5" x14ac:dyDescent="0.25">
      <c r="A41" t="s">
        <v>1159</v>
      </c>
      <c r="B41" s="68" t="s">
        <v>1734</v>
      </c>
      <c r="D41" s="73" t="s">
        <v>1198</v>
      </c>
      <c r="E41" t="str">
        <f>_xlfn.XLOOKUP($D41,REFS!$B$2:$B$187,REFS!$F$2:$F$187,"-")</f>
        <v>cm.DL16.2.01</v>
      </c>
    </row>
    <row r="42" spans="1:5" x14ac:dyDescent="0.25">
      <c r="A42" t="s">
        <v>1160</v>
      </c>
      <c r="B42" s="68" t="s">
        <v>1735</v>
      </c>
      <c r="D42" s="73" t="s">
        <v>1199</v>
      </c>
      <c r="E42" t="str">
        <f>_xlfn.XLOOKUP($D42,REFS!$B$2:$B$187,REFS!$F$2:$F$187,"-")</f>
        <v>cm.DL16.2.02</v>
      </c>
    </row>
    <row r="43" spans="1:5" x14ac:dyDescent="0.25">
      <c r="A43" t="s">
        <v>1161</v>
      </c>
      <c r="B43" s="68" t="s">
        <v>1736</v>
      </c>
      <c r="D43" s="73" t="s">
        <v>1200</v>
      </c>
      <c r="E43" t="str">
        <f>_xlfn.XLOOKUP($D43,REFS!$B$2:$B$187,REFS!$F$2:$F$187,"-")</f>
        <v>cm.DL16.2.03</v>
      </c>
    </row>
    <row r="44" spans="1:5" x14ac:dyDescent="0.25">
      <c r="A44" t="s">
        <v>1162</v>
      </c>
      <c r="B44" s="68" t="s">
        <v>1737</v>
      </c>
      <c r="D44" s="73" t="s">
        <v>1201</v>
      </c>
      <c r="E44" t="str">
        <f>_xlfn.XLOOKUP($D44,REFS!$B$2:$B$187,REFS!$F$2:$F$187,"-")</f>
        <v>cm.DL16.2.04</v>
      </c>
    </row>
    <row r="45" spans="1:5" x14ac:dyDescent="0.25">
      <c r="A45" t="s">
        <v>1163</v>
      </c>
      <c r="B45" s="68" t="s">
        <v>1738</v>
      </c>
      <c r="D45" s="73" t="s">
        <v>1202</v>
      </c>
      <c r="E45" t="str">
        <f>_xlfn.XLOOKUP($D45,REFS!$B$2:$B$187,REFS!$F$2:$F$187,"-")</f>
        <v>cm.DL16.2.05</v>
      </c>
    </row>
    <row r="46" spans="1:5" x14ac:dyDescent="0.25">
      <c r="A46" t="s">
        <v>1164</v>
      </c>
      <c r="B46" s="68" t="s">
        <v>1739</v>
      </c>
      <c r="D46" s="73" t="s">
        <v>1203</v>
      </c>
      <c r="E46" t="str">
        <f>_xlfn.XLOOKUP($D46,REFS!$B$2:$B$187,REFS!$F$2:$F$187,"-")</f>
        <v>cm.DL16.2.06</v>
      </c>
    </row>
    <row r="47" spans="1:5" x14ac:dyDescent="0.25">
      <c r="A47" t="s">
        <v>1165</v>
      </c>
      <c r="B47" s="68" t="s">
        <v>1740</v>
      </c>
      <c r="D47" s="73" t="s">
        <v>1204</v>
      </c>
      <c r="E47" t="str">
        <f>_xlfn.XLOOKUP($D47,REFS!$B$2:$B$187,REFS!$F$2:$F$187,"-")</f>
        <v>cm.DL16.2.07</v>
      </c>
    </row>
    <row r="48" spans="1:5" x14ac:dyDescent="0.25">
      <c r="A48" t="s">
        <v>1166</v>
      </c>
      <c r="B48" s="68" t="s">
        <v>1741</v>
      </c>
      <c r="D48" s="73" t="s">
        <v>1205</v>
      </c>
      <c r="E48" t="str">
        <f>_xlfn.XLOOKUP($D48,REFS!$B$2:$B$187,REFS!$F$2:$F$187,"-")</f>
        <v>cm.DL16.2.08</v>
      </c>
    </row>
    <row r="49" spans="1:5" x14ac:dyDescent="0.25">
      <c r="A49" t="s">
        <v>1167</v>
      </c>
      <c r="B49" s="68" t="s">
        <v>1722</v>
      </c>
      <c r="D49" s="73" t="s">
        <v>1707</v>
      </c>
      <c r="E49" t="str">
        <f>_xlfn.XLOOKUP($D49,REFS!$B$2:$B$187,REFS!$F$2:$F$187,"-")</f>
        <v>cm.DL16.1.11</v>
      </c>
    </row>
    <row r="50" spans="1:5" x14ac:dyDescent="0.25">
      <c r="A50" t="s">
        <v>1168</v>
      </c>
      <c r="B50" s="68" t="s">
        <v>1723</v>
      </c>
      <c r="D50" s="73" t="s">
        <v>1708</v>
      </c>
      <c r="E50" t="str">
        <f>_xlfn.XLOOKUP($D50,REFS!$B$2:$B$187,REFS!$F$2:$F$187,"-")</f>
        <v>cm.DL16.1.12</v>
      </c>
    </row>
    <row r="51" spans="1:5" x14ac:dyDescent="0.25">
      <c r="A51" t="s">
        <v>1169</v>
      </c>
      <c r="B51" s="68" t="s">
        <v>1724</v>
      </c>
      <c r="D51" s="73" t="s">
        <v>1709</v>
      </c>
      <c r="E51" t="str">
        <f>_xlfn.XLOOKUP($D51,REFS!$B$2:$B$187,REFS!$F$2:$F$187,"-")</f>
        <v>cm.DL16.1.13</v>
      </c>
    </row>
    <row r="52" spans="1:5" x14ac:dyDescent="0.25">
      <c r="A52" t="s">
        <v>1170</v>
      </c>
      <c r="B52" s="68" t="s">
        <v>1725</v>
      </c>
      <c r="D52" s="73" t="s">
        <v>1710</v>
      </c>
      <c r="E52" t="str">
        <f>_xlfn.XLOOKUP($D52,REFS!$B$2:$B$187,REFS!$F$2:$F$187,"-")</f>
        <v>cm.DL16.1.14</v>
      </c>
    </row>
    <row r="53" spans="1:5" x14ac:dyDescent="0.25">
      <c r="A53" t="s">
        <v>1171</v>
      </c>
      <c r="B53" s="68" t="s">
        <v>1726</v>
      </c>
      <c r="D53" s="73" t="s">
        <v>1711</v>
      </c>
      <c r="E53" t="str">
        <f>_xlfn.XLOOKUP($D53,REFS!$B$2:$B$187,REFS!$F$2:$F$187,"-")</f>
        <v>cm.DL16.1.15</v>
      </c>
    </row>
    <row r="54" spans="1:5" x14ac:dyDescent="0.25">
      <c r="A54" t="s">
        <v>1172</v>
      </c>
      <c r="B54" s="68" t="s">
        <v>1727</v>
      </c>
      <c r="D54" s="73" t="s">
        <v>1384</v>
      </c>
      <c r="E54" t="str">
        <f>_xlfn.XLOOKUP($D54,REFS!$B$2:$B$187,REFS!$F$2:$F$187,"-")</f>
        <v>cmx.L.in.20</v>
      </c>
    </row>
    <row r="55" spans="1:5" x14ac:dyDescent="0.25">
      <c r="A55" t="s">
        <v>1173</v>
      </c>
      <c r="B55" s="68" t="s">
        <v>1728</v>
      </c>
      <c r="D55" s="73" t="s">
        <v>1385</v>
      </c>
      <c r="E55" t="str">
        <f>_xlfn.XLOOKUP($D55,REFS!$B$2:$B$187,REFS!$F$2:$F$187,"-")</f>
        <v>cmx.L.in.21</v>
      </c>
    </row>
    <row r="56" spans="1:5" x14ac:dyDescent="0.25">
      <c r="A56" t="s">
        <v>1174</v>
      </c>
      <c r="B56" s="68" t="s">
        <v>1729</v>
      </c>
      <c r="D56" s="73" t="s">
        <v>1386</v>
      </c>
      <c r="E56" t="str">
        <f>_xlfn.XLOOKUP($D56,REFS!$B$2:$B$187,REFS!$F$2:$F$187,"-")</f>
        <v>cmx.L.in.22</v>
      </c>
    </row>
    <row r="57" spans="1:5" x14ac:dyDescent="0.25">
      <c r="A57" t="s">
        <v>1175</v>
      </c>
      <c r="B57" s="68" t="s">
        <v>1730</v>
      </c>
      <c r="D57" s="73" t="s">
        <v>1387</v>
      </c>
      <c r="E57" t="str">
        <f>_xlfn.XLOOKUP($D57,REFS!$B$2:$B$187,REFS!$F$2:$F$187,"-")</f>
        <v>cmx.L.in.23</v>
      </c>
    </row>
    <row r="58" spans="1:5" x14ac:dyDescent="0.25">
      <c r="A58" t="s">
        <v>1176</v>
      </c>
      <c r="B58" s="68" t="s">
        <v>1731</v>
      </c>
      <c r="D58" s="73" t="s">
        <v>1388</v>
      </c>
      <c r="E58" t="str">
        <f>_xlfn.XLOOKUP($D58,REFS!$B$2:$B$187,REFS!$F$2:$F$187,"-")</f>
        <v>cmx.L.in.24</v>
      </c>
    </row>
    <row r="59" spans="1:5" x14ac:dyDescent="0.25">
      <c r="A59" t="s">
        <v>1177</v>
      </c>
      <c r="B59" s="68" t="s">
        <v>1732</v>
      </c>
      <c r="D59" s="73" t="s">
        <v>1706</v>
      </c>
      <c r="E59" t="str">
        <f>_xlfn.XLOOKUP($D59,REFS!$B$2:$B$187,REFS!$F$2:$F$187,"-")</f>
        <v>cmx.L.in.17</v>
      </c>
    </row>
    <row r="60" spans="1:5" x14ac:dyDescent="0.25">
      <c r="A60" t="s">
        <v>1178</v>
      </c>
      <c r="B60" s="68" t="s">
        <v>1733</v>
      </c>
      <c r="D60" s="73" t="s">
        <v>1705</v>
      </c>
      <c r="E60" t="str">
        <f>_xlfn.XLOOKUP($D60,REFS!$B$2:$B$187,REFS!$F$2:$F$187,"-")</f>
        <v>cmx.L.in.19</v>
      </c>
    </row>
    <row r="61" spans="1:5" x14ac:dyDescent="0.25">
      <c r="A61" t="s">
        <v>1179</v>
      </c>
      <c r="D61" s="73" t="s">
        <v>1721</v>
      </c>
      <c r="E61" t="str">
        <f>_xlfn.XLOOKUP($D61,REFS!$B$2:$B$187,REFS!$F$2:$F$187,"-")</f>
        <v>-</v>
      </c>
    </row>
    <row r="62" spans="1:5" x14ac:dyDescent="0.25">
      <c r="A62" t="s">
        <v>1180</v>
      </c>
      <c r="D62" s="73" t="s">
        <v>1721</v>
      </c>
      <c r="E62" t="str">
        <f>_xlfn.XLOOKUP($D62,REFS!$B$2:$B$187,REFS!$F$2:$F$187,"-")</f>
        <v>-</v>
      </c>
    </row>
    <row r="63" spans="1:5" x14ac:dyDescent="0.25">
      <c r="A63" t="s">
        <v>1181</v>
      </c>
      <c r="D63" s="73" t="s">
        <v>1721</v>
      </c>
      <c r="E63" t="str">
        <f>_xlfn.XLOOKUP($D63,REFS!$B$2:$B$187,REFS!$F$2:$F$187,"-")</f>
        <v>-</v>
      </c>
    </row>
    <row r="64" spans="1:5" x14ac:dyDescent="0.25">
      <c r="A64" t="s">
        <v>1182</v>
      </c>
      <c r="D64" s="73" t="s">
        <v>1721</v>
      </c>
      <c r="E64" t="str">
        <f>_xlfn.XLOOKUP($D64,REFS!$B$2:$B$187,REFS!$F$2:$F$187,"-")</f>
        <v>-</v>
      </c>
    </row>
    <row r="65" spans="1:5" x14ac:dyDescent="0.25">
      <c r="A65" t="s">
        <v>1183</v>
      </c>
      <c r="D65" s="73" t="s">
        <v>1721</v>
      </c>
      <c r="E65" t="str">
        <f>_xlfn.XLOOKUP($D65,REFS!$B$2:$B$187,REFS!$F$2:$F$187,"-")</f>
        <v>-</v>
      </c>
    </row>
    <row r="66" spans="1:5" x14ac:dyDescent="0.25">
      <c r="A66" t="s">
        <v>1184</v>
      </c>
      <c r="D66" s="73" t="s">
        <v>1721</v>
      </c>
      <c r="E66" t="str">
        <f>_xlfn.XLOOKUP($D66,REFS!$B$2:$B$187,REFS!$F$2:$F$187,"-")</f>
        <v>-</v>
      </c>
    </row>
    <row r="67" spans="1:5" x14ac:dyDescent="0.25">
      <c r="A67" t="s">
        <v>1185</v>
      </c>
      <c r="D67" s="73" t="s">
        <v>1721</v>
      </c>
      <c r="E67" t="str">
        <f>_xlfn.XLOOKUP($D67,REFS!$B$2:$B$187,REFS!$F$2:$F$187,"-")</f>
        <v>-</v>
      </c>
    </row>
    <row r="68" spans="1:5" x14ac:dyDescent="0.25">
      <c r="A68" t="s">
        <v>1186</v>
      </c>
      <c r="D68" s="73" t="s">
        <v>1721</v>
      </c>
      <c r="E68" t="str">
        <f>_xlfn.XLOOKUP($D68,REFS!$B$2:$B$187,REFS!$F$2:$F$187,"-")</f>
        <v>-</v>
      </c>
    </row>
    <row r="69" spans="1:5" x14ac:dyDescent="0.25">
      <c r="A69" t="s">
        <v>1187</v>
      </c>
      <c r="D69" s="73" t="s">
        <v>1721</v>
      </c>
      <c r="E69" t="str">
        <f>_xlfn.XLOOKUP($D69,REFS!$B$2:$B$187,REFS!$F$2:$F$187,"-")</f>
        <v>-</v>
      </c>
    </row>
    <row r="70" spans="1:5" x14ac:dyDescent="0.25">
      <c r="A70" t="s">
        <v>1188</v>
      </c>
      <c r="D70" s="73" t="s">
        <v>1721</v>
      </c>
      <c r="E70" t="str">
        <f>_xlfn.XLOOKUP($D70,REFS!$B$2:$B$187,REFS!$F$2:$F$187,"-")</f>
        <v>-</v>
      </c>
    </row>
    <row r="71" spans="1:5" x14ac:dyDescent="0.25">
      <c r="A71" t="s">
        <v>1189</v>
      </c>
      <c r="D71" s="73" t="s">
        <v>1721</v>
      </c>
      <c r="E71" t="str">
        <f>_xlfn.XLOOKUP($D71,REFS!$B$2:$B$187,REFS!$F$2:$F$187,"-")</f>
        <v>-</v>
      </c>
    </row>
    <row r="72" spans="1:5" x14ac:dyDescent="0.25">
      <c r="A72" t="s">
        <v>1190</v>
      </c>
      <c r="D72" s="73" t="s">
        <v>1721</v>
      </c>
      <c r="E72" t="str">
        <f>_xlfn.XLOOKUP($D72,REFS!$B$2:$B$187,REFS!$F$2:$F$187,"-")</f>
        <v>-</v>
      </c>
    </row>
    <row r="73" spans="1:5" x14ac:dyDescent="0.25">
      <c r="A73" t="s">
        <v>1191</v>
      </c>
      <c r="D73" s="73" t="s">
        <v>1721</v>
      </c>
      <c r="E73" t="str">
        <f>_xlfn.XLOOKUP($D73,REFS!$B$2:$B$187,REFS!$F$2:$F$187,"-")</f>
        <v>-</v>
      </c>
    </row>
    <row r="74" spans="1:5" x14ac:dyDescent="0.25">
      <c r="A74" t="s">
        <v>1192</v>
      </c>
      <c r="D74" s="73" t="s">
        <v>1721</v>
      </c>
      <c r="E74" t="str">
        <f>_xlfn.XLOOKUP($D74,REFS!$B$2:$B$187,REFS!$F$2:$F$187,"-")</f>
        <v>-</v>
      </c>
    </row>
    <row r="75" spans="1:5" x14ac:dyDescent="0.25">
      <c r="A75" t="s">
        <v>1193</v>
      </c>
      <c r="D75" s="73" t="s">
        <v>1721</v>
      </c>
      <c r="E75" t="str">
        <f>_xlfn.XLOOKUP($D75,REFS!$B$2:$B$187,REFS!$F$2:$F$187,"-")</f>
        <v>-</v>
      </c>
    </row>
    <row r="76" spans="1:5" x14ac:dyDescent="0.25">
      <c r="A76" t="s">
        <v>1194</v>
      </c>
      <c r="D76" s="73" t="s">
        <v>1721</v>
      </c>
      <c r="E76" t="str">
        <f>_xlfn.XLOOKUP($D76,REFS!$B$2:$B$187,REFS!$F$2:$F$187,"-")</f>
        <v>-</v>
      </c>
    </row>
    <row r="77" spans="1:5" x14ac:dyDescent="0.25">
      <c r="A77" s="62" t="s">
        <v>1195</v>
      </c>
      <c r="B77" s="68" t="s">
        <v>1274</v>
      </c>
      <c r="E77">
        <f>_xlfn.XLOOKUP($D77,REFS!$B$2:$B$187,REFS!$F$2:$F$187,"-")</f>
        <v>0</v>
      </c>
    </row>
    <row r="78" spans="1:5" x14ac:dyDescent="0.25">
      <c r="A78" s="66" t="s">
        <v>1196</v>
      </c>
      <c r="B78" s="74" t="s">
        <v>1276</v>
      </c>
      <c r="E78">
        <f>_xlfn.XLOOKUP($D78,REFS!$B$2:$B$187,REFS!$F$2:$F$187,"-")</f>
        <v>0</v>
      </c>
    </row>
    <row r="79" spans="1:5" x14ac:dyDescent="0.25">
      <c r="A79" s="66" t="s">
        <v>1197</v>
      </c>
      <c r="B79" s="74" t="s">
        <v>1275</v>
      </c>
      <c r="E79">
        <f>_xlfn.XLOOKUP($D79,REFS!$B$2:$B$187,REFS!$F$2:$F$187,"-")</f>
        <v>0</v>
      </c>
    </row>
    <row r="80" spans="1:5" x14ac:dyDescent="0.25">
      <c r="E80">
        <f>_xlfn.XLOOKUP($D80,REFS!$B$2:$B$187,REFS!$F$2:$F$187,"-")</f>
        <v>0</v>
      </c>
    </row>
    <row r="81" spans="1:5" x14ac:dyDescent="0.25">
      <c r="A81" t="s">
        <v>1206</v>
      </c>
      <c r="B81" s="68" t="s">
        <v>1246</v>
      </c>
      <c r="D81" s="73" t="s">
        <v>821</v>
      </c>
      <c r="E81" t="str">
        <f>_xlfn.XLOOKUP($D81,REFS!$B$2:$B$187,REFS!$F$2:$F$187,"-")</f>
        <v>cm.DL16.2.09</v>
      </c>
    </row>
    <row r="82" spans="1:5" x14ac:dyDescent="0.25">
      <c r="A82" t="s">
        <v>1207</v>
      </c>
      <c r="B82" s="68" t="s">
        <v>1247</v>
      </c>
      <c r="E82">
        <f>_xlfn.XLOOKUP($D82,REFS!$B$2:$B$187,REFS!$F$2:$F$187,"-")</f>
        <v>0</v>
      </c>
    </row>
    <row r="83" spans="1:5" x14ac:dyDescent="0.25">
      <c r="A83" t="s">
        <v>1208</v>
      </c>
      <c r="B83" s="68" t="s">
        <v>1248</v>
      </c>
      <c r="D83" s="73" t="s">
        <v>823</v>
      </c>
      <c r="E83" t="str">
        <f>_xlfn.XLOOKUP($D83,REFS!$B$2:$B$187,REFS!$F$2:$F$187,"-")</f>
        <v>cm.DL16.1.03</v>
      </c>
    </row>
    <row r="84" spans="1:5" x14ac:dyDescent="0.25">
      <c r="A84" t="s">
        <v>1209</v>
      </c>
      <c r="B84" s="68" t="s">
        <v>1249</v>
      </c>
      <c r="E84">
        <f>_xlfn.XLOOKUP($D84,REFS!$B$2:$B$187,REFS!$F$2:$F$187,"-")</f>
        <v>0</v>
      </c>
    </row>
    <row r="85" spans="1:5" x14ac:dyDescent="0.25">
      <c r="A85" t="s">
        <v>1210</v>
      </c>
      <c r="B85" s="68" t="s">
        <v>1250</v>
      </c>
      <c r="E85">
        <f>_xlfn.XLOOKUP($D85,REFS!$B$2:$B$187,REFS!$F$2:$F$187,"-")</f>
        <v>0</v>
      </c>
    </row>
    <row r="86" spans="1:5" x14ac:dyDescent="0.25">
      <c r="A86" t="s">
        <v>1211</v>
      </c>
      <c r="B86" s="68" t="s">
        <v>1251</v>
      </c>
      <c r="E86">
        <f>_xlfn.XLOOKUP($D86,REFS!$B$2:$B$187,REFS!$F$2:$F$187,"-")</f>
        <v>0</v>
      </c>
    </row>
    <row r="87" spans="1:5" x14ac:dyDescent="0.25">
      <c r="A87" t="s">
        <v>1212</v>
      </c>
      <c r="B87" s="68" t="s">
        <v>1252</v>
      </c>
      <c r="E87">
        <f>_xlfn.XLOOKUP($D87,REFS!$B$2:$B$187,REFS!$F$2:$F$187,"-")</f>
        <v>0</v>
      </c>
    </row>
    <row r="88" spans="1:5" x14ac:dyDescent="0.25">
      <c r="A88" t="s">
        <v>1213</v>
      </c>
      <c r="B88" s="68" t="s">
        <v>1253</v>
      </c>
      <c r="E88">
        <f>_xlfn.XLOOKUP($D88,REFS!$B$2:$B$187,REFS!$F$2:$F$187,"-")</f>
        <v>0</v>
      </c>
    </row>
    <row r="89" spans="1:5" x14ac:dyDescent="0.25">
      <c r="A89" t="s">
        <v>1214</v>
      </c>
      <c r="B89" s="68" t="s">
        <v>1254</v>
      </c>
      <c r="E89">
        <f>_xlfn.XLOOKUP($D89,REFS!$B$2:$B$187,REFS!$F$2:$F$187,"-")</f>
        <v>0</v>
      </c>
    </row>
    <row r="90" spans="1:5" x14ac:dyDescent="0.25">
      <c r="A90" t="s">
        <v>1215</v>
      </c>
      <c r="B90" s="68" t="s">
        <v>827</v>
      </c>
      <c r="E90">
        <f>_xlfn.XLOOKUP($D90,REFS!$B$2:$B$187,REFS!$F$2:$F$187,"-")</f>
        <v>0</v>
      </c>
    </row>
    <row r="91" spans="1:5" x14ac:dyDescent="0.25">
      <c r="A91" t="s">
        <v>1216</v>
      </c>
      <c r="B91" s="68" t="s">
        <v>828</v>
      </c>
      <c r="E91">
        <f>_xlfn.XLOOKUP($D91,REFS!$B$2:$B$187,REFS!$F$2:$F$187,"-")</f>
        <v>0</v>
      </c>
    </row>
    <row r="92" spans="1:5" x14ac:dyDescent="0.25">
      <c r="A92" t="s">
        <v>1217</v>
      </c>
      <c r="B92" s="68" t="s">
        <v>829</v>
      </c>
      <c r="E92">
        <f>_xlfn.XLOOKUP($D92,REFS!$B$2:$B$187,REFS!$F$2:$F$187,"-")</f>
        <v>0</v>
      </c>
    </row>
    <row r="93" spans="1:5" x14ac:dyDescent="0.25">
      <c r="A93" t="s">
        <v>1218</v>
      </c>
      <c r="B93" s="68" t="s">
        <v>830</v>
      </c>
      <c r="E93">
        <f>_xlfn.XLOOKUP($D93,REFS!$B$2:$B$187,REFS!$F$2:$F$187,"-")</f>
        <v>0</v>
      </c>
    </row>
    <row r="94" spans="1:5" x14ac:dyDescent="0.25">
      <c r="A94" t="s">
        <v>1219</v>
      </c>
      <c r="B94" s="68" t="s">
        <v>1255</v>
      </c>
      <c r="E94">
        <f>_xlfn.XLOOKUP($D94,REFS!$B$2:$B$187,REFS!$F$2:$F$187,"-")</f>
        <v>0</v>
      </c>
    </row>
    <row r="95" spans="1:5" x14ac:dyDescent="0.25">
      <c r="A95" t="s">
        <v>1220</v>
      </c>
      <c r="B95" s="68" t="s">
        <v>1256</v>
      </c>
      <c r="E95">
        <f>_xlfn.XLOOKUP($D95,REFS!$B$2:$B$187,REFS!$F$2:$F$187,"-")</f>
        <v>0</v>
      </c>
    </row>
    <row r="96" spans="1:5" x14ac:dyDescent="0.25">
      <c r="A96" t="s">
        <v>1221</v>
      </c>
      <c r="B96" s="68" t="s">
        <v>1257</v>
      </c>
      <c r="E96">
        <f>_xlfn.XLOOKUP($D96,REFS!$B$2:$B$187,REFS!$F$2:$F$187,"-")</f>
        <v>0</v>
      </c>
    </row>
    <row r="97" spans="1:5" x14ac:dyDescent="0.25">
      <c r="A97" t="s">
        <v>1222</v>
      </c>
      <c r="B97" s="68" t="s">
        <v>1258</v>
      </c>
      <c r="E97">
        <f>_xlfn.XLOOKUP($D97,REFS!$B$2:$B$187,REFS!$F$2:$F$187,"-")</f>
        <v>0</v>
      </c>
    </row>
    <row r="98" spans="1:5" x14ac:dyDescent="0.25">
      <c r="A98" t="s">
        <v>1223</v>
      </c>
      <c r="B98" s="68" t="s">
        <v>1259</v>
      </c>
      <c r="E98">
        <f>_xlfn.XLOOKUP($D98,REFS!$B$2:$B$187,REFS!$F$2:$F$187,"-")</f>
        <v>0</v>
      </c>
    </row>
    <row r="99" spans="1:5" x14ac:dyDescent="0.25">
      <c r="A99" t="s">
        <v>1224</v>
      </c>
      <c r="B99" s="68" t="s">
        <v>1260</v>
      </c>
      <c r="E99">
        <f>_xlfn.XLOOKUP($D99,REFS!$B$2:$B$187,REFS!$F$2:$F$187,"-")</f>
        <v>0</v>
      </c>
    </row>
    <row r="100" spans="1:5" x14ac:dyDescent="0.25">
      <c r="A100" t="s">
        <v>1225</v>
      </c>
      <c r="B100" s="68" t="s">
        <v>1261</v>
      </c>
      <c r="E100">
        <f>_xlfn.XLOOKUP($D100,REFS!$B$2:$B$187,REFS!$F$2:$F$187,"-")</f>
        <v>0</v>
      </c>
    </row>
    <row r="101" spans="1:5" x14ac:dyDescent="0.25">
      <c r="A101" t="s">
        <v>1226</v>
      </c>
      <c r="B101" s="68" t="s">
        <v>1262</v>
      </c>
      <c r="E101">
        <f>_xlfn.XLOOKUP($D101,REFS!$B$2:$B$187,REFS!$F$2:$F$187,"-")</f>
        <v>0</v>
      </c>
    </row>
    <row r="102" spans="1:5" x14ac:dyDescent="0.25">
      <c r="A102" t="s">
        <v>1227</v>
      </c>
      <c r="B102" s="68" t="s">
        <v>1263</v>
      </c>
      <c r="E102">
        <f>_xlfn.XLOOKUP($D102,REFS!$B$2:$B$187,REFS!$F$2:$F$187,"-")</f>
        <v>0</v>
      </c>
    </row>
    <row r="103" spans="1:5" x14ac:dyDescent="0.25">
      <c r="A103" t="s">
        <v>1228</v>
      </c>
      <c r="B103" s="68" t="s">
        <v>1264</v>
      </c>
      <c r="E103">
        <f>_xlfn.XLOOKUP($D103,REFS!$B$2:$B$187,REFS!$F$2:$F$187,"-")</f>
        <v>0</v>
      </c>
    </row>
    <row r="104" spans="1:5" x14ac:dyDescent="0.25">
      <c r="A104" t="s">
        <v>1229</v>
      </c>
      <c r="B104" s="68" t="s">
        <v>1265</v>
      </c>
      <c r="E104">
        <f>_xlfn.XLOOKUP($D104,REFS!$B$2:$B$187,REFS!$F$2:$F$187,"-")</f>
        <v>0</v>
      </c>
    </row>
    <row r="105" spans="1:5" x14ac:dyDescent="0.25">
      <c r="A105" t="s">
        <v>1230</v>
      </c>
      <c r="B105" s="68" t="s">
        <v>1266</v>
      </c>
      <c r="E105">
        <f>_xlfn.XLOOKUP($D105,REFS!$B$2:$B$187,REFS!$F$2:$F$187,"-")</f>
        <v>0</v>
      </c>
    </row>
    <row r="106" spans="1:5" x14ac:dyDescent="0.25">
      <c r="A106" t="s">
        <v>1231</v>
      </c>
      <c r="B106" s="68" t="s">
        <v>1267</v>
      </c>
      <c r="E106">
        <f>_xlfn.XLOOKUP($D106,REFS!$B$2:$B$187,REFS!$F$2:$F$187,"-")</f>
        <v>0</v>
      </c>
    </row>
    <row r="107" spans="1:5" x14ac:dyDescent="0.25">
      <c r="A107" t="s">
        <v>1232</v>
      </c>
      <c r="B107" s="68" t="s">
        <v>1268</v>
      </c>
      <c r="E107">
        <f>_xlfn.XLOOKUP($D107,REFS!$B$2:$B$187,REFS!$F$2:$F$187,"-")</f>
        <v>0</v>
      </c>
    </row>
    <row r="108" spans="1:5" x14ac:dyDescent="0.25">
      <c r="A108" t="s">
        <v>1233</v>
      </c>
      <c r="B108" s="68" t="s">
        <v>1269</v>
      </c>
      <c r="E108">
        <f>_xlfn.XLOOKUP($D108,REFS!$B$2:$B$187,REFS!$F$2:$F$187,"-")</f>
        <v>0</v>
      </c>
    </row>
    <row r="109" spans="1:5" x14ac:dyDescent="0.25">
      <c r="A109" t="s">
        <v>1234</v>
      </c>
      <c r="B109" s="68" t="s">
        <v>1270</v>
      </c>
      <c r="E109">
        <f>_xlfn.XLOOKUP($D109,REFS!$B$2:$B$187,REFS!$F$2:$F$187,"-")</f>
        <v>0</v>
      </c>
    </row>
    <row r="110" spans="1:5" x14ac:dyDescent="0.25">
      <c r="A110" t="s">
        <v>1235</v>
      </c>
      <c r="B110" s="68" t="s">
        <v>1271</v>
      </c>
      <c r="E110">
        <f>_xlfn.XLOOKUP($D110,REFS!$B$2:$B$187,REFS!$F$2:$F$187,"-")</f>
        <v>0</v>
      </c>
    </row>
    <row r="111" spans="1:5" x14ac:dyDescent="0.25">
      <c r="A111" t="s">
        <v>1236</v>
      </c>
      <c r="B111" s="68" t="s">
        <v>1272</v>
      </c>
      <c r="E111">
        <f>_xlfn.XLOOKUP($D111,REFS!$B$2:$B$187,REFS!$F$2:$F$187,"-")</f>
        <v>0</v>
      </c>
    </row>
    <row r="112" spans="1:5" x14ac:dyDescent="0.25">
      <c r="A112" t="s">
        <v>1237</v>
      </c>
      <c r="B112" s="68" t="s">
        <v>1273</v>
      </c>
      <c r="E112">
        <f>_xlfn.XLOOKUP($D112,REFS!$B$2:$B$187,REFS!$F$2:$F$187,"-")</f>
        <v>0</v>
      </c>
    </row>
    <row r="113" spans="1:5" x14ac:dyDescent="0.25">
      <c r="A113" t="s">
        <v>1238</v>
      </c>
      <c r="B113" s="68" t="s">
        <v>1328</v>
      </c>
      <c r="E113">
        <f>_xlfn.XLOOKUP($D113,REFS!$B$2:$B$187,REFS!$F$2:$F$187,"-")</f>
        <v>0</v>
      </c>
    </row>
    <row r="114" spans="1:5" x14ac:dyDescent="0.25">
      <c r="A114" t="s">
        <v>1239</v>
      </c>
      <c r="B114" s="68" t="s">
        <v>1329</v>
      </c>
      <c r="E114">
        <f>_xlfn.XLOOKUP($D114,REFS!$B$2:$B$187,REFS!$F$2:$F$187,"-")</f>
        <v>0</v>
      </c>
    </row>
    <row r="115" spans="1:5" x14ac:dyDescent="0.25">
      <c r="A115" t="s">
        <v>1240</v>
      </c>
      <c r="B115" s="68" t="s">
        <v>1330</v>
      </c>
      <c r="E115">
        <f>_xlfn.XLOOKUP($D115,REFS!$B$2:$B$187,REFS!$F$2:$F$187,"-")</f>
        <v>0</v>
      </c>
    </row>
    <row r="116" spans="1:5" x14ac:dyDescent="0.25">
      <c r="A116" t="s">
        <v>1241</v>
      </c>
      <c r="B116" s="68" t="s">
        <v>1331</v>
      </c>
      <c r="E116">
        <f>_xlfn.XLOOKUP($D116,REFS!$B$2:$B$187,REFS!$F$2:$F$187,"-")</f>
        <v>0</v>
      </c>
    </row>
    <row r="117" spans="1:5" x14ac:dyDescent="0.25">
      <c r="A117" t="s">
        <v>1242</v>
      </c>
      <c r="E117">
        <f>_xlfn.XLOOKUP($D117,REFS!$B$2:$B$187,REFS!$F$2:$F$187,"-")</f>
        <v>0</v>
      </c>
    </row>
    <row r="118" spans="1:5" x14ac:dyDescent="0.25">
      <c r="A118" t="s">
        <v>1243</v>
      </c>
      <c r="E118">
        <f>_xlfn.XLOOKUP($D118,REFS!$B$2:$B$187,REFS!$F$2:$F$187,"-")</f>
        <v>0</v>
      </c>
    </row>
    <row r="119" spans="1:5" x14ac:dyDescent="0.25">
      <c r="A119" t="s">
        <v>1244</v>
      </c>
      <c r="E119">
        <f>_xlfn.XLOOKUP($D119,REFS!$B$2:$B$187,REFS!$F$2:$F$187,"-")</f>
        <v>0</v>
      </c>
    </row>
    <row r="120" spans="1:5" x14ac:dyDescent="0.25">
      <c r="A120" t="s">
        <v>1245</v>
      </c>
      <c r="E120">
        <f>_xlfn.XLOOKUP($D120,REFS!$B$2:$B$187,REFS!$F$2:$F$187,"-")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USE THIS</vt:lpstr>
      <vt:lpstr>REFS</vt:lpstr>
      <vt:lpstr>Sheet1</vt:lpstr>
      <vt:lpstr>Sheet2</vt:lpstr>
      <vt:lpstr>By Chan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Jost</dc:creator>
  <cp:lastModifiedBy>Larry Jost</cp:lastModifiedBy>
  <cp:lastPrinted>2026-03-25T20:07:43Z</cp:lastPrinted>
  <dcterms:created xsi:type="dcterms:W3CDTF">2025-11-11T15:24:23Z</dcterms:created>
  <dcterms:modified xsi:type="dcterms:W3CDTF">2026-03-27T13:54:26Z</dcterms:modified>
</cp:coreProperties>
</file>