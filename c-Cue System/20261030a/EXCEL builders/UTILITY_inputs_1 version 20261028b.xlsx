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2c3508a7a9ff8/Larry-OD-AMD-Documents/LTCommand/Build and Run version 3 and samples/"/>
    </mc:Choice>
  </mc:AlternateContent>
  <xr:revisionPtr revIDLastSave="0" documentId="8_{2D33CC3B-7BEA-46CC-8EF5-54C6068BC021}" xr6:coauthVersionLast="47" xr6:coauthVersionMax="47" xr10:uidLastSave="{00000000-0000-0000-0000-000000000000}"/>
  <bookViews>
    <workbookView xWindow="17835" yWindow="2265" windowWidth="25230" windowHeight="13860" xr2:uid="{0B37C3A3-4DE1-4503-87CF-1DC185F4CE17}"/>
  </bookViews>
  <sheets>
    <sheet name="Settings" sheetId="1" r:id="rId1"/>
    <sheet name="README" sheetId="4" r:id="rId2"/>
    <sheet name="Change Log" sheetId="5" r:id="rId3"/>
    <sheet name="ref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J449" i="1"/>
  <c r="L449" i="1" s="1"/>
  <c r="J448" i="1"/>
  <c r="L448" i="1" s="1"/>
  <c r="J447" i="1"/>
  <c r="L447" i="1" s="1"/>
  <c r="J446" i="1"/>
  <c r="L446" i="1" s="1"/>
  <c r="J445" i="1"/>
  <c r="L445" i="1" s="1"/>
  <c r="J444" i="1"/>
  <c r="L444" i="1" s="1"/>
  <c r="J443" i="1"/>
  <c r="L443" i="1" s="1"/>
  <c r="J442" i="1"/>
  <c r="L442" i="1" s="1"/>
  <c r="J441" i="1"/>
  <c r="L441" i="1" s="1"/>
  <c r="J440" i="1"/>
  <c r="L440" i="1" s="1"/>
  <c r="J439" i="1"/>
  <c r="L439" i="1" s="1"/>
  <c r="J438" i="1"/>
  <c r="L438" i="1" s="1"/>
  <c r="J437" i="1"/>
  <c r="L437" i="1" s="1"/>
  <c r="J436" i="1"/>
  <c r="L436" i="1" s="1"/>
  <c r="J435" i="1"/>
  <c r="L435" i="1" s="1"/>
  <c r="J434" i="1"/>
  <c r="L434" i="1" s="1"/>
  <c r="J433" i="1"/>
  <c r="L433" i="1" s="1"/>
  <c r="J432" i="1"/>
  <c r="L432" i="1" s="1"/>
  <c r="J431" i="1"/>
  <c r="L431" i="1" s="1"/>
  <c r="J430" i="1"/>
  <c r="L430" i="1" s="1"/>
  <c r="J429" i="1"/>
  <c r="L429" i="1" s="1"/>
  <c r="J428" i="1"/>
  <c r="L428" i="1" s="1"/>
  <c r="J427" i="1"/>
  <c r="L427" i="1" s="1"/>
  <c r="J426" i="1"/>
  <c r="L426" i="1" s="1"/>
  <c r="J425" i="1"/>
  <c r="L425" i="1" s="1"/>
  <c r="J424" i="1"/>
  <c r="L424" i="1" s="1"/>
  <c r="J423" i="1"/>
  <c r="L423" i="1" s="1"/>
  <c r="J422" i="1"/>
  <c r="L422" i="1" s="1"/>
  <c r="J421" i="1"/>
  <c r="L421" i="1" s="1"/>
  <c r="J420" i="1"/>
  <c r="L420" i="1" s="1"/>
  <c r="J419" i="1"/>
  <c r="L419" i="1" s="1"/>
  <c r="J418" i="1"/>
  <c r="L418" i="1" s="1"/>
  <c r="J417" i="1"/>
  <c r="L417" i="1" s="1"/>
  <c r="J416" i="1"/>
  <c r="L416" i="1" s="1"/>
  <c r="J415" i="1"/>
  <c r="L415" i="1" s="1"/>
  <c r="J414" i="1"/>
  <c r="L414" i="1" s="1"/>
  <c r="J413" i="1"/>
  <c r="L413" i="1" s="1"/>
  <c r="J412" i="1"/>
  <c r="L412" i="1" s="1"/>
  <c r="J411" i="1"/>
  <c r="L411" i="1" s="1"/>
  <c r="J410" i="1"/>
  <c r="L410" i="1" s="1"/>
  <c r="J409" i="1"/>
  <c r="L409" i="1" s="1"/>
  <c r="J408" i="1"/>
  <c r="L408" i="1" s="1"/>
  <c r="J407" i="1"/>
  <c r="L407" i="1" s="1"/>
  <c r="J406" i="1"/>
  <c r="L406" i="1" s="1"/>
  <c r="J405" i="1"/>
  <c r="L405" i="1" s="1"/>
  <c r="J404" i="1"/>
  <c r="L404" i="1" s="1"/>
  <c r="J403" i="1"/>
  <c r="L403" i="1" s="1"/>
  <c r="J402" i="1"/>
  <c r="L402" i="1" s="1"/>
  <c r="J401" i="1"/>
  <c r="L401" i="1" s="1"/>
  <c r="J400" i="1"/>
  <c r="L400" i="1" s="1"/>
  <c r="J399" i="1"/>
  <c r="L399" i="1" s="1"/>
  <c r="J398" i="1"/>
  <c r="L398" i="1" s="1"/>
  <c r="J397" i="1"/>
  <c r="L397" i="1" s="1"/>
  <c r="J396" i="1"/>
  <c r="L396" i="1" s="1"/>
  <c r="J395" i="1"/>
  <c r="L395" i="1" s="1"/>
  <c r="J394" i="1"/>
  <c r="L394" i="1" s="1"/>
  <c r="J393" i="1"/>
  <c r="L393" i="1" s="1"/>
  <c r="J392" i="1"/>
  <c r="L392" i="1" s="1"/>
  <c r="J391" i="1"/>
  <c r="L391" i="1" s="1"/>
  <c r="J390" i="1"/>
  <c r="L390" i="1" s="1"/>
  <c r="J389" i="1"/>
  <c r="L389" i="1" s="1"/>
  <c r="J388" i="1"/>
  <c r="L388" i="1" s="1"/>
  <c r="J387" i="1"/>
  <c r="L387" i="1" s="1"/>
  <c r="J386" i="1"/>
  <c r="L386" i="1" s="1"/>
  <c r="J385" i="1"/>
  <c r="L385" i="1" s="1"/>
  <c r="J384" i="1"/>
  <c r="L384" i="1" s="1"/>
  <c r="J383" i="1"/>
  <c r="L383" i="1" s="1"/>
  <c r="J382" i="1"/>
  <c r="L382" i="1" s="1"/>
  <c r="J381" i="1"/>
  <c r="L381" i="1" s="1"/>
  <c r="J380" i="1"/>
  <c r="L380" i="1" s="1"/>
  <c r="J379" i="1"/>
  <c r="L379" i="1" s="1"/>
  <c r="J378" i="1"/>
  <c r="L378" i="1" s="1"/>
  <c r="J377" i="1"/>
  <c r="L377" i="1" s="1"/>
  <c r="J376" i="1"/>
  <c r="L376" i="1" s="1"/>
  <c r="J375" i="1"/>
  <c r="L375" i="1" s="1"/>
  <c r="J374" i="1"/>
  <c r="L374" i="1" s="1"/>
  <c r="J373" i="1"/>
  <c r="L373" i="1" s="1"/>
  <c r="J372" i="1"/>
  <c r="L372" i="1" s="1"/>
  <c r="J371" i="1"/>
  <c r="L371" i="1" s="1"/>
  <c r="J370" i="1"/>
  <c r="L370" i="1" s="1"/>
  <c r="J369" i="1"/>
  <c r="L369" i="1" s="1"/>
  <c r="J368" i="1"/>
  <c r="L368" i="1" s="1"/>
  <c r="J367" i="1"/>
  <c r="L367" i="1" s="1"/>
  <c r="J366" i="1"/>
  <c r="L366" i="1" s="1"/>
  <c r="J365" i="1"/>
  <c r="L365" i="1" s="1"/>
  <c r="J364" i="1"/>
  <c r="L364" i="1" s="1"/>
  <c r="J363" i="1"/>
  <c r="L363" i="1" s="1"/>
  <c r="J362" i="1"/>
  <c r="L362" i="1" s="1"/>
  <c r="J361" i="1"/>
  <c r="L361" i="1" s="1"/>
  <c r="J360" i="1"/>
  <c r="L360" i="1" s="1"/>
  <c r="J359" i="1"/>
  <c r="L359" i="1" s="1"/>
  <c r="J358" i="1"/>
  <c r="L358" i="1" s="1"/>
  <c r="J357" i="1"/>
  <c r="L357" i="1" s="1"/>
  <c r="J356" i="1"/>
  <c r="L356" i="1" s="1"/>
  <c r="J355" i="1"/>
  <c r="L355" i="1" s="1"/>
  <c r="J354" i="1"/>
  <c r="L354" i="1" s="1"/>
  <c r="J353" i="1"/>
  <c r="L353" i="1" s="1"/>
  <c r="J352" i="1"/>
  <c r="L352" i="1" s="1"/>
  <c r="J351" i="1"/>
  <c r="L351" i="1" s="1"/>
  <c r="J350" i="1"/>
  <c r="L350" i="1" s="1"/>
  <c r="J349" i="1"/>
  <c r="L349" i="1" s="1"/>
  <c r="J348" i="1"/>
  <c r="L348" i="1" s="1"/>
  <c r="J347" i="1"/>
  <c r="L347" i="1" s="1"/>
  <c r="J346" i="1"/>
  <c r="L346" i="1" s="1"/>
  <c r="J345" i="1"/>
  <c r="L345" i="1" s="1"/>
  <c r="J344" i="1"/>
  <c r="L344" i="1" s="1"/>
  <c r="J343" i="1"/>
  <c r="L343" i="1" s="1"/>
  <c r="J342" i="1"/>
  <c r="L342" i="1" s="1"/>
  <c r="J341" i="1"/>
  <c r="L341" i="1" s="1"/>
  <c r="J340" i="1"/>
  <c r="L340" i="1" s="1"/>
  <c r="J339" i="1"/>
  <c r="L339" i="1" s="1"/>
  <c r="J338" i="1"/>
  <c r="L338" i="1" s="1"/>
  <c r="J337" i="1"/>
  <c r="L337" i="1" s="1"/>
  <c r="J336" i="1"/>
  <c r="L336" i="1" s="1"/>
  <c r="J335" i="1"/>
  <c r="L335" i="1" s="1"/>
  <c r="J334" i="1"/>
  <c r="L334" i="1" s="1"/>
  <c r="J333" i="1"/>
  <c r="L333" i="1" s="1"/>
  <c r="J332" i="1"/>
  <c r="L332" i="1" s="1"/>
  <c r="J331" i="1"/>
  <c r="L331" i="1" s="1"/>
  <c r="J330" i="1"/>
  <c r="L330" i="1" s="1"/>
  <c r="J329" i="1"/>
  <c r="L329" i="1" s="1"/>
  <c r="J328" i="1"/>
  <c r="L328" i="1" s="1"/>
  <c r="J327" i="1"/>
  <c r="L327" i="1" s="1"/>
  <c r="J326" i="1"/>
  <c r="L326" i="1" s="1"/>
  <c r="J325" i="1"/>
  <c r="L325" i="1" s="1"/>
  <c r="J324" i="1"/>
  <c r="L324" i="1" s="1"/>
  <c r="J323" i="1"/>
  <c r="L323" i="1" s="1"/>
  <c r="J322" i="1"/>
  <c r="L322" i="1" s="1"/>
  <c r="J321" i="1"/>
  <c r="L321" i="1" s="1"/>
  <c r="J320" i="1"/>
  <c r="L320" i="1" s="1"/>
  <c r="J319" i="1"/>
  <c r="L319" i="1" s="1"/>
  <c r="J318" i="1"/>
  <c r="L318" i="1" s="1"/>
  <c r="J317" i="1"/>
  <c r="L317" i="1" s="1"/>
  <c r="J316" i="1"/>
  <c r="L316" i="1" s="1"/>
  <c r="J315" i="1"/>
  <c r="L315" i="1" s="1"/>
  <c r="J314" i="1"/>
  <c r="L314" i="1" s="1"/>
  <c r="J313" i="1"/>
  <c r="L313" i="1" s="1"/>
  <c r="J312" i="1"/>
  <c r="L312" i="1" s="1"/>
  <c r="J311" i="1"/>
  <c r="L311" i="1" s="1"/>
  <c r="J310" i="1"/>
  <c r="L310" i="1" s="1"/>
  <c r="J309" i="1"/>
  <c r="L309" i="1" s="1"/>
  <c r="J308" i="1"/>
  <c r="L308" i="1" s="1"/>
  <c r="J307" i="1"/>
  <c r="L307" i="1" s="1"/>
  <c r="J306" i="1"/>
  <c r="L306" i="1" s="1"/>
  <c r="J305" i="1"/>
  <c r="L305" i="1" s="1"/>
  <c r="J304" i="1"/>
  <c r="L304" i="1" s="1"/>
  <c r="J303" i="1"/>
  <c r="L303" i="1" s="1"/>
  <c r="J302" i="1"/>
  <c r="L302" i="1" s="1"/>
  <c r="J301" i="1"/>
  <c r="L301" i="1" s="1"/>
  <c r="J300" i="1"/>
  <c r="L300" i="1" s="1"/>
  <c r="J299" i="1"/>
  <c r="L299" i="1" s="1"/>
  <c r="J298" i="1"/>
  <c r="L298" i="1" s="1"/>
  <c r="J297" i="1"/>
  <c r="L297" i="1" s="1"/>
  <c r="J296" i="1"/>
  <c r="L296" i="1" s="1"/>
  <c r="J295" i="1"/>
  <c r="L295" i="1" s="1"/>
  <c r="J294" i="1"/>
  <c r="L294" i="1" s="1"/>
  <c r="J293" i="1"/>
  <c r="L293" i="1" s="1"/>
  <c r="J292" i="1"/>
  <c r="L292" i="1" s="1"/>
  <c r="J291" i="1"/>
  <c r="L291" i="1" s="1"/>
  <c r="J290" i="1"/>
  <c r="L290" i="1" s="1"/>
  <c r="J289" i="1"/>
  <c r="L289" i="1" s="1"/>
  <c r="J288" i="1"/>
  <c r="L288" i="1" s="1"/>
  <c r="J287" i="1"/>
  <c r="L287" i="1" s="1"/>
  <c r="J286" i="1"/>
  <c r="L286" i="1" s="1"/>
  <c r="J285" i="1"/>
  <c r="L285" i="1" s="1"/>
  <c r="J284" i="1"/>
  <c r="L284" i="1" s="1"/>
  <c r="J283" i="1"/>
  <c r="L283" i="1" s="1"/>
  <c r="J282" i="1"/>
  <c r="L282" i="1" s="1"/>
  <c r="J281" i="1"/>
  <c r="L281" i="1" s="1"/>
  <c r="J280" i="1"/>
  <c r="L280" i="1" s="1"/>
  <c r="J279" i="1"/>
  <c r="L279" i="1" s="1"/>
  <c r="J278" i="1"/>
  <c r="L278" i="1" s="1"/>
  <c r="J277" i="1"/>
  <c r="L277" i="1" s="1"/>
  <c r="J276" i="1"/>
  <c r="L276" i="1" s="1"/>
  <c r="J275" i="1"/>
  <c r="L275" i="1" s="1"/>
  <c r="J274" i="1"/>
  <c r="L274" i="1" s="1"/>
  <c r="J273" i="1"/>
  <c r="L273" i="1" s="1"/>
  <c r="J272" i="1"/>
  <c r="L272" i="1" s="1"/>
  <c r="J271" i="1"/>
  <c r="L271" i="1" s="1"/>
  <c r="J270" i="1"/>
  <c r="L270" i="1" s="1"/>
  <c r="J269" i="1"/>
  <c r="L269" i="1" s="1"/>
  <c r="J268" i="1"/>
  <c r="L268" i="1" s="1"/>
  <c r="J267" i="1"/>
  <c r="L267" i="1" s="1"/>
  <c r="J266" i="1"/>
  <c r="L266" i="1" s="1"/>
  <c r="J265" i="1"/>
  <c r="L265" i="1" s="1"/>
  <c r="J264" i="1"/>
  <c r="L264" i="1" s="1"/>
  <c r="J263" i="1"/>
  <c r="L263" i="1" s="1"/>
  <c r="J262" i="1"/>
  <c r="L262" i="1" s="1"/>
  <c r="J261" i="1"/>
  <c r="L261" i="1" s="1"/>
  <c r="J260" i="1"/>
  <c r="L260" i="1" s="1"/>
  <c r="J259" i="1"/>
  <c r="L259" i="1" s="1"/>
  <c r="J258" i="1"/>
  <c r="L258" i="1" s="1"/>
  <c r="J257" i="1"/>
  <c r="L257" i="1" s="1"/>
  <c r="J256" i="1"/>
  <c r="L256" i="1" s="1"/>
  <c r="J255" i="1"/>
  <c r="L255" i="1" s="1"/>
  <c r="J254" i="1"/>
  <c r="L254" i="1" s="1"/>
  <c r="J253" i="1"/>
  <c r="L253" i="1" s="1"/>
  <c r="J252" i="1"/>
  <c r="L252" i="1" s="1"/>
  <c r="J251" i="1"/>
  <c r="L251" i="1" s="1"/>
  <c r="J250" i="1"/>
  <c r="L250" i="1" s="1"/>
  <c r="J249" i="1"/>
  <c r="L249" i="1" s="1"/>
  <c r="J248" i="1"/>
  <c r="L248" i="1" s="1"/>
  <c r="J247" i="1"/>
  <c r="L247" i="1" s="1"/>
  <c r="J246" i="1"/>
  <c r="L246" i="1" s="1"/>
  <c r="J245" i="1"/>
  <c r="L245" i="1" s="1"/>
  <c r="J244" i="1"/>
  <c r="L244" i="1" s="1"/>
  <c r="J243" i="1"/>
  <c r="L243" i="1" s="1"/>
  <c r="J242" i="1"/>
  <c r="L242" i="1" s="1"/>
  <c r="J241" i="1"/>
  <c r="L241" i="1" s="1"/>
  <c r="J240" i="1"/>
  <c r="L240" i="1" s="1"/>
  <c r="J239" i="1"/>
  <c r="L239" i="1" s="1"/>
  <c r="J238" i="1"/>
  <c r="L238" i="1" s="1"/>
  <c r="J237" i="1"/>
  <c r="L237" i="1" s="1"/>
  <c r="J236" i="1"/>
  <c r="L236" i="1" s="1"/>
  <c r="J235" i="1"/>
  <c r="L235" i="1" s="1"/>
  <c r="J234" i="1"/>
  <c r="L234" i="1" s="1"/>
  <c r="J233" i="1"/>
  <c r="L233" i="1" s="1"/>
  <c r="J232" i="1"/>
  <c r="L232" i="1" s="1"/>
  <c r="J231" i="1"/>
  <c r="L231" i="1" s="1"/>
  <c r="J230" i="1"/>
  <c r="L230" i="1" s="1"/>
  <c r="J229" i="1"/>
  <c r="L229" i="1" s="1"/>
  <c r="J228" i="1"/>
  <c r="L228" i="1" s="1"/>
  <c r="J227" i="1"/>
  <c r="L227" i="1" s="1"/>
  <c r="J226" i="1"/>
  <c r="L226" i="1" s="1"/>
  <c r="J225" i="1"/>
  <c r="L225" i="1" s="1"/>
  <c r="J224" i="1"/>
  <c r="L224" i="1" s="1"/>
  <c r="J223" i="1"/>
  <c r="L223" i="1" s="1"/>
  <c r="J222" i="1"/>
  <c r="L222" i="1" s="1"/>
  <c r="J221" i="1"/>
  <c r="L221" i="1" s="1"/>
  <c r="J220" i="1"/>
  <c r="L220" i="1" s="1"/>
  <c r="J219" i="1"/>
  <c r="L219" i="1" s="1"/>
  <c r="J218" i="1"/>
  <c r="L218" i="1" s="1"/>
  <c r="J217" i="1"/>
  <c r="L217" i="1" s="1"/>
  <c r="J216" i="1"/>
  <c r="L216" i="1" s="1"/>
  <c r="J215" i="1"/>
  <c r="L215" i="1" s="1"/>
  <c r="J214" i="1"/>
  <c r="L214" i="1" s="1"/>
  <c r="J213" i="1"/>
  <c r="L213" i="1" s="1"/>
  <c r="J212" i="1"/>
  <c r="L212" i="1" s="1"/>
  <c r="J211" i="1"/>
  <c r="L211" i="1" s="1"/>
  <c r="J210" i="1"/>
  <c r="L210" i="1" s="1"/>
  <c r="J209" i="1"/>
  <c r="L209" i="1" s="1"/>
  <c r="J208" i="1"/>
  <c r="L208" i="1" s="1"/>
  <c r="J207" i="1"/>
  <c r="L207" i="1" s="1"/>
  <c r="J206" i="1"/>
  <c r="L206" i="1" s="1"/>
  <c r="J205" i="1"/>
  <c r="L205" i="1" s="1"/>
  <c r="J204" i="1"/>
  <c r="L204" i="1" s="1"/>
  <c r="J203" i="1"/>
  <c r="L203" i="1" s="1"/>
  <c r="J202" i="1"/>
  <c r="L202" i="1" s="1"/>
  <c r="J201" i="1"/>
  <c r="L201" i="1" s="1"/>
  <c r="J200" i="1"/>
  <c r="L200" i="1" s="1"/>
  <c r="J199" i="1"/>
  <c r="L199" i="1" s="1"/>
  <c r="J198" i="1"/>
  <c r="L198" i="1" s="1"/>
  <c r="J197" i="1"/>
  <c r="L197" i="1" s="1"/>
  <c r="J196" i="1"/>
  <c r="L196" i="1" s="1"/>
  <c r="J195" i="1"/>
  <c r="L195" i="1" s="1"/>
  <c r="J194" i="1"/>
  <c r="L194" i="1" s="1"/>
  <c r="J193" i="1"/>
  <c r="L193" i="1" s="1"/>
  <c r="J192" i="1"/>
  <c r="L192" i="1" s="1"/>
  <c r="J191" i="1"/>
  <c r="L191" i="1" s="1"/>
  <c r="J190" i="1"/>
  <c r="L190" i="1" s="1"/>
  <c r="J189" i="1"/>
  <c r="L189" i="1" s="1"/>
  <c r="J188" i="1"/>
  <c r="L188" i="1" s="1"/>
  <c r="J187" i="1"/>
  <c r="L187" i="1" s="1"/>
  <c r="J186" i="1"/>
  <c r="L186" i="1" s="1"/>
  <c r="J185" i="1"/>
  <c r="L185" i="1" s="1"/>
  <c r="J184" i="1"/>
  <c r="L184" i="1" s="1"/>
  <c r="J183" i="1"/>
  <c r="L183" i="1" s="1"/>
  <c r="J182" i="1"/>
  <c r="L182" i="1" s="1"/>
  <c r="J181" i="1"/>
  <c r="L181" i="1" s="1"/>
  <c r="J180" i="1"/>
  <c r="L180" i="1" s="1"/>
  <c r="J179" i="1"/>
  <c r="L179" i="1" s="1"/>
  <c r="J178" i="1"/>
  <c r="L178" i="1" s="1"/>
  <c r="J177" i="1"/>
  <c r="L177" i="1" s="1"/>
  <c r="J176" i="1"/>
  <c r="L176" i="1" s="1"/>
  <c r="J175" i="1"/>
  <c r="L175" i="1" s="1"/>
  <c r="J174" i="1"/>
  <c r="L174" i="1" s="1"/>
  <c r="J173" i="1"/>
  <c r="L173" i="1" s="1"/>
  <c r="J172" i="1"/>
  <c r="L172" i="1" s="1"/>
  <c r="J171" i="1"/>
  <c r="L171" i="1" s="1"/>
  <c r="J170" i="1"/>
  <c r="L170" i="1" s="1"/>
  <c r="J169" i="1"/>
  <c r="L169" i="1" s="1"/>
  <c r="J168" i="1"/>
  <c r="L168" i="1" s="1"/>
  <c r="J167" i="1"/>
  <c r="L167" i="1" s="1"/>
  <c r="J166" i="1"/>
  <c r="L166" i="1" s="1"/>
  <c r="J165" i="1"/>
  <c r="L165" i="1" s="1"/>
  <c r="J164" i="1"/>
  <c r="L164" i="1" s="1"/>
  <c r="J163" i="1"/>
  <c r="L163" i="1" s="1"/>
  <c r="J162" i="1"/>
  <c r="L162" i="1" s="1"/>
  <c r="J161" i="1"/>
  <c r="L161" i="1" s="1"/>
  <c r="J160" i="1"/>
  <c r="L160" i="1" s="1"/>
  <c r="J159" i="1"/>
  <c r="L159" i="1" s="1"/>
  <c r="J158" i="1"/>
  <c r="L158" i="1" s="1"/>
  <c r="J157" i="1"/>
  <c r="L157" i="1" s="1"/>
  <c r="J156" i="1"/>
  <c r="L156" i="1" s="1"/>
  <c r="J155" i="1"/>
  <c r="L155" i="1" s="1"/>
  <c r="J154" i="1"/>
  <c r="L154" i="1" s="1"/>
  <c r="J153" i="1"/>
  <c r="L153" i="1" s="1"/>
  <c r="J152" i="1"/>
  <c r="L152" i="1" s="1"/>
  <c r="J151" i="1"/>
  <c r="L151" i="1" s="1"/>
  <c r="J150" i="1"/>
  <c r="L150" i="1" s="1"/>
  <c r="J149" i="1"/>
  <c r="L149" i="1" s="1"/>
  <c r="J148" i="1"/>
  <c r="L148" i="1" s="1"/>
  <c r="J147" i="1"/>
  <c r="L147" i="1" s="1"/>
  <c r="J146" i="1"/>
  <c r="L146" i="1" s="1"/>
  <c r="J145" i="1"/>
  <c r="L145" i="1" s="1"/>
  <c r="J144" i="1"/>
  <c r="L144" i="1" s="1"/>
  <c r="J143" i="1"/>
  <c r="L143" i="1" s="1"/>
  <c r="J142" i="1"/>
  <c r="L142" i="1" s="1"/>
  <c r="J141" i="1"/>
  <c r="L141" i="1" s="1"/>
  <c r="J140" i="1"/>
  <c r="L140" i="1" s="1"/>
  <c r="J139" i="1"/>
  <c r="L139" i="1" s="1"/>
  <c r="J138" i="1"/>
  <c r="L138" i="1" s="1"/>
  <c r="J137" i="1"/>
  <c r="L137" i="1" s="1"/>
  <c r="J136" i="1"/>
  <c r="L136" i="1" s="1"/>
  <c r="J135" i="1"/>
  <c r="L135" i="1" s="1"/>
  <c r="J134" i="1"/>
  <c r="L134" i="1" s="1"/>
  <c r="J133" i="1"/>
  <c r="L133" i="1" s="1"/>
  <c r="J132" i="1"/>
  <c r="L132" i="1" s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J125" i="1"/>
  <c r="L125" i="1" s="1"/>
  <c r="J124" i="1"/>
  <c r="L124" i="1" s="1"/>
  <c r="J123" i="1"/>
  <c r="L123" i="1" s="1"/>
  <c r="J122" i="1"/>
  <c r="L122" i="1" s="1"/>
  <c r="J121" i="1"/>
  <c r="L121" i="1" s="1"/>
  <c r="J120" i="1"/>
  <c r="L120" i="1" s="1"/>
  <c r="J119" i="1"/>
  <c r="L119" i="1" s="1"/>
  <c r="J118" i="1"/>
  <c r="L118" i="1" s="1"/>
  <c r="J117" i="1"/>
  <c r="L117" i="1" s="1"/>
  <c r="J116" i="1"/>
  <c r="L116" i="1" s="1"/>
  <c r="J115" i="1"/>
  <c r="L115" i="1" s="1"/>
  <c r="J114" i="1"/>
  <c r="L114" i="1" s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J105" i="1"/>
  <c r="L105" i="1" s="1"/>
  <c r="J104" i="1"/>
  <c r="L104" i="1" s="1"/>
  <c r="J103" i="1"/>
  <c r="L103" i="1" s="1"/>
  <c r="J102" i="1"/>
  <c r="L102" i="1" s="1"/>
  <c r="J101" i="1"/>
  <c r="L101" i="1" s="1"/>
  <c r="J100" i="1"/>
  <c r="L100" i="1" s="1"/>
  <c r="J99" i="1"/>
  <c r="L99" i="1" s="1"/>
  <c r="J98" i="1"/>
  <c r="L98" i="1" s="1"/>
  <c r="J97" i="1"/>
  <c r="L97" i="1" s="1"/>
  <c r="J96" i="1"/>
  <c r="L96" i="1" s="1"/>
  <c r="J95" i="1"/>
  <c r="L95" i="1" s="1"/>
  <c r="J94" i="1"/>
  <c r="L94" i="1" s="1"/>
  <c r="J93" i="1"/>
  <c r="L93" i="1" s="1"/>
  <c r="J92" i="1"/>
  <c r="L92" i="1" s="1"/>
  <c r="J91" i="1"/>
  <c r="L91" i="1" s="1"/>
  <c r="J90" i="1"/>
  <c r="L90" i="1" s="1"/>
  <c r="J89" i="1"/>
  <c r="L89" i="1" s="1"/>
  <c r="J88" i="1"/>
  <c r="L88" i="1" s="1"/>
  <c r="J87" i="1"/>
  <c r="L87" i="1" s="1"/>
  <c r="J86" i="1"/>
  <c r="L86" i="1" s="1"/>
  <c r="J85" i="1"/>
  <c r="L85" i="1" s="1"/>
  <c r="J84" i="1"/>
  <c r="L84" i="1" s="1"/>
  <c r="J83" i="1"/>
  <c r="L83" i="1" s="1"/>
  <c r="J82" i="1"/>
  <c r="L82" i="1" s="1"/>
  <c r="J81" i="1"/>
  <c r="L81" i="1" s="1"/>
  <c r="J80" i="1"/>
  <c r="L80" i="1" s="1"/>
  <c r="J79" i="1"/>
  <c r="L79" i="1" s="1"/>
  <c r="J78" i="1"/>
  <c r="L78" i="1" s="1"/>
  <c r="J77" i="1"/>
  <c r="L77" i="1" s="1"/>
  <c r="J76" i="1"/>
  <c r="L76" i="1" s="1"/>
  <c r="J75" i="1"/>
  <c r="L75" i="1" s="1"/>
  <c r="J74" i="1"/>
  <c r="L74" i="1" s="1"/>
  <c r="J73" i="1"/>
  <c r="L73" i="1" s="1"/>
  <c r="J72" i="1"/>
  <c r="L72" i="1" s="1"/>
  <c r="J71" i="1"/>
  <c r="L71" i="1" s="1"/>
  <c r="J70" i="1"/>
  <c r="L70" i="1" s="1"/>
  <c r="J69" i="1"/>
  <c r="L69" i="1" s="1"/>
  <c r="J68" i="1"/>
  <c r="L68" i="1" s="1"/>
  <c r="J67" i="1"/>
  <c r="L67" i="1" s="1"/>
  <c r="J66" i="1"/>
  <c r="L66" i="1" s="1"/>
  <c r="J65" i="1"/>
  <c r="L65" i="1" s="1"/>
  <c r="J64" i="1"/>
  <c r="L64" i="1" s="1"/>
  <c r="J63" i="1"/>
  <c r="L63" i="1" s="1"/>
  <c r="J62" i="1"/>
  <c r="L62" i="1" s="1"/>
  <c r="J61" i="1"/>
  <c r="L61" i="1" s="1"/>
  <c r="J60" i="1"/>
  <c r="L60" i="1" s="1"/>
  <c r="J59" i="1"/>
  <c r="L59" i="1" s="1"/>
  <c r="J58" i="1"/>
  <c r="L58" i="1" s="1"/>
  <c r="J57" i="1"/>
  <c r="L57" i="1" s="1"/>
  <c r="J56" i="1"/>
  <c r="L56" i="1" s="1"/>
  <c r="J55" i="1"/>
  <c r="L55" i="1" s="1"/>
  <c r="J54" i="1"/>
  <c r="L54" i="1" s="1"/>
  <c r="J53" i="1"/>
  <c r="L53" i="1" s="1"/>
  <c r="J52" i="1"/>
  <c r="L52" i="1" s="1"/>
  <c r="J51" i="1"/>
  <c r="L51" i="1" s="1"/>
  <c r="J50" i="1"/>
  <c r="L50" i="1" s="1"/>
  <c r="J49" i="1"/>
  <c r="L49" i="1" s="1"/>
  <c r="J48" i="1"/>
  <c r="L48" i="1" s="1"/>
  <c r="J47" i="1"/>
  <c r="L47" i="1" s="1"/>
  <c r="J46" i="1"/>
  <c r="L46" i="1" s="1"/>
  <c r="J45" i="1"/>
  <c r="L45" i="1" s="1"/>
  <c r="J44" i="1"/>
  <c r="L44" i="1" s="1"/>
  <c r="J43" i="1"/>
  <c r="L43" i="1" s="1"/>
  <c r="J42" i="1"/>
  <c r="L42" i="1" s="1"/>
  <c r="J41" i="1"/>
  <c r="L41" i="1" s="1"/>
  <c r="J40" i="1"/>
  <c r="L40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8" i="1"/>
  <c r="L28" i="1" s="1"/>
  <c r="J27" i="1"/>
  <c r="L27" i="1" s="1"/>
  <c r="J26" i="1"/>
  <c r="L26" i="1" s="1"/>
  <c r="J25" i="1"/>
  <c r="L25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J4" i="1"/>
  <c r="J3" i="1"/>
  <c r="J2" i="1"/>
  <c r="L2" i="1" s="1"/>
  <c r="L5" i="1" l="1"/>
  <c r="L4" i="1"/>
  <c r="L3" i="1"/>
</calcChain>
</file>

<file path=xl/sharedStrings.xml><?xml version="1.0" encoding="utf-8"?>
<sst xmlns="http://schemas.openxmlformats.org/spreadsheetml/2006/main" count="1407" uniqueCount="507">
  <si>
    <t>MediumB</t>
  </si>
  <si>
    <t>BrightB</t>
  </si>
  <si>
    <t>Violet</t>
  </si>
  <si>
    <t>Turquoise</t>
  </si>
  <si>
    <t>Green</t>
  </si>
  <si>
    <t>OliveG</t>
  </si>
  <si>
    <t>Yellow</t>
  </si>
  <si>
    <t>Brown</t>
  </si>
  <si>
    <t>Red</t>
  </si>
  <si>
    <t>Coral</t>
  </si>
  <si>
    <t>Pink</t>
  </si>
  <si>
    <t>DarkV</t>
  </si>
  <si>
    <t>Gold</t>
  </si>
  <si>
    <t>LightB</t>
  </si>
  <si>
    <t>Tangerine</t>
  </si>
  <si>
    <t>LightG</t>
  </si>
  <si>
    <t>Gray</t>
  </si>
  <si>
    <t>White</t>
  </si>
  <si>
    <t>COLORS</t>
  </si>
  <si>
    <t>Overview</t>
  </si>
  <si>
    <t>Initial Release</t>
  </si>
  <si>
    <t>name</t>
  </si>
  <si>
    <t>mode</t>
  </si>
  <si>
    <t>vph</t>
  </si>
  <si>
    <t>col</t>
  </si>
  <si>
    <t>pol</t>
  </si>
  <si>
    <t>icon</t>
  </si>
  <si>
    <t>mute</t>
  </si>
  <si>
    <t>Input</t>
  </si>
  <si>
    <t>SET Color Name</t>
  </si>
  <si>
    <t>Set Name</t>
  </si>
  <si>
    <t>sam</t>
  </si>
  <si>
    <t>LCL.3</t>
  </si>
  <si>
    <t>LCL.4</t>
  </si>
  <si>
    <t>LCL.5</t>
  </si>
  <si>
    <t>LCL.6</t>
  </si>
  <si>
    <t>LCL.7</t>
  </si>
  <si>
    <t>LCL.8</t>
  </si>
  <si>
    <t>LCL.9</t>
  </si>
  <si>
    <t>LCL.10</t>
  </si>
  <si>
    <t>LCL.11</t>
  </si>
  <si>
    <t>LCL.12</t>
  </si>
  <si>
    <t>LCL.13</t>
  </si>
  <si>
    <t>LCL.14</t>
  </si>
  <si>
    <t>LCL.15</t>
  </si>
  <si>
    <t>LCL.16</t>
  </si>
  <si>
    <t>LCL.17</t>
  </si>
  <si>
    <t>LCL.18</t>
  </si>
  <si>
    <t>LCL.19</t>
  </si>
  <si>
    <t>LCL.20</t>
  </si>
  <si>
    <t>LCL.21</t>
  </si>
  <si>
    <t>LCL.22</t>
  </si>
  <si>
    <t>LCL.23</t>
  </si>
  <si>
    <t>LCL.24</t>
  </si>
  <si>
    <t>AUX.1</t>
  </si>
  <si>
    <t>AUX.2</t>
  </si>
  <si>
    <t>AUX.3</t>
  </si>
  <si>
    <t>AUX.4</t>
  </si>
  <si>
    <t>AUX.5</t>
  </si>
  <si>
    <t>AUX.6</t>
  </si>
  <si>
    <t>AUX.7</t>
  </si>
  <si>
    <t>AUX.8</t>
  </si>
  <si>
    <t>sdfdf</t>
  </si>
  <si>
    <t>joe</t>
  </si>
  <si>
    <t>frank</t>
  </si>
  <si>
    <t>Device</t>
  </si>
  <si>
    <t>WING1</t>
  </si>
  <si>
    <t>20261027a</t>
  </si>
  <si>
    <t>MODES</t>
  </si>
  <si>
    <t>ST</t>
  </si>
  <si>
    <t>M/S</t>
  </si>
  <si>
    <t>M</t>
  </si>
  <si>
    <t>LCL.1</t>
  </si>
  <si>
    <t>LCL.2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</si>
  <si>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</si>
  <si>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</si>
  <si>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</si>
  <si>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</si>
  <si>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</si>
  <si>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</si>
  <si>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</si>
  <si>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</si>
  <si>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</si>
  <si>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</si>
  <si>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</si>
  <si>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</si>
  <si>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</si>
  <si>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</si>
  <si>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</si>
  <si>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</si>
  <si>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</si>
  <si>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</si>
  <si>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</si>
  <si>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</si>
  <si>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</si>
  <si>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</si>
  <si>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</si>
  <si>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</si>
  <si>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</si>
  <si>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</si>
  <si>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</si>
  <si>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</si>
  <si>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</si>
  <si>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</si>
  <si>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</si>
  <si>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</si>
  <si>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</si>
  <si>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</si>
  <si>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</si>
  <si>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</si>
  <si>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</si>
  <si>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</si>
  <si>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</si>
  <si>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</si>
  <si>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</si>
  <si>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</si>
  <si>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</si>
  <si>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</si>
  <si>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</si>
  <si>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A.46</t>
  </si>
  <si>
    <t>A.47</t>
  </si>
  <si>
    <t>A.48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</si>
  <si>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</si>
  <si>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</si>
  <si>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</si>
  <si>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</si>
  <si>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</si>
  <si>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</si>
  <si>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</si>
  <si>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</si>
  <si>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</si>
  <si>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</si>
  <si>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</si>
  <si>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</si>
  <si>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</si>
  <si>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</si>
  <si>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</si>
  <si>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</si>
  <si>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</si>
  <si>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</si>
  <si>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</si>
  <si>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</si>
  <si>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</si>
  <si>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</si>
  <si>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</si>
  <si>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</si>
  <si>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</si>
  <si>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</si>
  <si>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</si>
  <si>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</si>
  <si>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</si>
  <si>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</si>
  <si>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</si>
  <si>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</si>
  <si>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</si>
  <si>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</si>
  <si>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</si>
  <si>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</si>
  <si>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</si>
  <si>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</si>
  <si>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</si>
  <si>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</si>
  <si>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</si>
  <si>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B.42</t>
  </si>
  <si>
    <t>B.43</t>
  </si>
  <si>
    <t>B.44</t>
  </si>
  <si>
    <t>B.45</t>
  </si>
  <si>
    <t>B.46</t>
  </si>
  <si>
    <t>B.47</t>
  </si>
  <si>
    <t>B.48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</si>
  <si>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</si>
  <si>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</si>
  <si>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</si>
  <si>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</si>
  <si>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</si>
  <si>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</si>
  <si>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</si>
  <si>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</si>
  <si>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</si>
  <si>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</si>
  <si>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</si>
  <si>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</si>
  <si>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</si>
  <si>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</si>
  <si>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</si>
  <si>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</si>
  <si>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</si>
  <si>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</si>
  <si>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</si>
  <si>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</si>
  <si>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</si>
  <si>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</si>
  <si>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</si>
  <si>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</si>
  <si>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</si>
  <si>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</si>
  <si>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</si>
  <si>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</si>
  <si>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</si>
  <si>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</si>
  <si>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</si>
  <si>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</si>
  <si>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</si>
  <si>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</si>
  <si>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</si>
  <si>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</si>
  <si>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</si>
  <si>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</si>
  <si>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</si>
  <si>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</si>
  <si>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</si>
  <si>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</si>
  <si>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</si>
  <si>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</si>
  <si>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</si>
  <si>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</si>
  <si>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</si>
  <si>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</si>
  <si>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SC.1</t>
  </si>
  <si>
    <t>SC.2</t>
  </si>
  <si>
    <t>SC.3</t>
  </si>
  <si>
    <t>SC.4</t>
  </si>
  <si>
    <t>SC.5</t>
  </si>
  <si>
    <t>SC.6</t>
  </si>
  <si>
    <t>SC.7</t>
  </si>
  <si>
    <t>SC.8</t>
  </si>
  <si>
    <t>SC.9</t>
  </si>
  <si>
    <t>SC.10</t>
  </si>
  <si>
    <t>SC.11</t>
  </si>
  <si>
    <t>SC.12</t>
  </si>
  <si>
    <t>SC.13</t>
  </si>
  <si>
    <t>SC.14</t>
  </si>
  <si>
    <t>SC.15</t>
  </si>
  <si>
    <t>SC.16</t>
  </si>
  <si>
    <t>SC.17</t>
  </si>
  <si>
    <t>SC.18</t>
  </si>
  <si>
    <t>SC.19</t>
  </si>
  <si>
    <t>SC.20</t>
  </si>
  <si>
    <t>SC.21</t>
  </si>
  <si>
    <t>SC.22</t>
  </si>
  <si>
    <t>SC.23</t>
  </si>
  <si>
    <t>SC.24</t>
  </si>
  <si>
    <t>SC.25</t>
  </si>
  <si>
    <t>SC.26</t>
  </si>
  <si>
    <t>SC.27</t>
  </si>
  <si>
    <t>SC.28</t>
  </si>
  <si>
    <t>SC.29</t>
  </si>
  <si>
    <t>SC.30</t>
  </si>
  <si>
    <t>SC.31</t>
  </si>
  <si>
    <t>SC.32</t>
  </si>
  <si>
    <t>USB.1</t>
  </si>
  <si>
    <t>USB.2</t>
  </si>
  <si>
    <t>USB.3</t>
  </si>
  <si>
    <t>USB.4</t>
  </si>
  <si>
    <t>USB.5</t>
  </si>
  <si>
    <t>USB.6</t>
  </si>
  <si>
    <t>USB.7</t>
  </si>
  <si>
    <t>USB.8</t>
  </si>
  <si>
    <t>USB.9</t>
  </si>
  <si>
    <t>USB.10</t>
  </si>
  <si>
    <t>USB.11</t>
  </si>
  <si>
    <t>USB.12</t>
  </si>
  <si>
    <t>USB.13</t>
  </si>
  <si>
    <t>USB.14</t>
  </si>
  <si>
    <t>USB.15</t>
  </si>
  <si>
    <t>USB.16</t>
  </si>
  <si>
    <t>USB.17</t>
  </si>
  <si>
    <t>USB.18</t>
  </si>
  <si>
    <t>USB.19</t>
  </si>
  <si>
    <t>USB.20</t>
  </si>
  <si>
    <t>USB.21</t>
  </si>
  <si>
    <t>USB.22</t>
  </si>
  <si>
    <t>USB.23</t>
  </si>
  <si>
    <t>USB.24</t>
  </si>
  <si>
    <t>USB.25</t>
  </si>
  <si>
    <t>USB.26</t>
  </si>
  <si>
    <t>USB.27</t>
  </si>
  <si>
    <t>USB.28</t>
  </si>
  <si>
    <t>USB.29</t>
  </si>
  <si>
    <t>USB.30</t>
  </si>
  <si>
    <t>USB.31</t>
  </si>
  <si>
    <t>USB.32</t>
  </si>
  <si>
    <t>USB.33</t>
  </si>
  <si>
    <t>USB.34</t>
  </si>
  <si>
    <t>USB.35</t>
  </si>
  <si>
    <t>USB.36</t>
  </si>
  <si>
    <t>USB.37</t>
  </si>
  <si>
    <t>USB.38</t>
  </si>
  <si>
    <t>USB.39</t>
  </si>
  <si>
    <t>USB.40</t>
  </si>
  <si>
    <t>USB.41</t>
  </si>
  <si>
    <t>USB.42</t>
  </si>
  <si>
    <t>USB.43</t>
  </si>
  <si>
    <t>USB.44</t>
  </si>
  <si>
    <t>USB.45</t>
  </si>
  <si>
    <t>USB.46</t>
  </si>
  <si>
    <t>USB.47</t>
  </si>
  <si>
    <t>USB.48</t>
  </si>
  <si>
    <t>CRD.1</t>
  </si>
  <si>
    <t>CRD.2</t>
  </si>
  <si>
    <t>CRD.3</t>
  </si>
  <si>
    <t>CRD.4</t>
  </si>
  <si>
    <t>CRD.5</t>
  </si>
  <si>
    <t>CRD.6</t>
  </si>
  <si>
    <t>CRD.7</t>
  </si>
  <si>
    <t>CRD.8</t>
  </si>
  <si>
    <t>CRD.9</t>
  </si>
  <si>
    <t>CRD.10</t>
  </si>
  <si>
    <t>CRD.11</t>
  </si>
  <si>
    <t>CRD.12</t>
  </si>
  <si>
    <t>CRD.13</t>
  </si>
  <si>
    <t>CRD.14</t>
  </si>
  <si>
    <t>CRD.15</t>
  </si>
  <si>
    <t>CRD.16</t>
  </si>
  <si>
    <t>CRD.17</t>
  </si>
  <si>
    <t>CRD.18</t>
  </si>
  <si>
    <t>CRD.19</t>
  </si>
  <si>
    <t>CRD.20</t>
  </si>
  <si>
    <t>CRD.21</t>
  </si>
  <si>
    <t>CRD.22</t>
  </si>
  <si>
    <t>CRD.23</t>
  </si>
  <si>
    <t>CRD.24</t>
  </si>
  <si>
    <t>CRD.25</t>
  </si>
  <si>
    <t>CRD.26</t>
  </si>
  <si>
    <t>CRD.27</t>
  </si>
  <si>
    <t>CRD.28</t>
  </si>
  <si>
    <t>CRD.29</t>
  </si>
  <si>
    <t>CRD.30</t>
  </si>
  <si>
    <t>CRD.31</t>
  </si>
  <si>
    <t>CRD.32</t>
  </si>
  <si>
    <t>CRD.33</t>
  </si>
  <si>
    <t>CRD.34</t>
  </si>
  <si>
    <t>CRD.35</t>
  </si>
  <si>
    <t>CRD.36</t>
  </si>
  <si>
    <t>CRD.37</t>
  </si>
  <si>
    <t>CRD.38</t>
  </si>
  <si>
    <t>CRD.39</t>
  </si>
  <si>
    <t>CRD.40</t>
  </si>
  <si>
    <t>CRD.41</t>
  </si>
  <si>
    <t>CRD.42</t>
  </si>
  <si>
    <t>CRD.43</t>
  </si>
  <si>
    <t>CRD.44</t>
  </si>
  <si>
    <t>CRD.45</t>
  </si>
  <si>
    <t>CRD.46</t>
  </si>
  <si>
    <t>CRD.47</t>
  </si>
  <si>
    <t>CRD.48</t>
  </si>
  <si>
    <t>CRD.49</t>
  </si>
  <si>
    <t>CRD.50</t>
  </si>
  <si>
    <t>CRD.51</t>
  </si>
  <si>
    <t>CRD.52</t>
  </si>
  <si>
    <t>CRD.53</t>
  </si>
  <si>
    <t>CRD.54</t>
  </si>
  <si>
    <t>CRD.55</t>
  </si>
  <si>
    <t>CRD.56</t>
  </si>
  <si>
    <t>CRD.57</t>
  </si>
  <si>
    <t>CRD.58</t>
  </si>
  <si>
    <t>CRD.59</t>
  </si>
  <si>
    <t>CRD.60</t>
  </si>
  <si>
    <t>CRD.61</t>
  </si>
  <si>
    <t>CRD.62</t>
  </si>
  <si>
    <t>CRD.63</t>
  </si>
  <si>
    <t>CRD.64</t>
  </si>
  <si>
    <t>MOD.1</t>
  </si>
  <si>
    <t>MOD.2</t>
  </si>
  <si>
    <t>MOD.3</t>
  </si>
  <si>
    <t>MOD.4</t>
  </si>
  <si>
    <t>MOD.5</t>
  </si>
  <si>
    <t>MOD.6</t>
  </si>
  <si>
    <t>MOD.7</t>
  </si>
  <si>
    <t>MOD.8</t>
  </si>
  <si>
    <t>MOD.9</t>
  </si>
  <si>
    <t>MOD.10</t>
  </si>
  <si>
    <t>MOD.11</t>
  </si>
  <si>
    <t>MOD.12</t>
  </si>
  <si>
    <t>MOD.13</t>
  </si>
  <si>
    <t>MOD.14</t>
  </si>
  <si>
    <t>MOD.15</t>
  </si>
  <si>
    <t>MOD.16</t>
  </si>
  <si>
    <t>MOD.17</t>
  </si>
  <si>
    <t>MOD.18</t>
  </si>
  <si>
    <t>MOD.19</t>
  </si>
  <si>
    <t>MOD.20</t>
  </si>
  <si>
    <t>MOD.21</t>
  </si>
  <si>
    <t>MOD.22</t>
  </si>
  <si>
    <t>MOD.23</t>
  </si>
  <si>
    <t>MOD.24</t>
  </si>
  <si>
    <t>MOD.25</t>
  </si>
  <si>
    <t>MOD.26</t>
  </si>
  <si>
    <t>MOD.27</t>
  </si>
  <si>
    <t>MOD.28</t>
  </si>
  <si>
    <t>MOD.29</t>
  </si>
  <si>
    <t>MOD.30</t>
  </si>
  <si>
    <t>MOD.31</t>
  </si>
  <si>
    <t>MOD.32</t>
  </si>
  <si>
    <t>MOD.33</t>
  </si>
  <si>
    <t>MOD.34</t>
  </si>
  <si>
    <t>MOD.35</t>
  </si>
  <si>
    <t>MOD.36</t>
  </si>
  <si>
    <t>MOD.37</t>
  </si>
  <si>
    <t>MOD.38</t>
  </si>
  <si>
    <t>MOD.39</t>
  </si>
  <si>
    <t>MOD.40</t>
  </si>
  <si>
    <t>MOD.41</t>
  </si>
  <si>
    <t>MOD.42</t>
  </si>
  <si>
    <t>MOD.43</t>
  </si>
  <si>
    <t>MOD.44</t>
  </si>
  <si>
    <t>MOD.45</t>
  </si>
  <si>
    <t>MOD.46</t>
  </si>
  <si>
    <t>MOD.47</t>
  </si>
  <si>
    <t>MOD.48</t>
  </si>
  <si>
    <t>MOD.49</t>
  </si>
  <si>
    <t>MOD.50</t>
  </si>
  <si>
    <t>MOD.51</t>
  </si>
  <si>
    <t>MOD.52</t>
  </si>
  <si>
    <t>MOD.53</t>
  </si>
  <si>
    <t>MOD.54</t>
  </si>
  <si>
    <t>MOD.55</t>
  </si>
  <si>
    <t>MOD.56</t>
  </si>
  <si>
    <t>MOD.57</t>
  </si>
  <si>
    <t>MOD.58</t>
  </si>
  <si>
    <t>MOD.59</t>
  </si>
  <si>
    <t>MOD.60</t>
  </si>
  <si>
    <t>MOD.61</t>
  </si>
  <si>
    <t>MOD.62</t>
  </si>
  <si>
    <t>MOD.63</t>
  </si>
  <si>
    <t>MOD.64</t>
  </si>
  <si>
    <t>PLAY.1</t>
  </si>
  <si>
    <t>PLAY.2</t>
  </si>
  <si>
    <t>PLAY.3</t>
  </si>
  <si>
    <t>PLAY.4</t>
  </si>
  <si>
    <t>AES.1</t>
  </si>
  <si>
    <t>AES.2</t>
  </si>
  <si>
    <t>USR.1</t>
  </si>
  <si>
    <t>USR.2</t>
  </si>
  <si>
    <t>USR.3</t>
  </si>
  <si>
    <t>USR.4</t>
  </si>
  <si>
    <t>USR.5</t>
  </si>
  <si>
    <t>USR.6</t>
  </si>
  <si>
    <t>USR.7</t>
  </si>
  <si>
    <t>USR.8</t>
  </si>
  <si>
    <t>USR.9</t>
  </si>
  <si>
    <t>USR.10</t>
  </si>
  <si>
    <t>USR.11</t>
  </si>
  <si>
    <t>USR.12</t>
  </si>
  <si>
    <t>USR.13</t>
  </si>
  <si>
    <t>USR.14</t>
  </si>
  <si>
    <t>USR.15</t>
  </si>
  <si>
    <t>USR.16</t>
  </si>
  <si>
    <t>USR.17</t>
  </si>
  <si>
    <t>USR.18</t>
  </si>
  <si>
    <t>USR.19</t>
  </si>
  <si>
    <t>USR.20</t>
  </si>
  <si>
    <t>USR.21</t>
  </si>
  <si>
    <t>USR.22</t>
  </si>
  <si>
    <t>USR.23</t>
  </si>
  <si>
    <t>USR.24</t>
  </si>
  <si>
    <t>USR.25</t>
  </si>
  <si>
    <t>USR.26</t>
  </si>
  <si>
    <t>USR.27</t>
  </si>
  <si>
    <t>USR.28</t>
  </si>
  <si>
    <t>USR.29</t>
  </si>
  <si>
    <t>USR.30</t>
  </si>
  <si>
    <t>USR.31</t>
  </si>
  <si>
    <t>USR.32</t>
  </si>
  <si>
    <t>USR.33</t>
  </si>
  <si>
    <t>USR.34</t>
  </si>
  <si>
    <t>USR.35</t>
  </si>
  <si>
    <t>USR.36</t>
  </si>
  <si>
    <t>USR.37</t>
  </si>
  <si>
    <t>USR.38</t>
  </si>
  <si>
    <t>USR.39</t>
  </si>
  <si>
    <t>USR.40</t>
  </si>
  <si>
    <t>USR.41</t>
  </si>
  <si>
    <t>USR.42</t>
  </si>
  <si>
    <t>USR.43</t>
  </si>
  <si>
    <t>USR.44</t>
  </si>
  <si>
    <t>USR.45</t>
  </si>
  <si>
    <t>USR.46</t>
  </si>
  <si>
    <t>USR.47</t>
  </si>
  <si>
    <t>USR.48</t>
  </si>
  <si>
    <t>USR.49</t>
  </si>
  <si>
    <t>USR.50</t>
  </si>
  <si>
    <t>USR.51</t>
  </si>
  <si>
    <t>USR.52</t>
  </si>
  <si>
    <t>USR.53</t>
  </si>
  <si>
    <t>USR.54</t>
  </si>
  <si>
    <t>USR.55</t>
  </si>
  <si>
    <t>USR.56</t>
  </si>
  <si>
    <t>OSC.1</t>
  </si>
  <si>
    <t>OSC.2</t>
  </si>
  <si>
    <t>Joeisacreepofallpeople</t>
  </si>
  <si>
    <t>This script will build OSC commands to set the Name, Color, Mute, Mode, Icon, Polarity, and Phantom Power for each of the 448 WING inputs.</t>
  </si>
  <si>
    <t>Col A: Specify your DEVICE as used in the RUN and BUILD script device specifications</t>
  </si>
  <si>
    <t>Col B: This is prebuild for each input</t>
  </si>
  <si>
    <t>abcdefghijklmnopqrstuvwxyzABCDEFGHIJKLMNOPQRSTUVWXYZ1234567890.-_+</t>
  </si>
  <si>
    <t>Note that spaces are also not allowed.  The first 16 characters of the name are passed to the WING.</t>
  </si>
  <si>
    <t>Col C: Place the name for the input here. Values can be:</t>
  </si>
  <si>
    <t>Col D: Set the desired color from the dropdown list</t>
  </si>
  <si>
    <t>Col E: Enter the OSC mute value (0 is no muted, 1 is muted)</t>
  </si>
  <si>
    <t>Col F: Enter the OSC mode value (M, ST, M/S)</t>
  </si>
  <si>
    <t>Col G: Enter the icon number to use (see the WING manual)</t>
  </si>
  <si>
    <t>Col H: Enter the Polarity (0 is normal, 1 is reversed)</t>
  </si>
  <si>
    <t>Col I: Enter the Phantom Power value (0 is off, 1 is on)</t>
  </si>
  <si>
    <t>Col J: This is filled by formula and has the first 16 characters of the name</t>
  </si>
  <si>
    <t>Col K: This is filled by formula and is the color number</t>
  </si>
  <si>
    <t>Col L: This is the cue content you should copy into a cue to run these settings.</t>
  </si>
  <si>
    <t>Copy Column L into the clipboard and paste it into a Cue to use to enact these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</si>
</sst>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672C-ED20-45EA-932D-8B4BADFB2D8C}">
  <sheetPr>
    <pageSetUpPr fitToPage="1"/>
  </sheetPr>
  <dimension ref="A1:R449"/>
  <sheetViews>
    <sheetView tabSelected="1" zoomScale="90" zoomScaleNormal="90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9.140625" style="1"/>
    <col min="2" max="2" width="17" style="3" customWidth="1"/>
    <col min="3" max="3" width="22.5703125" style="13" customWidth="1"/>
    <col min="4" max="4" width="14.5703125" style="14" customWidth="1"/>
    <col min="5" max="9" width="7.7109375" style="14" customWidth="1"/>
    <col min="10" max="10" width="14.140625" style="11" customWidth="1"/>
    <col min="11" max="11" width="7.7109375" style="11" customWidth="1"/>
    <col min="12" max="12" width="95.42578125" customWidth="1"/>
  </cols>
  <sheetData>
    <row r="1" spans="1:12" ht="13.5" customHeight="1" x14ac:dyDescent="0.25">
      <c r="A1" s="1" t="s">
        <v>65</v>
      </c>
      <c r="B1" s="5" t="s">
        <v>28</v>
      </c>
      <c r="C1" s="5" t="s">
        <v>30</v>
      </c>
      <c r="D1" s="5" t="s">
        <v>29</v>
      </c>
      <c r="E1" s="5" t="s">
        <v>27</v>
      </c>
      <c r="F1" s="5" t="s">
        <v>22</v>
      </c>
      <c r="G1" s="5" t="s">
        <v>26</v>
      </c>
      <c r="H1" s="5" t="s">
        <v>25</v>
      </c>
      <c r="I1" s="5" t="s">
        <v>23</v>
      </c>
      <c r="J1" s="8" t="s">
        <v>21</v>
      </c>
      <c r="K1" s="8" t="s">
        <v>24</v>
      </c>
    </row>
    <row r="2" spans="1:12" ht="13.5" customHeight="1" x14ac:dyDescent="0.25">
      <c r="A2" s="1" t="s">
        <v>66</v>
      </c>
      <c r="B2" s="6" t="s">
        <v>72</v>
      </c>
      <c r="C2" s="12" t="s">
        <v>490</v>
      </c>
      <c r="D2" s="4" t="s">
        <v>12</v>
      </c>
      <c r="E2" s="4">
        <v>0</v>
      </c>
      <c r="F2" s="4" t="s">
        <v>71</v>
      </c>
      <c r="G2" s="4">
        <v>14</v>
      </c>
      <c r="H2" s="4">
        <v>1</v>
      </c>
      <c r="I2" s="4">
        <v>0</v>
      </c>
      <c r="J2" s="9" t="str">
        <f t="shared" ref="J2:J65" si="0">IF(C2="",SUBSTITUTE(B2, "/", "."),LEFT(C2,16))</f>
        <v>Joeisacreepofall</v>
      </c>
      <c r="K2" s="10">
        <f>IF(D2="",17,_xlfn.XLOOKUP(D2,refs!$A$2:$A$21,refs!$B$2:$B$21,""))</f>
        <v>13</v>
      </c>
      <c r="L2" t="str">
        <f>"PASSTHROUGH|"&amp;A2&amp;"^^/ s /io.in."&amp;B2&amp;".mute="&amp;E2&amp;",mode="&amp;F2&amp;",icon="&amp;G2&amp;",pol="&amp;H2&amp;",vph="&amp;I2&amp;",name="&amp;J2&amp;",col="&amp;K2&amp;","</f>
        <v>PASSTHROUGH|WING1^^/ s /io.in.LCL.1.mute=0,mode=M,icon=14,pol=1,vph=0,name=Joeisacreepofall,col=13,</v>
      </c>
    </row>
    <row r="3" spans="1:12" ht="13.5" customHeight="1" x14ac:dyDescent="0.25">
      <c r="A3" s="1" t="s">
        <v>66</v>
      </c>
      <c r="B3" s="6" t="s">
        <v>73</v>
      </c>
      <c r="C3" s="12" t="s">
        <v>62</v>
      </c>
      <c r="D3" s="4" t="s">
        <v>1</v>
      </c>
      <c r="E3" s="4">
        <v>0</v>
      </c>
      <c r="F3" s="4" t="s">
        <v>69</v>
      </c>
      <c r="G3" s="4">
        <v>12</v>
      </c>
      <c r="H3" s="4">
        <v>0</v>
      </c>
      <c r="I3" s="4">
        <v>1</v>
      </c>
      <c r="J3" s="9" t="str">
        <f t="shared" si="0"/>
        <v>sdfdf</v>
      </c>
      <c r="K3" s="10">
        <f>IF(D3="",17,_xlfn.XLOOKUP(D3,refs!$A$2:$A$21,refs!$B$2:$B$21,""))</f>
        <v>2</v>
      </c>
      <c r="L3" t="str">
        <f>"PASSTHROUGH|"&amp;A3&amp;"^^/ s /io.in."&amp;B3&amp;".mute="&amp;E3&amp;",mode="&amp;F3&amp;",icon="&amp;G3&amp;",pol="&amp;H3&amp;",vph="&amp;I3&amp;",name="&amp;J3&amp;",col="&amp;K3&amp;","</f>
        <v>PASSTHROUGH|WING1^^/ s /io.in.LCL.2.mute=0,mode=ST,icon=12,pol=0,vph=1,name=sdfdf,col=2,</v>
      </c>
    </row>
    <row r="4" spans="1:12" ht="13.5" customHeight="1" x14ac:dyDescent="0.25">
      <c r="A4" s="1" t="s">
        <v>66</v>
      </c>
      <c r="B4" s="6" t="s">
        <v>32</v>
      </c>
      <c r="C4" s="12" t="s">
        <v>63</v>
      </c>
      <c r="D4" s="4" t="s">
        <v>1</v>
      </c>
      <c r="E4" s="4">
        <v>1</v>
      </c>
      <c r="F4" s="4" t="s">
        <v>70</v>
      </c>
      <c r="G4" s="4">
        <v>0</v>
      </c>
      <c r="H4" s="4">
        <v>0</v>
      </c>
      <c r="I4" s="4">
        <v>0</v>
      </c>
      <c r="J4" s="9" t="str">
        <f t="shared" si="0"/>
        <v>joe</v>
      </c>
      <c r="K4" s="10">
        <f>IF(D4="",17,_xlfn.XLOOKUP(D4,refs!$A$2:$A$21,refs!$B$2:$B$21,""))</f>
        <v>2</v>
      </c>
      <c r="L4" t="str">
        <f>"PASSTHROUGH|"&amp;A4&amp;"^^/ s /io.in."&amp;B4&amp;".mute="&amp;E4&amp;",mode="&amp;F4&amp;",icon="&amp;G4&amp;",pol="&amp;H4&amp;",vph="&amp;I4&amp;",name="&amp;J4&amp;",col="&amp;K4&amp;","</f>
        <v>PASSTHROUGH|WING1^^/ s /io.in.LCL.3.mute=1,mode=M/S,icon=0,pol=0,vph=0,name=joe,col=2,</v>
      </c>
    </row>
    <row r="5" spans="1:12" ht="13.5" customHeight="1" x14ac:dyDescent="0.25">
      <c r="A5" s="1" t="s">
        <v>66</v>
      </c>
      <c r="B5" s="6" t="s">
        <v>33</v>
      </c>
      <c r="C5" s="12" t="s">
        <v>31</v>
      </c>
      <c r="D5" s="4" t="s">
        <v>2</v>
      </c>
      <c r="E5" s="4">
        <v>0</v>
      </c>
      <c r="F5" s="4" t="s">
        <v>71</v>
      </c>
      <c r="G5" s="4">
        <v>0</v>
      </c>
      <c r="H5" s="4">
        <v>0</v>
      </c>
      <c r="I5" s="4">
        <v>0</v>
      </c>
      <c r="J5" s="9" t="str">
        <f t="shared" si="0"/>
        <v>sam</v>
      </c>
      <c r="K5" s="10">
        <f>IF(D5="",17,_xlfn.XLOOKUP(D5,refs!$A$2:$A$21,refs!$B$2:$B$21,""))</f>
        <v>3</v>
      </c>
      <c r="L5" t="str">
        <f>"PASSTHROUGH|"&amp;A5&amp;"^^/ s /io.in."&amp;B5&amp;".mute="&amp;E5&amp;",mode="&amp;F5&amp;",icon="&amp;G5&amp;",pol="&amp;H5&amp;",vph="&amp;I5&amp;",name="&amp;J5&amp;",col="&amp;K5&amp;","</f>
        <v>PASSTHROUGH|WING1^^/ s /io.in.LCL.4.mute=0,mode=M,icon=0,pol=0,vph=0,name=sam,col=3,</v>
      </c>
    </row>
    <row r="6" spans="1:12" ht="13.5" customHeight="1" x14ac:dyDescent="0.25">
      <c r="A6" s="1" t="s">
        <v>66</v>
      </c>
      <c r="B6" s="6" t="s">
        <v>34</v>
      </c>
      <c r="C6" s="12" t="s">
        <v>64</v>
      </c>
      <c r="D6" s="4" t="s">
        <v>1</v>
      </c>
      <c r="E6" s="4">
        <v>0</v>
      </c>
      <c r="F6" s="4" t="s">
        <v>71</v>
      </c>
      <c r="G6" s="4">
        <v>0</v>
      </c>
      <c r="H6" s="4">
        <v>0</v>
      </c>
      <c r="I6" s="4">
        <v>0</v>
      </c>
      <c r="J6" s="9" t="str">
        <f t="shared" si="0"/>
        <v>frank</v>
      </c>
      <c r="K6" s="10">
        <f>IF(D6="",17,_xlfn.XLOOKUP(D6,refs!$A$2:$A$21,refs!$B$2:$B$21,""))</f>
        <v>2</v>
      </c>
      <c r="L6" t="str">
        <f>"PASSTHROUGH|"&amp;A6&amp;"^^/ s /io.in."&amp;B6&amp;".mute="&amp;E6&amp;",mode="&amp;F6&amp;",icon="&amp;G6&amp;",pol="&amp;H6&amp;",vph="&amp;I6&amp;",name="&amp;J6&amp;",col="&amp;K6&amp;","</f>
        <v>PASSTHROUGH|WING1^^/ s /io.in.LCL.5.mute=0,mode=M,icon=0,pol=0,vph=0,name=frank,col=2,</v>
      </c>
    </row>
    <row r="7" spans="1:12" ht="13.5" customHeight="1" x14ac:dyDescent="0.25">
      <c r="A7" s="1" t="s">
        <v>66</v>
      </c>
      <c r="B7" s="6" t="s">
        <v>35</v>
      </c>
      <c r="C7" s="12"/>
      <c r="D7" s="4"/>
      <c r="E7" s="4">
        <v>0</v>
      </c>
      <c r="F7" s="4" t="s">
        <v>71</v>
      </c>
      <c r="G7" s="4">
        <v>0</v>
      </c>
      <c r="H7" s="4">
        <v>0</v>
      </c>
      <c r="I7" s="4">
        <v>0</v>
      </c>
      <c r="J7" s="9" t="str">
        <f t="shared" si="0"/>
        <v>LCL.6</v>
      </c>
      <c r="K7" s="10">
        <f>IF(D7="",17,_xlfn.XLOOKUP(D7,refs!$A$2:$A$21,refs!$B$2:$B$21,""))</f>
        <v>17</v>
      </c>
      <c r="L7" t="str">
        <f>"PASSTHROUGH|"&amp;A7&amp;"^^/ s /io.in."&amp;B7&amp;".mute="&amp;E7&amp;",mode="&amp;F7&amp;",icon="&amp;G7&amp;",pol="&amp;H7&amp;",vph="&amp;I7&amp;",name="&amp;J7&amp;",col="&amp;K7&amp;","</f>
        <v>PASSTHROUGH|WING1^^/ s /io.in.LCL.6.mute=0,mode=M,icon=0,pol=0,vph=0,name=LCL.6,col=17,</v>
      </c>
    </row>
    <row r="8" spans="1:12" ht="13.5" customHeight="1" x14ac:dyDescent="0.25">
      <c r="A8" s="1" t="s">
        <v>66</v>
      </c>
      <c r="B8" s="6" t="s">
        <v>36</v>
      </c>
      <c r="C8" s="12"/>
      <c r="D8" s="4"/>
      <c r="E8" s="4">
        <v>0</v>
      </c>
      <c r="F8" s="4" t="s">
        <v>69</v>
      </c>
      <c r="G8" s="4">
        <v>0</v>
      </c>
      <c r="H8" s="4">
        <v>0</v>
      </c>
      <c r="I8" s="4">
        <v>0</v>
      </c>
      <c r="J8" s="9" t="str">
        <f t="shared" si="0"/>
        <v>LCL.7</v>
      </c>
      <c r="K8" s="10">
        <f>IF(D8="",17,_xlfn.XLOOKUP(D8,refs!$A$2:$A$21,refs!$B$2:$B$21,""))</f>
        <v>17</v>
      </c>
      <c r="L8" t="str">
        <f>"PASSTHROUGH|"&amp;A8&amp;"^^/ s /io.in."&amp;B8&amp;".mute="&amp;E8&amp;",mode="&amp;F8&amp;",icon="&amp;G8&amp;",pol="&amp;H8&amp;",vph="&amp;I8&amp;",name="&amp;J8&amp;",col="&amp;K8&amp;","</f>
        <v>PASSTHROUGH|WING1^^/ s /io.in.LCL.7.mute=0,mode=ST,icon=0,pol=0,vph=0,name=LCL.7,col=17,</v>
      </c>
    </row>
    <row r="9" spans="1:12" ht="13.5" customHeight="1" x14ac:dyDescent="0.25">
      <c r="A9" s="1" t="s">
        <v>66</v>
      </c>
      <c r="B9" s="6" t="s">
        <v>37</v>
      </c>
      <c r="C9" s="12"/>
      <c r="D9" s="4"/>
      <c r="E9" s="4">
        <v>0</v>
      </c>
      <c r="F9" s="4" t="s">
        <v>71</v>
      </c>
      <c r="G9" s="4">
        <v>0</v>
      </c>
      <c r="H9" s="4">
        <v>0</v>
      </c>
      <c r="I9" s="4">
        <v>0</v>
      </c>
      <c r="J9" s="9" t="str">
        <f t="shared" si="0"/>
        <v>LCL.8</v>
      </c>
      <c r="K9" s="10">
        <f>IF(D9="",17,_xlfn.XLOOKUP(D9,refs!$A$2:$A$21,refs!$B$2:$B$21,""))</f>
        <v>17</v>
      </c>
      <c r="L9" t="str">
        <f>"PASSTHROUGH|"&amp;A9&amp;"^^/ s /io.in."&amp;B9&amp;".mute="&amp;E9&amp;",mode="&amp;F9&amp;",icon="&amp;G9&amp;",pol="&amp;H9&amp;",vph="&amp;I9&amp;",name="&amp;J9&amp;",col="&amp;K9&amp;","</f>
        <v>PASSTHROUGH|WING1^^/ s /io.in.LCL.8.mute=0,mode=M,icon=0,pol=0,vph=0,name=LCL.8,col=17,</v>
      </c>
    </row>
    <row r="10" spans="1:12" ht="13.5" customHeight="1" x14ac:dyDescent="0.25">
      <c r="A10" s="1" t="s">
        <v>66</v>
      </c>
      <c r="B10" s="6" t="s">
        <v>38</v>
      </c>
      <c r="C10" s="12"/>
      <c r="D10" s="4"/>
      <c r="E10" s="4">
        <v>0</v>
      </c>
      <c r="F10" s="4" t="s">
        <v>70</v>
      </c>
      <c r="G10" s="4">
        <v>0</v>
      </c>
      <c r="H10" s="4">
        <v>0</v>
      </c>
      <c r="I10" s="4">
        <v>0</v>
      </c>
      <c r="J10" s="9" t="str">
        <f t="shared" si="0"/>
        <v>LCL.9</v>
      </c>
      <c r="K10" s="10">
        <f>IF(D10="",17,IF(C10="",17,_xlfn.XLOOKUP(D10,refs!$A$2:$A$21,refs!$B$2:$B$21,"")))</f>
        <v>17</v>
      </c>
      <c r="L10" t="str">
        <f>"PASSTHROUGH|"&amp;A10&amp;"^^/ s /io.in."&amp;B10&amp;".mute="&amp;E10&amp;",mode="&amp;F10&amp;",icon="&amp;G10&amp;",pol="&amp;H10&amp;",vph="&amp;I10&amp;",name="&amp;J10&amp;",col="&amp;K10&amp;","</f>
        <v>PASSTHROUGH|WING1^^/ s /io.in.LCL.9.mute=0,mode=M/S,icon=0,pol=0,vph=0,name=LCL.9,col=17,</v>
      </c>
    </row>
    <row r="11" spans="1:12" ht="13.5" customHeight="1" x14ac:dyDescent="0.25">
      <c r="A11" s="1" t="s">
        <v>66</v>
      </c>
      <c r="B11" s="6" t="s">
        <v>39</v>
      </c>
      <c r="C11" s="12"/>
      <c r="D11" s="4"/>
      <c r="E11" s="4">
        <v>0</v>
      </c>
      <c r="F11" s="4" t="s">
        <v>70</v>
      </c>
      <c r="G11" s="4">
        <v>0</v>
      </c>
      <c r="H11" s="4">
        <v>0</v>
      </c>
      <c r="I11" s="4">
        <v>0</v>
      </c>
      <c r="J11" s="9" t="str">
        <f t="shared" si="0"/>
        <v>LCL.10</v>
      </c>
      <c r="K11" s="10">
        <f>IF(D11="",17,IF(C11="",17,_xlfn.XLOOKUP(D11,refs!$A$2:$A$21,refs!$B$2:$B$21,"")))</f>
        <v>17</v>
      </c>
      <c r="L11" t="str">
        <f>"PASSTHROUGH|"&amp;A11&amp;"^^/ s /io.in."&amp;B11&amp;".mute="&amp;E11&amp;",mode="&amp;F11&amp;",icon="&amp;G11&amp;",pol="&amp;H11&amp;",vph="&amp;I11&amp;",name="&amp;J11&amp;",col="&amp;K11&amp;","</f>
        <v>PASSTHROUGH|WING1^^/ s /io.in.LCL.10.mute=0,mode=M/S,icon=0,pol=0,vph=0,name=LCL.10,col=17,</v>
      </c>
    </row>
    <row r="12" spans="1:12" ht="13.5" customHeight="1" x14ac:dyDescent="0.25">
      <c r="A12" s="1" t="s">
        <v>66</v>
      </c>
      <c r="B12" s="6" t="s">
        <v>40</v>
      </c>
      <c r="C12" s="12"/>
      <c r="D12" s="4"/>
      <c r="E12" s="4">
        <v>0</v>
      </c>
      <c r="F12" s="4" t="s">
        <v>69</v>
      </c>
      <c r="G12" s="4">
        <v>0</v>
      </c>
      <c r="H12" s="4">
        <v>0</v>
      </c>
      <c r="I12" s="4">
        <v>0</v>
      </c>
      <c r="J12" s="9" t="str">
        <f t="shared" si="0"/>
        <v>LCL.11</v>
      </c>
      <c r="K12" s="10">
        <f>IF(D12="",17,IF(C12="",17,_xlfn.XLOOKUP(D12,refs!$A$2:$A$21,refs!$B$2:$B$21,"")))</f>
        <v>17</v>
      </c>
      <c r="L12" t="str">
        <f>"PASSTHROUGH|"&amp;A12&amp;"^^/ s /io.in."&amp;B12&amp;".mute="&amp;E12&amp;",mode="&amp;F12&amp;",icon="&amp;G12&amp;",pol="&amp;H12&amp;",vph="&amp;I12&amp;",name="&amp;J12&amp;",col="&amp;K12&amp;","</f>
        <v>PASSTHROUGH|WING1^^/ s /io.in.LCL.11.mute=0,mode=ST,icon=0,pol=0,vph=0,name=LCL.11,col=17,</v>
      </c>
    </row>
    <row r="13" spans="1:12" ht="13.5" customHeight="1" x14ac:dyDescent="0.25">
      <c r="A13" s="1" t="s">
        <v>66</v>
      </c>
      <c r="B13" s="6" t="s">
        <v>41</v>
      </c>
      <c r="C13" s="12"/>
      <c r="D13" s="4"/>
      <c r="E13" s="4">
        <v>0</v>
      </c>
      <c r="F13" s="4" t="s">
        <v>69</v>
      </c>
      <c r="G13" s="4">
        <v>0</v>
      </c>
      <c r="H13" s="4">
        <v>0</v>
      </c>
      <c r="I13" s="4">
        <v>0</v>
      </c>
      <c r="J13" s="9" t="str">
        <f t="shared" si="0"/>
        <v>LCL.12</v>
      </c>
      <c r="K13" s="10">
        <f>IF(D13="",17,IF(C13="",17,_xlfn.XLOOKUP(D13,refs!$A$2:$A$21,refs!$B$2:$B$21,"")))</f>
        <v>17</v>
      </c>
      <c r="L13" t="str">
        <f>"PASSTHROUGH|"&amp;A13&amp;"^^/ s /io.in."&amp;B13&amp;".mute="&amp;E13&amp;",mode="&amp;F13&amp;",icon="&amp;G13&amp;",pol="&amp;H13&amp;",vph="&amp;I13&amp;",name="&amp;J13&amp;",col="&amp;K13&amp;","</f>
        <v>PASSTHROUGH|WING1^^/ s /io.in.LCL.12.mute=0,mode=ST,icon=0,pol=0,vph=0,name=LCL.12,col=17,</v>
      </c>
    </row>
    <row r="14" spans="1:12" ht="13.5" customHeight="1" x14ac:dyDescent="0.25">
      <c r="A14" s="1" t="s">
        <v>66</v>
      </c>
      <c r="B14" s="6" t="s">
        <v>42</v>
      </c>
      <c r="C14" s="12"/>
      <c r="D14" s="4"/>
      <c r="E14" s="4">
        <v>0</v>
      </c>
      <c r="F14" s="4" t="s">
        <v>71</v>
      </c>
      <c r="G14" s="4">
        <v>0</v>
      </c>
      <c r="H14" s="4">
        <v>0</v>
      </c>
      <c r="I14" s="4">
        <v>0</v>
      </c>
      <c r="J14" s="9" t="str">
        <f t="shared" si="0"/>
        <v>LCL.13</v>
      </c>
      <c r="K14" s="10">
        <f>IF(D14="",17,IF(C14="",17,_xlfn.XLOOKUP(D14,refs!$A$2:$A$21,refs!$B$2:$B$21,"")))</f>
        <v>17</v>
      </c>
      <c r="L14" t="str">
        <f>"PASSTHROUGH|"&amp;A14&amp;"^^/ s /io.in."&amp;B14&amp;".mute="&amp;E14&amp;",mode="&amp;F14&amp;",icon="&amp;G14&amp;",pol="&amp;H14&amp;",vph="&amp;I14&amp;",name="&amp;J14&amp;",col="&amp;K14&amp;","</f>
        <v>PASSTHROUGH|WING1^^/ s /io.in.LCL.13.mute=0,mode=M,icon=0,pol=0,vph=0,name=LCL.13,col=17,</v>
      </c>
    </row>
    <row r="15" spans="1:12" ht="13.5" customHeight="1" x14ac:dyDescent="0.25">
      <c r="A15" s="1" t="s">
        <v>66</v>
      </c>
      <c r="B15" s="6" t="s">
        <v>43</v>
      </c>
      <c r="C15" s="12"/>
      <c r="D15" s="4"/>
      <c r="E15" s="4">
        <v>0</v>
      </c>
      <c r="F15" s="4" t="s">
        <v>71</v>
      </c>
      <c r="G15" s="4">
        <v>0</v>
      </c>
      <c r="H15" s="4">
        <v>0</v>
      </c>
      <c r="I15" s="4">
        <v>0</v>
      </c>
      <c r="J15" s="9" t="str">
        <f t="shared" si="0"/>
        <v>LCL.14</v>
      </c>
      <c r="K15" s="10">
        <f>IF(D15="",17,IF(C15="",17,_xlfn.XLOOKUP(D15,refs!$A$2:$A$21,refs!$B$2:$B$21,"")))</f>
        <v>17</v>
      </c>
      <c r="L15" t="str">
        <f>"PASSTHROUGH|"&amp;A15&amp;"^^/ s /io.in."&amp;B15&amp;".mute="&amp;E15&amp;",mode="&amp;F15&amp;",icon="&amp;G15&amp;",pol="&amp;H15&amp;",vph="&amp;I15&amp;",name="&amp;J15&amp;",col="&amp;K15&amp;","</f>
        <v>PASSTHROUGH|WING1^^/ s /io.in.LCL.14.mute=0,mode=M,icon=0,pol=0,vph=0,name=LCL.14,col=17,</v>
      </c>
    </row>
    <row r="16" spans="1:12" ht="13.5" customHeight="1" x14ac:dyDescent="0.25">
      <c r="A16" s="1" t="s">
        <v>66</v>
      </c>
      <c r="B16" s="6" t="s">
        <v>44</v>
      </c>
      <c r="C16" s="12"/>
      <c r="D16" s="4"/>
      <c r="E16" s="4">
        <v>0</v>
      </c>
      <c r="F16" s="4" t="s">
        <v>71</v>
      </c>
      <c r="G16" s="4">
        <v>0</v>
      </c>
      <c r="H16" s="4">
        <v>0</v>
      </c>
      <c r="I16" s="4">
        <v>0</v>
      </c>
      <c r="J16" s="9" t="str">
        <f t="shared" si="0"/>
        <v>LCL.15</v>
      </c>
      <c r="K16" s="10">
        <f>IF(D16="",17,IF(C16="",17,_xlfn.XLOOKUP(D16,refs!$A$2:$A$21,refs!$B$2:$B$21,"")))</f>
        <v>17</v>
      </c>
      <c r="L16" t="str">
        <f>"PASSTHROUGH|"&amp;A16&amp;"^^/ s /io.in."&amp;B16&amp;".mute="&amp;E16&amp;",mode="&amp;F16&amp;",icon="&amp;G16&amp;",pol="&amp;H16&amp;",vph="&amp;I16&amp;",name="&amp;J16&amp;",col="&amp;K16&amp;","</f>
        <v>PASSTHROUGH|WING1^^/ s /io.in.LCL.15.mute=0,mode=M,icon=0,pol=0,vph=0,name=LCL.15,col=17,</v>
      </c>
    </row>
    <row r="17" spans="1:12" ht="13.5" customHeight="1" x14ac:dyDescent="0.25">
      <c r="A17" s="1" t="s">
        <v>66</v>
      </c>
      <c r="B17" s="6" t="s">
        <v>45</v>
      </c>
      <c r="C17" s="12"/>
      <c r="D17" s="4"/>
      <c r="E17" s="4">
        <v>0</v>
      </c>
      <c r="F17" s="4" t="s">
        <v>71</v>
      </c>
      <c r="G17" s="4">
        <v>0</v>
      </c>
      <c r="H17" s="4">
        <v>0</v>
      </c>
      <c r="I17" s="4">
        <v>0</v>
      </c>
      <c r="J17" s="9" t="str">
        <f t="shared" si="0"/>
        <v>LCL.16</v>
      </c>
      <c r="K17" s="10">
        <f>IF(D17="",17,IF(C17="",17,_xlfn.XLOOKUP(D17,refs!$A$2:$A$21,refs!$B$2:$B$21,"")))</f>
        <v>17</v>
      </c>
      <c r="L17" t="str">
        <f>"PASSTHROUGH|"&amp;A17&amp;"^^/ s /io.in."&amp;B17&amp;".mute="&amp;E17&amp;",mode="&amp;F17&amp;",icon="&amp;G17&amp;",pol="&amp;H17&amp;",vph="&amp;I17&amp;",name="&amp;J17&amp;",col="&amp;K17&amp;","</f>
        <v>PASSTHROUGH|WING1^^/ s /io.in.LCL.16.mute=0,mode=M,icon=0,pol=0,vph=0,name=LCL.16,col=17,</v>
      </c>
    </row>
    <row r="18" spans="1:12" ht="13.5" customHeight="1" x14ac:dyDescent="0.25">
      <c r="A18" s="1" t="s">
        <v>66</v>
      </c>
      <c r="B18" s="6" t="s">
        <v>46</v>
      </c>
      <c r="C18" s="12"/>
      <c r="D18" s="4"/>
      <c r="E18" s="4">
        <v>0</v>
      </c>
      <c r="F18" s="4" t="s">
        <v>71</v>
      </c>
      <c r="G18" s="4">
        <v>0</v>
      </c>
      <c r="H18" s="4">
        <v>0</v>
      </c>
      <c r="I18" s="4">
        <v>0</v>
      </c>
      <c r="J18" s="9" t="str">
        <f t="shared" si="0"/>
        <v>LCL.17</v>
      </c>
      <c r="K18" s="10">
        <f>IF(D18="",17,IF(C18="",17,_xlfn.XLOOKUP(D18,refs!$A$2:$A$21,refs!$B$2:$B$21,"")))</f>
        <v>17</v>
      </c>
      <c r="L18" t="str">
        <f>"PASSTHROUGH|"&amp;A18&amp;"^^/ s /io.in."&amp;B18&amp;".mute="&amp;E18&amp;",mode="&amp;F18&amp;",icon="&amp;G18&amp;",pol="&amp;H18&amp;",vph="&amp;I18&amp;",name="&amp;J18&amp;",col="&amp;K18&amp;","</f>
        <v>PASSTHROUGH|WING1^^/ s /io.in.LCL.17.mute=0,mode=M,icon=0,pol=0,vph=0,name=LCL.17,col=17,</v>
      </c>
    </row>
    <row r="19" spans="1:12" ht="13.5" customHeight="1" x14ac:dyDescent="0.25">
      <c r="A19" s="1" t="s">
        <v>66</v>
      </c>
      <c r="B19" s="6" t="s">
        <v>47</v>
      </c>
      <c r="C19" s="12"/>
      <c r="D19" s="4"/>
      <c r="E19" s="4">
        <v>0</v>
      </c>
      <c r="F19" s="4" t="s">
        <v>71</v>
      </c>
      <c r="G19" s="4">
        <v>0</v>
      </c>
      <c r="H19" s="4">
        <v>0</v>
      </c>
      <c r="I19" s="4">
        <v>0</v>
      </c>
      <c r="J19" s="9" t="str">
        <f t="shared" si="0"/>
        <v>LCL.18</v>
      </c>
      <c r="K19" s="10">
        <f>IF(D19="",17,IF(C19="",17,_xlfn.XLOOKUP(D19,refs!$A$2:$A$21,refs!$B$2:$B$21,"")))</f>
        <v>17</v>
      </c>
      <c r="L19" t="str">
        <f>"PASSTHROUGH|"&amp;A19&amp;"^^/ s /io.in."&amp;B19&amp;".mute="&amp;E19&amp;",mode="&amp;F19&amp;",icon="&amp;G19&amp;",pol="&amp;H19&amp;",vph="&amp;I19&amp;",name="&amp;J19&amp;",col="&amp;K19&amp;","</f>
        <v>PASSTHROUGH|WING1^^/ s /io.in.LCL.18.mute=0,mode=M,icon=0,pol=0,vph=0,name=LCL.18,col=17,</v>
      </c>
    </row>
    <row r="20" spans="1:12" ht="13.5" customHeight="1" x14ac:dyDescent="0.25">
      <c r="A20" s="1" t="s">
        <v>66</v>
      </c>
      <c r="B20" s="6" t="s">
        <v>48</v>
      </c>
      <c r="C20" s="12"/>
      <c r="D20" s="4"/>
      <c r="E20" s="4">
        <v>0</v>
      </c>
      <c r="F20" s="4" t="s">
        <v>71</v>
      </c>
      <c r="G20" s="4">
        <v>0</v>
      </c>
      <c r="H20" s="4">
        <v>0</v>
      </c>
      <c r="I20" s="4">
        <v>0</v>
      </c>
      <c r="J20" s="9" t="str">
        <f t="shared" si="0"/>
        <v>LCL.19</v>
      </c>
      <c r="K20" s="10">
        <f>IF(D20="",17,IF(C20="",17,_xlfn.XLOOKUP(D20,refs!$A$2:$A$21,refs!$B$2:$B$21,"")))</f>
        <v>17</v>
      </c>
      <c r="L20" t="str">
        <f>"PASSTHROUGH|"&amp;A20&amp;"^^/ s /io.in."&amp;B20&amp;".mute="&amp;E20&amp;",mode="&amp;F20&amp;",icon="&amp;G20&amp;",pol="&amp;H20&amp;",vph="&amp;I20&amp;",name="&amp;J20&amp;",col="&amp;K20&amp;","</f>
        <v>PASSTHROUGH|WING1^^/ s /io.in.LCL.19.mute=0,mode=M,icon=0,pol=0,vph=0,name=LCL.19,col=17,</v>
      </c>
    </row>
    <row r="21" spans="1:12" ht="13.5" customHeight="1" x14ac:dyDescent="0.25">
      <c r="A21" s="1" t="s">
        <v>66</v>
      </c>
      <c r="B21" s="6" t="s">
        <v>49</v>
      </c>
      <c r="C21" s="12"/>
      <c r="D21" s="4"/>
      <c r="E21" s="4">
        <v>0</v>
      </c>
      <c r="F21" s="4" t="s">
        <v>71</v>
      </c>
      <c r="G21" s="4">
        <v>0</v>
      </c>
      <c r="H21" s="4">
        <v>0</v>
      </c>
      <c r="I21" s="4">
        <v>0</v>
      </c>
      <c r="J21" s="9" t="str">
        <f t="shared" si="0"/>
        <v>LCL.20</v>
      </c>
      <c r="K21" s="10">
        <f>IF(D21="",17,IF(C21="",17,_xlfn.XLOOKUP(D21,refs!$A$2:$A$21,refs!$B$2:$B$21,"")))</f>
        <v>17</v>
      </c>
      <c r="L21" t="str">
        <f>"PASSTHROUGH|"&amp;A21&amp;"^^/ s /io.in."&amp;B21&amp;".mute="&amp;E21&amp;",mode="&amp;F21&amp;",icon="&amp;G21&amp;",pol="&amp;H21&amp;",vph="&amp;I21&amp;",name="&amp;J21&amp;",col="&amp;K21&amp;","</f>
        <v>PASSTHROUGH|WING1^^/ s /io.in.LCL.20.mute=0,mode=M,icon=0,pol=0,vph=0,name=LCL.20,col=17,</v>
      </c>
    </row>
    <row r="22" spans="1:12" ht="13.5" customHeight="1" x14ac:dyDescent="0.25">
      <c r="A22" s="1" t="s">
        <v>66</v>
      </c>
      <c r="B22" s="6" t="s">
        <v>50</v>
      </c>
      <c r="C22" s="12"/>
      <c r="D22" s="4"/>
      <c r="E22" s="4">
        <v>0</v>
      </c>
      <c r="F22" s="4" t="s">
        <v>71</v>
      </c>
      <c r="G22" s="4">
        <v>0</v>
      </c>
      <c r="H22" s="4">
        <v>0</v>
      </c>
      <c r="I22" s="4">
        <v>0</v>
      </c>
      <c r="J22" s="9" t="str">
        <f t="shared" si="0"/>
        <v>LCL.21</v>
      </c>
      <c r="K22" s="10">
        <f>IF(D22="",17,IF(C22="",17,_xlfn.XLOOKUP(D22,refs!$A$2:$A$21,refs!$B$2:$B$21,"")))</f>
        <v>17</v>
      </c>
      <c r="L22" t="str">
        <f>"PASSTHROUGH|"&amp;A22&amp;"^^/ s /io.in."&amp;B22&amp;".mute="&amp;E22&amp;",mode="&amp;F22&amp;",icon="&amp;G22&amp;",pol="&amp;H22&amp;",vph="&amp;I22&amp;",name="&amp;J22&amp;",col="&amp;K22&amp;","</f>
        <v>PASSTHROUGH|WING1^^/ s /io.in.LCL.21.mute=0,mode=M,icon=0,pol=0,vph=0,name=LCL.21,col=17,</v>
      </c>
    </row>
    <row r="23" spans="1:12" ht="13.5" customHeight="1" x14ac:dyDescent="0.25">
      <c r="A23" s="1" t="s">
        <v>66</v>
      </c>
      <c r="B23" s="6" t="s">
        <v>51</v>
      </c>
      <c r="C23" s="12"/>
      <c r="D23" s="4"/>
      <c r="E23" s="4">
        <v>0</v>
      </c>
      <c r="F23" s="4" t="s">
        <v>71</v>
      </c>
      <c r="G23" s="4">
        <v>0</v>
      </c>
      <c r="H23" s="4">
        <v>0</v>
      </c>
      <c r="I23" s="4">
        <v>0</v>
      </c>
      <c r="J23" s="9" t="str">
        <f t="shared" si="0"/>
        <v>LCL.22</v>
      </c>
      <c r="K23" s="10">
        <f>IF(D23="",17,IF(C23="",17,_xlfn.XLOOKUP(D23,refs!$A$2:$A$21,refs!$B$2:$B$21,"")))</f>
        <v>17</v>
      </c>
      <c r="L23" t="str">
        <f>"PASSTHROUGH|"&amp;A23&amp;"^^/ s /io.in."&amp;B23&amp;".mute="&amp;E23&amp;",mode="&amp;F23&amp;",icon="&amp;G23&amp;",pol="&amp;H23&amp;",vph="&amp;I23&amp;",name="&amp;J23&amp;",col="&amp;K23&amp;","</f>
        <v>PASSTHROUGH|WING1^^/ s /io.in.LCL.22.mute=0,mode=M,icon=0,pol=0,vph=0,name=LCL.22,col=17,</v>
      </c>
    </row>
    <row r="24" spans="1:12" ht="13.5" customHeight="1" x14ac:dyDescent="0.25">
      <c r="A24" s="1" t="s">
        <v>66</v>
      </c>
      <c r="B24" s="6" t="s">
        <v>52</v>
      </c>
      <c r="C24" s="12"/>
      <c r="D24" s="4"/>
      <c r="E24" s="4">
        <v>0</v>
      </c>
      <c r="F24" s="4" t="s">
        <v>71</v>
      </c>
      <c r="G24" s="4">
        <v>0</v>
      </c>
      <c r="H24" s="4">
        <v>0</v>
      </c>
      <c r="I24" s="4">
        <v>0</v>
      </c>
      <c r="J24" s="9" t="str">
        <f t="shared" si="0"/>
        <v>LCL.23</v>
      </c>
      <c r="K24" s="10">
        <f>IF(D24="",17,IF(C24="",17,_xlfn.XLOOKUP(D24,refs!$A$2:$A$21,refs!$B$2:$B$21,"")))</f>
        <v>17</v>
      </c>
      <c r="L24" t="str">
        <f>"PASSTHROUGH|"&amp;A24&amp;"^^/ s /io.in."&amp;B24&amp;".mute="&amp;E24&amp;",mode="&amp;F24&amp;",icon="&amp;G24&amp;",pol="&amp;H24&amp;",vph="&amp;I24&amp;",name="&amp;J24&amp;",col="&amp;K24&amp;","</f>
        <v>PASSTHROUGH|WING1^^/ s /io.in.LCL.23.mute=0,mode=M,icon=0,pol=0,vph=0,name=LCL.23,col=17,</v>
      </c>
    </row>
    <row r="25" spans="1:12" ht="13.5" customHeight="1" x14ac:dyDescent="0.25">
      <c r="A25" s="1" t="s">
        <v>66</v>
      </c>
      <c r="B25" s="6" t="s">
        <v>53</v>
      </c>
      <c r="C25" s="12"/>
      <c r="D25" s="4"/>
      <c r="E25" s="4">
        <v>0</v>
      </c>
      <c r="F25" s="4" t="s">
        <v>71</v>
      </c>
      <c r="G25" s="4">
        <v>0</v>
      </c>
      <c r="H25" s="4">
        <v>0</v>
      </c>
      <c r="I25" s="4">
        <v>0</v>
      </c>
      <c r="J25" s="9" t="str">
        <f t="shared" si="0"/>
        <v>LCL.24</v>
      </c>
      <c r="K25" s="10">
        <f>IF(D25="",17,IF(C25="",17,_xlfn.XLOOKUP(D25,refs!$A$2:$A$21,refs!$B$2:$B$21,"")))</f>
        <v>17</v>
      </c>
      <c r="L25" t="str">
        <f>"PASSTHROUGH|"&amp;A25&amp;"^^/ s /io.in."&amp;B25&amp;".mute="&amp;E25&amp;",mode="&amp;F25&amp;",icon="&amp;G25&amp;",pol="&amp;H25&amp;",vph="&amp;I25&amp;",name="&amp;J25&amp;",col="&amp;K25&amp;","</f>
        <v>PASSTHROUGH|WING1^^/ s /io.in.LCL.24.mute=0,mode=M,icon=0,pol=0,vph=0,name=LCL.24,col=17,</v>
      </c>
    </row>
    <row r="26" spans="1:12" ht="13.5" customHeight="1" x14ac:dyDescent="0.25">
      <c r="A26" s="1" t="s">
        <v>66</v>
      </c>
      <c r="B26" s="6" t="s">
        <v>54</v>
      </c>
      <c r="C26" s="12"/>
      <c r="D26" s="4"/>
      <c r="E26" s="4">
        <v>0</v>
      </c>
      <c r="F26" s="4" t="s">
        <v>71</v>
      </c>
      <c r="G26" s="4">
        <v>0</v>
      </c>
      <c r="H26" s="4">
        <v>0</v>
      </c>
      <c r="I26" s="7"/>
      <c r="J26" s="9" t="str">
        <f t="shared" si="0"/>
        <v>AUX.1</v>
      </c>
      <c r="K26" s="10">
        <f>IF(D26="",17,IF(C26="",17,_xlfn.XLOOKUP(D26,refs!$A$2:$A$21,refs!$B$2:$B$21,"")))</f>
        <v>17</v>
      </c>
      <c r="L26" t="str">
        <f>"PASSTHROUGH|"&amp;A26&amp;"^^/ s /io.in."&amp;B26&amp;".mute="&amp;E26&amp;",mode="&amp;F26&amp;",icon="&amp;G26&amp;",pol="&amp;H26&amp;",vph="&amp;I26&amp;",name="&amp;J26&amp;",col="&amp;K26&amp;","</f>
        <v>PASSTHROUGH|WING1^^/ s /io.in.AUX.1.mute=0,mode=M,icon=0,pol=0,vph=,name=AUX.1,col=17,</v>
      </c>
    </row>
    <row r="27" spans="1:12" ht="13.5" customHeight="1" x14ac:dyDescent="0.25">
      <c r="A27" s="1" t="s">
        <v>66</v>
      </c>
      <c r="B27" s="6" t="s">
        <v>55</v>
      </c>
      <c r="C27" s="12"/>
      <c r="D27" s="4"/>
      <c r="E27" s="4">
        <v>0</v>
      </c>
      <c r="F27" s="4" t="s">
        <v>71</v>
      </c>
      <c r="G27" s="4">
        <v>0</v>
      </c>
      <c r="H27" s="4">
        <v>0</v>
      </c>
      <c r="I27" s="7"/>
      <c r="J27" s="9" t="str">
        <f t="shared" si="0"/>
        <v>AUX.2</v>
      </c>
      <c r="K27" s="10">
        <f>IF(D27="",17,IF(C27="",17,_xlfn.XLOOKUP(D27,refs!$A$2:$A$21,refs!$B$2:$B$21,"")))</f>
        <v>17</v>
      </c>
      <c r="L27" t="str">
        <f>"PASSTHROUGH|"&amp;A27&amp;"^^/ s /io.in."&amp;B27&amp;".mute="&amp;E27&amp;",mode="&amp;F27&amp;",icon="&amp;G27&amp;",pol="&amp;H27&amp;",vph="&amp;I27&amp;",name="&amp;J27&amp;",col="&amp;K27&amp;","</f>
        <v>PASSTHROUGH|WING1^^/ s /io.in.AUX.2.mute=0,mode=M,icon=0,pol=0,vph=,name=AUX.2,col=17,</v>
      </c>
    </row>
    <row r="28" spans="1:12" ht="13.5" customHeight="1" x14ac:dyDescent="0.25">
      <c r="A28" s="1" t="s">
        <v>66</v>
      </c>
      <c r="B28" s="6" t="s">
        <v>56</v>
      </c>
      <c r="C28" s="12"/>
      <c r="D28" s="4"/>
      <c r="E28" s="4">
        <v>0</v>
      </c>
      <c r="F28" s="4" t="s">
        <v>71</v>
      </c>
      <c r="G28" s="4">
        <v>0</v>
      </c>
      <c r="H28" s="4">
        <v>0</v>
      </c>
      <c r="I28" s="7"/>
      <c r="J28" s="9" t="str">
        <f t="shared" si="0"/>
        <v>AUX.3</v>
      </c>
      <c r="K28" s="10">
        <f>IF(D28="",17,IF(C28="",17,_xlfn.XLOOKUP(D28,refs!$A$2:$A$21,refs!$B$2:$B$21,"")))</f>
        <v>17</v>
      </c>
      <c r="L28" t="str">
        <f>"PASSTHROUGH|"&amp;A28&amp;"^^/ s /io.in."&amp;B28&amp;".mute="&amp;E28&amp;",mode="&amp;F28&amp;",icon="&amp;G28&amp;",pol="&amp;H28&amp;",vph="&amp;I28&amp;",name="&amp;J28&amp;",col="&amp;K28&amp;","</f>
        <v>PASSTHROUGH|WING1^^/ s /io.in.AUX.3.mute=0,mode=M,icon=0,pol=0,vph=,name=AUX.3,col=17,</v>
      </c>
    </row>
    <row r="29" spans="1:12" ht="13.5" customHeight="1" x14ac:dyDescent="0.25">
      <c r="A29" s="1" t="s">
        <v>66</v>
      </c>
      <c r="B29" s="6" t="s">
        <v>57</v>
      </c>
      <c r="C29" s="12"/>
      <c r="D29" s="4"/>
      <c r="E29" s="4">
        <v>0</v>
      </c>
      <c r="F29" s="4" t="s">
        <v>71</v>
      </c>
      <c r="G29" s="4">
        <v>0</v>
      </c>
      <c r="H29" s="4">
        <v>0</v>
      </c>
      <c r="I29" s="7"/>
      <c r="J29" s="9" t="str">
        <f t="shared" si="0"/>
        <v>AUX.4</v>
      </c>
      <c r="K29" s="10">
        <f>IF(D29="",17,IF(C29="",17,_xlfn.XLOOKUP(D29,refs!$A$2:$A$21,refs!$B$2:$B$21,"")))</f>
        <v>17</v>
      </c>
      <c r="L29" t="str">
        <f>"PASSTHROUGH|"&amp;A29&amp;"^^/ s /io.in."&amp;B29&amp;".mute="&amp;E29&amp;",mode="&amp;F29&amp;",icon="&amp;G29&amp;",pol="&amp;H29&amp;",vph="&amp;I29&amp;",name="&amp;J29&amp;",col="&amp;K29&amp;","</f>
        <v>PASSTHROUGH|WING1^^/ s /io.in.AUX.4.mute=0,mode=M,icon=0,pol=0,vph=,name=AUX.4,col=17,</v>
      </c>
    </row>
    <row r="30" spans="1:12" ht="13.5" customHeight="1" x14ac:dyDescent="0.25">
      <c r="A30" s="1" t="s">
        <v>66</v>
      </c>
      <c r="B30" s="6" t="s">
        <v>58</v>
      </c>
      <c r="C30" s="12"/>
      <c r="D30" s="4"/>
      <c r="E30" s="4">
        <v>0</v>
      </c>
      <c r="F30" s="4" t="s">
        <v>71</v>
      </c>
      <c r="G30" s="4">
        <v>0</v>
      </c>
      <c r="H30" s="4">
        <v>0</v>
      </c>
      <c r="I30" s="7"/>
      <c r="J30" s="9" t="str">
        <f t="shared" si="0"/>
        <v>AUX.5</v>
      </c>
      <c r="K30" s="10">
        <f>IF(D30="",17,IF(C30="",17,_xlfn.XLOOKUP(D30,refs!$A$2:$A$21,refs!$B$2:$B$21,"")))</f>
        <v>17</v>
      </c>
      <c r="L30" t="str">
        <f>"PASSTHROUGH|"&amp;A30&amp;"^^/ s /io.in."&amp;B30&amp;".mute="&amp;E30&amp;",mode="&amp;F30&amp;",icon="&amp;G30&amp;",pol="&amp;H30&amp;",vph="&amp;I30&amp;",name="&amp;J30&amp;",col="&amp;K30&amp;","</f>
        <v>PASSTHROUGH|WING1^^/ s /io.in.AUX.5.mute=0,mode=M,icon=0,pol=0,vph=,name=AUX.5,col=17,</v>
      </c>
    </row>
    <row r="31" spans="1:12" ht="13.5" customHeight="1" x14ac:dyDescent="0.25">
      <c r="A31" s="1" t="s">
        <v>66</v>
      </c>
      <c r="B31" s="6" t="s">
        <v>59</v>
      </c>
      <c r="C31" s="12"/>
      <c r="D31" s="4"/>
      <c r="E31" s="4">
        <v>0</v>
      </c>
      <c r="F31" s="4" t="s">
        <v>71</v>
      </c>
      <c r="G31" s="4">
        <v>0</v>
      </c>
      <c r="H31" s="4">
        <v>0</v>
      </c>
      <c r="I31" s="7"/>
      <c r="J31" s="9" t="str">
        <f t="shared" si="0"/>
        <v>AUX.6</v>
      </c>
      <c r="K31" s="10">
        <f>IF(D31="",17,IF(C31="",17,_xlfn.XLOOKUP(D31,refs!$A$2:$A$21,refs!$B$2:$B$21,"")))</f>
        <v>17</v>
      </c>
      <c r="L31" t="str">
        <f>"PASSTHROUGH|"&amp;A31&amp;"^^/ s /io.in."&amp;B31&amp;".mute="&amp;E31&amp;",mode="&amp;F31&amp;",icon="&amp;G31&amp;",pol="&amp;H31&amp;",vph="&amp;I31&amp;",name="&amp;J31&amp;",col="&amp;K31&amp;","</f>
        <v>PASSTHROUGH|WING1^^/ s /io.in.AUX.6.mute=0,mode=M,icon=0,pol=0,vph=,name=AUX.6,col=17,</v>
      </c>
    </row>
    <row r="32" spans="1:12" ht="13.5" customHeight="1" x14ac:dyDescent="0.25">
      <c r="A32" s="1" t="s">
        <v>66</v>
      </c>
      <c r="B32" s="6" t="s">
        <v>60</v>
      </c>
      <c r="C32" s="12"/>
      <c r="D32" s="4"/>
      <c r="E32" s="4">
        <v>0</v>
      </c>
      <c r="F32" s="4" t="s">
        <v>71</v>
      </c>
      <c r="G32" s="4">
        <v>0</v>
      </c>
      <c r="H32" s="4">
        <v>0</v>
      </c>
      <c r="I32" s="7"/>
      <c r="J32" s="9" t="str">
        <f t="shared" si="0"/>
        <v>AUX.7</v>
      </c>
      <c r="K32" s="10">
        <f>IF(D32="",17,IF(C32="",17,_xlfn.XLOOKUP(D32,refs!$A$2:$A$21,refs!$B$2:$B$21,"")))</f>
        <v>17</v>
      </c>
      <c r="L32" t="str">
        <f>"PASSTHROUGH|"&amp;A32&amp;"^^/ s /io.in."&amp;B32&amp;".mute="&amp;E32&amp;",mode="&amp;F32&amp;",icon="&amp;G32&amp;",pol="&amp;H32&amp;",vph="&amp;I32&amp;",name="&amp;J32&amp;",col="&amp;K32&amp;","</f>
        <v>PASSTHROUGH|WING1^^/ s /io.in.AUX.7.mute=0,mode=M,icon=0,pol=0,vph=,name=AUX.7,col=17,</v>
      </c>
    </row>
    <row r="33" spans="1:12" ht="13.5" customHeight="1" x14ac:dyDescent="0.25">
      <c r="A33" s="1" t="s">
        <v>66</v>
      </c>
      <c r="B33" s="6" t="s">
        <v>61</v>
      </c>
      <c r="C33" s="12"/>
      <c r="D33" s="4"/>
      <c r="E33" s="4">
        <v>0</v>
      </c>
      <c r="F33" s="4" t="s">
        <v>71</v>
      </c>
      <c r="G33" s="4">
        <v>0</v>
      </c>
      <c r="H33" s="4">
        <v>0</v>
      </c>
      <c r="I33" s="7"/>
      <c r="J33" s="9" t="str">
        <f t="shared" si="0"/>
        <v>AUX.8</v>
      </c>
      <c r="K33" s="10">
        <f>IF(D33="",17,IF(C33="",17,_xlfn.XLOOKUP(D33,refs!$A$2:$A$21,refs!$B$2:$B$21,"")))</f>
        <v>17</v>
      </c>
      <c r="L33" t="str">
        <f>"PASSTHROUGH|"&amp;A33&amp;"^^/ s /io.in."&amp;B33&amp;".mute="&amp;E33&amp;",mode="&amp;F33&amp;",icon="&amp;G33&amp;",pol="&amp;H33&amp;",vph="&amp;I33&amp;",name="&amp;J33&amp;",col="&amp;K33&amp;","</f>
        <v>PASSTHROUGH|WING1^^/ s /io.in.AUX.8.mute=0,mode=M,icon=0,pol=0,vph=,name=AUX.8,col=17,</v>
      </c>
    </row>
    <row r="34" spans="1:12" ht="13.5" customHeight="1" x14ac:dyDescent="0.25">
      <c r="A34" s="1" t="s">
        <v>66</v>
      </c>
      <c r="B34" s="6" t="s">
        <v>74</v>
      </c>
      <c r="C34" s="12"/>
      <c r="D34" s="4"/>
      <c r="E34" s="4">
        <v>0</v>
      </c>
      <c r="F34" s="4" t="s">
        <v>71</v>
      </c>
      <c r="G34" s="4">
        <v>0</v>
      </c>
      <c r="H34" s="4">
        <v>0</v>
      </c>
      <c r="I34" s="4">
        <v>0</v>
      </c>
      <c r="J34" s="9" t="str">
        <f t="shared" si="0"/>
        <v>A.1</v>
      </c>
      <c r="K34" s="10">
        <f>IF(D34="",17,IF(C34="",17,_xlfn.XLOOKUP(D34,refs!$A$2:$A$21,refs!$B$2:$B$21,"")))</f>
        <v>17</v>
      </c>
      <c r="L34" t="str">
        <f>"PASSTHROUGH|"&amp;A34&amp;"^^/ s /io.in."&amp;B34&amp;".mute="&amp;E34&amp;",mode="&amp;F34&amp;",icon="&amp;G34&amp;",pol="&amp;H34&amp;",vph="&amp;I34&amp;",name="&amp;J34&amp;",col="&amp;K34&amp;","</f>
        <v>PASSTHROUGH|WING1^^/ s /io.in.A.1.mute=0,mode=M,icon=0,pol=0,vph=0,name=A.1,col=17,</v>
      </c>
    </row>
    <row r="35" spans="1:12" ht="13.5" customHeight="1" x14ac:dyDescent="0.25">
      <c r="A35" s="1" t="s">
        <v>66</v>
      </c>
      <c r="B35" s="6" t="s">
        <v>75</v>
      </c>
      <c r="C35" s="12"/>
      <c r="D35" s="4"/>
      <c r="E35" s="4">
        <v>0</v>
      </c>
      <c r="F35" s="4" t="s">
        <v>71</v>
      </c>
      <c r="G35" s="4">
        <v>0</v>
      </c>
      <c r="H35" s="4">
        <v>0</v>
      </c>
      <c r="I35" s="4">
        <v>0</v>
      </c>
      <c r="J35" s="9" t="str">
        <f t="shared" si="0"/>
        <v>A.2</v>
      </c>
      <c r="K35" s="10">
        <f>IF(D35="",17,IF(C35="",17,_xlfn.XLOOKUP(D35,refs!$A$2:$A$21,refs!$B$2:$B$21,"")))</f>
        <v>17</v>
      </c>
      <c r="L35" t="str">
        <f>"PASSTHROUGH|"&amp;A35&amp;"^^/ s /io.in."&amp;B35&amp;".mute="&amp;E35&amp;",mode="&amp;F35&amp;",icon="&amp;G35&amp;",pol="&amp;H35&amp;",vph="&amp;I35&amp;",name="&amp;J35&amp;",col="&amp;K35&amp;","</f>
        <v>PASSTHROUGH|WING1^^/ s /io.in.A.2.mute=0,mode=M,icon=0,pol=0,vph=0,name=A.2,col=17,</v>
      </c>
    </row>
    <row r="36" spans="1:12" ht="13.5" customHeight="1" x14ac:dyDescent="0.25">
      <c r="A36" s="1" t="s">
        <v>66</v>
      </c>
      <c r="B36" s="6" t="s">
        <v>76</v>
      </c>
      <c r="C36" s="12"/>
      <c r="D36" s="4"/>
      <c r="E36" s="4">
        <v>0</v>
      </c>
      <c r="F36" s="4" t="s">
        <v>71</v>
      </c>
      <c r="G36" s="4">
        <v>0</v>
      </c>
      <c r="H36" s="4">
        <v>0</v>
      </c>
      <c r="I36" s="4">
        <v>0</v>
      </c>
      <c r="J36" s="9" t="str">
        <f t="shared" si="0"/>
        <v>A.3</v>
      </c>
      <c r="K36" s="10">
        <f>IF(D36="",17,IF(C36="",17,_xlfn.XLOOKUP(D36,refs!$A$2:$A$21,refs!$B$2:$B$21,"")))</f>
        <v>17</v>
      </c>
      <c r="L36" t="str">
        <f>"PASSTHROUGH|"&amp;A36&amp;"^^/ s /io.in."&amp;B36&amp;".mute="&amp;E36&amp;",mode="&amp;F36&amp;",icon="&amp;G36&amp;",pol="&amp;H36&amp;",vph="&amp;I36&amp;",name="&amp;J36&amp;",col="&amp;K36&amp;","</f>
        <v>PASSTHROUGH|WING1^^/ s /io.in.A.3.mute=0,mode=M,icon=0,pol=0,vph=0,name=A.3,col=17,</v>
      </c>
    </row>
    <row r="37" spans="1:12" ht="13.5" customHeight="1" x14ac:dyDescent="0.25">
      <c r="A37" s="1" t="s">
        <v>66</v>
      </c>
      <c r="B37" s="6" t="s">
        <v>77</v>
      </c>
      <c r="C37" s="12"/>
      <c r="D37" s="4"/>
      <c r="E37" s="4">
        <v>0</v>
      </c>
      <c r="F37" s="4" t="s">
        <v>71</v>
      </c>
      <c r="G37" s="4">
        <v>0</v>
      </c>
      <c r="H37" s="4">
        <v>0</v>
      </c>
      <c r="I37" s="4">
        <v>0</v>
      </c>
      <c r="J37" s="9" t="str">
        <f t="shared" si="0"/>
        <v>A.4</v>
      </c>
      <c r="K37" s="10">
        <f>IF(D37="",17,IF(C37="",17,_xlfn.XLOOKUP(D37,refs!$A$2:$A$21,refs!$B$2:$B$21,"")))</f>
        <v>17</v>
      </c>
      <c r="L37" t="str">
        <f>"PASSTHROUGH|"&amp;A37&amp;"^^/ s /io.in."&amp;B37&amp;".mute="&amp;E37&amp;",mode="&amp;F37&amp;",icon="&amp;G37&amp;",pol="&amp;H37&amp;",vph="&amp;I37&amp;",name="&amp;J37&amp;",col="&amp;K37&amp;","</f>
        <v>PASSTHROUGH|WING1^^/ s /io.in.A.4.mute=0,mode=M,icon=0,pol=0,vph=0,name=A.4,col=17,</v>
      </c>
    </row>
    <row r="38" spans="1:12" ht="13.5" customHeight="1" x14ac:dyDescent="0.25">
      <c r="A38" s="1" t="s">
        <v>66</v>
      </c>
      <c r="B38" s="6" t="s">
        <v>78</v>
      </c>
      <c r="C38" s="12"/>
      <c r="D38" s="4"/>
      <c r="E38" s="4">
        <v>0</v>
      </c>
      <c r="F38" s="4" t="s">
        <v>71</v>
      </c>
      <c r="G38" s="4">
        <v>0</v>
      </c>
      <c r="H38" s="4">
        <v>0</v>
      </c>
      <c r="I38" s="4">
        <v>0</v>
      </c>
      <c r="J38" s="9" t="str">
        <f t="shared" si="0"/>
        <v>A.5</v>
      </c>
      <c r="K38" s="10">
        <f>IF(D38="",17,IF(C38="",17,_xlfn.XLOOKUP(D38,refs!$A$2:$A$21,refs!$B$2:$B$21,"")))</f>
        <v>17</v>
      </c>
      <c r="L38" t="str">
        <f>"PASSTHROUGH|"&amp;A38&amp;"^^/ s /io.in."&amp;B38&amp;".mute="&amp;E38&amp;",mode="&amp;F38&amp;",icon="&amp;G38&amp;",pol="&amp;H38&amp;",vph="&amp;I38&amp;",name="&amp;J38&amp;",col="&amp;K38&amp;","</f>
        <v>PASSTHROUGH|WING1^^/ s /io.in.A.5.mute=0,mode=M,icon=0,pol=0,vph=0,name=A.5,col=17,</v>
      </c>
    </row>
    <row r="39" spans="1:12" ht="13.5" customHeight="1" x14ac:dyDescent="0.25">
      <c r="A39" s="1" t="s">
        <v>66</v>
      </c>
      <c r="B39" s="6" t="s">
        <v>79</v>
      </c>
      <c r="C39" s="12"/>
      <c r="D39" s="4"/>
      <c r="E39" s="4">
        <v>0</v>
      </c>
      <c r="F39" s="4" t="s">
        <v>71</v>
      </c>
      <c r="G39" s="4">
        <v>0</v>
      </c>
      <c r="H39" s="4">
        <v>0</v>
      </c>
      <c r="I39" s="4">
        <v>0</v>
      </c>
      <c r="J39" s="9" t="str">
        <f t="shared" si="0"/>
        <v>A.6</v>
      </c>
      <c r="K39" s="10">
        <f>IF(D39="",17,IF(C39="",17,_xlfn.XLOOKUP(D39,refs!$A$2:$A$21,refs!$B$2:$B$21,"")))</f>
        <v>17</v>
      </c>
      <c r="L39" t="str">
        <f>"PASSTHROUGH|"&amp;A39&amp;"^^/ s /io.in."&amp;B39&amp;".mute="&amp;E39&amp;",mode="&amp;F39&amp;",icon="&amp;G39&amp;",pol="&amp;H39&amp;",vph="&amp;I39&amp;",name="&amp;J39&amp;",col="&amp;K39&amp;","</f>
        <v>PASSTHROUGH|WING1^^/ s /io.in.A.6.mute=0,mode=M,icon=0,pol=0,vph=0,name=A.6,col=17,</v>
      </c>
    </row>
    <row r="40" spans="1:12" ht="13.5" customHeight="1" x14ac:dyDescent="0.25">
      <c r="A40" s="1" t="s">
        <v>66</v>
      </c>
      <c r="B40" s="6" t="s">
        <v>80</v>
      </c>
      <c r="C40" s="12"/>
      <c r="D40" s="4"/>
      <c r="E40" s="4">
        <v>0</v>
      </c>
      <c r="F40" s="4" t="s">
        <v>71</v>
      </c>
      <c r="G40" s="4">
        <v>0</v>
      </c>
      <c r="H40" s="4">
        <v>0</v>
      </c>
      <c r="I40" s="4">
        <v>0</v>
      </c>
      <c r="J40" s="9" t="str">
        <f t="shared" si="0"/>
        <v>A.7</v>
      </c>
      <c r="K40" s="10">
        <f>IF(D40="",17,IF(C40="",17,_xlfn.XLOOKUP(D40,refs!$A$2:$A$21,refs!$B$2:$B$21,"")))</f>
        <v>17</v>
      </c>
      <c r="L40" t="str">
        <f>"PASSTHROUGH|"&amp;A40&amp;"^^/ s /io.in."&amp;B40&amp;".mute="&amp;E40&amp;",mode="&amp;F40&amp;",icon="&amp;G40&amp;",pol="&amp;H40&amp;",vph="&amp;I40&amp;",name="&amp;J40&amp;",col="&amp;K40&amp;","</f>
        <v>PASSTHROUGH|WING1^^/ s /io.in.A.7.mute=0,mode=M,icon=0,pol=0,vph=0,name=A.7,col=17,</v>
      </c>
    </row>
    <row r="41" spans="1:12" ht="13.5" customHeight="1" x14ac:dyDescent="0.25">
      <c r="A41" s="1" t="s">
        <v>66</v>
      </c>
      <c r="B41" s="6" t="s">
        <v>81</v>
      </c>
      <c r="C41" s="12"/>
      <c r="D41" s="4"/>
      <c r="E41" s="4">
        <v>0</v>
      </c>
      <c r="F41" s="4" t="s">
        <v>71</v>
      </c>
      <c r="G41" s="4">
        <v>0</v>
      </c>
      <c r="H41" s="4">
        <v>0</v>
      </c>
      <c r="I41" s="4">
        <v>0</v>
      </c>
      <c r="J41" s="9" t="str">
        <f t="shared" si="0"/>
        <v>A.8</v>
      </c>
      <c r="K41" s="10">
        <f>IF(D41="",17,IF(C41="",17,_xlfn.XLOOKUP(D41,refs!$A$2:$A$21,refs!$B$2:$B$21,"")))</f>
        <v>17</v>
      </c>
      <c r="L41" t="str">
        <f>"PASSTHROUGH|"&amp;A41&amp;"^^/ s /io.in."&amp;B41&amp;".mute="&amp;E41&amp;",mode="&amp;F41&amp;",icon="&amp;G41&amp;",pol="&amp;H41&amp;",vph="&amp;I41&amp;",name="&amp;J41&amp;",col="&amp;K41&amp;","</f>
        <v>PASSTHROUGH|WING1^^/ s /io.in.A.8.mute=0,mode=M,icon=0,pol=0,vph=0,name=A.8,col=17,</v>
      </c>
    </row>
    <row r="42" spans="1:12" s="2" customFormat="1" ht="15.75" x14ac:dyDescent="0.25">
      <c r="A42" s="1" t="s">
        <v>66</v>
      </c>
      <c r="B42" s="6" t="s">
        <v>82</v>
      </c>
      <c r="C42" s="12"/>
      <c r="D42" s="4"/>
      <c r="E42" s="4">
        <v>0</v>
      </c>
      <c r="F42" s="4" t="s">
        <v>71</v>
      </c>
      <c r="G42" s="4">
        <v>0</v>
      </c>
      <c r="H42" s="4">
        <v>0</v>
      </c>
      <c r="I42" s="4">
        <v>0</v>
      </c>
      <c r="J42" s="9" t="str">
        <f t="shared" si="0"/>
        <v>A.9</v>
      </c>
      <c r="K42" s="10">
        <f>IF(D42="",17,IF(C42="",17,_xlfn.XLOOKUP(D42,refs!$A$2:$A$21,refs!$B$2:$B$21,"")))</f>
        <v>17</v>
      </c>
      <c r="L42" t="str">
        <f>"PASSTHROUGH|"&amp;A42&amp;"^^/ s /io.in."&amp;B42&amp;".mute="&amp;E42&amp;",mode="&amp;F42&amp;",icon="&amp;G42&amp;",pol="&amp;H42&amp;",vph="&amp;I42&amp;",name="&amp;J42&amp;",col="&amp;K42&amp;","</f>
        <v>PASSTHROUGH|WING1^^/ s /io.in.A.9.mute=0,mode=M,icon=0,pol=0,vph=0,name=A.9,col=17,</v>
      </c>
    </row>
    <row r="43" spans="1:12" s="2" customFormat="1" ht="15.75" x14ac:dyDescent="0.25">
      <c r="A43" s="1" t="s">
        <v>66</v>
      </c>
      <c r="B43" s="6" t="s">
        <v>83</v>
      </c>
      <c r="C43" s="12"/>
      <c r="D43" s="4"/>
      <c r="E43" s="4">
        <v>0</v>
      </c>
      <c r="F43" s="4" t="s">
        <v>71</v>
      </c>
      <c r="G43" s="4">
        <v>0</v>
      </c>
      <c r="H43" s="4">
        <v>0</v>
      </c>
      <c r="I43" s="4">
        <v>0</v>
      </c>
      <c r="J43" s="9" t="str">
        <f t="shared" si="0"/>
        <v>A.10</v>
      </c>
      <c r="K43" s="10">
        <f>IF(D43="",17,IF(C43="",17,_xlfn.XLOOKUP(D43,refs!$A$2:$A$21,refs!$B$2:$B$21,"")))</f>
        <v>17</v>
      </c>
      <c r="L43" t="str">
        <f>"PASSTHROUGH|"&amp;A43&amp;"^^/ s /io.in."&amp;B43&amp;".mute="&amp;E43&amp;",mode="&amp;F43&amp;",icon="&amp;G43&amp;",pol="&amp;H43&amp;",vph="&amp;I43&amp;",name="&amp;J43&amp;",col="&amp;K43&amp;","</f>
        <v>PASSTHROUGH|WING1^^/ s /io.in.A.10.mute=0,mode=M,icon=0,pol=0,vph=0,name=A.10,col=17,</v>
      </c>
    </row>
    <row r="44" spans="1:12" s="2" customFormat="1" ht="15.75" x14ac:dyDescent="0.25">
      <c r="A44" s="1" t="s">
        <v>66</v>
      </c>
      <c r="B44" s="6" t="s">
        <v>84</v>
      </c>
      <c r="C44" s="12"/>
      <c r="D44" s="4"/>
      <c r="E44" s="4">
        <v>0</v>
      </c>
      <c r="F44" s="4" t="s">
        <v>71</v>
      </c>
      <c r="G44" s="4">
        <v>0</v>
      </c>
      <c r="H44" s="4">
        <v>0</v>
      </c>
      <c r="I44" s="4">
        <v>0</v>
      </c>
      <c r="J44" s="9" t="str">
        <f t="shared" si="0"/>
        <v>A.11</v>
      </c>
      <c r="K44" s="10">
        <f>IF(D44="",17,IF(C44="",17,_xlfn.XLOOKUP(D44,refs!$A$2:$A$21,refs!$B$2:$B$21,"")))</f>
        <v>17</v>
      </c>
      <c r="L44" t="str">
        <f>"PASSTHROUGH|"&amp;A44&amp;"^^/ s /io.in."&amp;B44&amp;".mute="&amp;E44&amp;",mode="&amp;F44&amp;",icon="&amp;G44&amp;",pol="&amp;H44&amp;",vph="&amp;I44&amp;",name="&amp;J44&amp;",col="&amp;K44&amp;","</f>
        <v>PASSTHROUGH|WING1^^/ s /io.in.A.11.mute=0,mode=M,icon=0,pol=0,vph=0,name=A.11,col=17,</v>
      </c>
    </row>
    <row r="45" spans="1:12" s="2" customFormat="1" ht="15.75" x14ac:dyDescent="0.25">
      <c r="A45" s="1" t="s">
        <v>66</v>
      </c>
      <c r="B45" s="6" t="s">
        <v>85</v>
      </c>
      <c r="C45" s="12"/>
      <c r="D45" s="4"/>
      <c r="E45" s="4">
        <v>0</v>
      </c>
      <c r="F45" s="4" t="s">
        <v>71</v>
      </c>
      <c r="G45" s="4">
        <v>0</v>
      </c>
      <c r="H45" s="4">
        <v>0</v>
      </c>
      <c r="I45" s="4">
        <v>0</v>
      </c>
      <c r="J45" s="9" t="str">
        <f t="shared" si="0"/>
        <v>A.12</v>
      </c>
      <c r="K45" s="10">
        <f>IF(D45="",17,IF(C45="",17,_xlfn.XLOOKUP(D45,refs!$A$2:$A$21,refs!$B$2:$B$21,"")))</f>
        <v>17</v>
      </c>
      <c r="L45" t="str">
        <f>"PASSTHROUGH|"&amp;A45&amp;"^^/ s /io.in."&amp;B45&amp;".mute="&amp;E45&amp;",mode="&amp;F45&amp;",icon="&amp;G45&amp;",pol="&amp;H45&amp;",vph="&amp;I45&amp;",name="&amp;J45&amp;",col="&amp;K45&amp;","</f>
        <v>PASSTHROUGH|WING1^^/ s /io.in.A.12.mute=0,mode=M,icon=0,pol=0,vph=0,name=A.12,col=17,</v>
      </c>
    </row>
    <row r="46" spans="1:12" s="2" customFormat="1" ht="15.75" x14ac:dyDescent="0.25">
      <c r="A46" s="1" t="s">
        <v>66</v>
      </c>
      <c r="B46" s="6" t="s">
        <v>86</v>
      </c>
      <c r="C46" s="12"/>
      <c r="D46" s="4"/>
      <c r="E46" s="4">
        <v>0</v>
      </c>
      <c r="F46" s="4" t="s">
        <v>71</v>
      </c>
      <c r="G46" s="4">
        <v>0</v>
      </c>
      <c r="H46" s="4">
        <v>0</v>
      </c>
      <c r="I46" s="4">
        <v>0</v>
      </c>
      <c r="J46" s="9" t="str">
        <f t="shared" si="0"/>
        <v>A.13</v>
      </c>
      <c r="K46" s="10">
        <f>IF(D46="",17,IF(C46="",17,_xlfn.XLOOKUP(D46,refs!$A$2:$A$21,refs!$B$2:$B$21,"")))</f>
        <v>17</v>
      </c>
      <c r="L46" t="str">
        <f>"PASSTHROUGH|"&amp;A46&amp;"^^/ s /io.in."&amp;B46&amp;".mute="&amp;E46&amp;",mode="&amp;F46&amp;",icon="&amp;G46&amp;",pol="&amp;H46&amp;",vph="&amp;I46&amp;",name="&amp;J46&amp;",col="&amp;K46&amp;","</f>
        <v>PASSTHROUGH|WING1^^/ s /io.in.A.13.mute=0,mode=M,icon=0,pol=0,vph=0,name=A.13,col=17,</v>
      </c>
    </row>
    <row r="47" spans="1:12" s="2" customFormat="1" ht="15.75" x14ac:dyDescent="0.25">
      <c r="A47" s="1" t="s">
        <v>66</v>
      </c>
      <c r="B47" s="6" t="s">
        <v>87</v>
      </c>
      <c r="C47" s="12"/>
      <c r="D47" s="4"/>
      <c r="E47" s="4">
        <v>0</v>
      </c>
      <c r="F47" s="4" t="s">
        <v>71</v>
      </c>
      <c r="G47" s="4">
        <v>0</v>
      </c>
      <c r="H47" s="4">
        <v>0</v>
      </c>
      <c r="I47" s="4">
        <v>0</v>
      </c>
      <c r="J47" s="9" t="str">
        <f t="shared" si="0"/>
        <v>A.14</v>
      </c>
      <c r="K47" s="10">
        <f>IF(D47="",17,IF(C47="",17,_xlfn.XLOOKUP(D47,refs!$A$2:$A$21,refs!$B$2:$B$21,"")))</f>
        <v>17</v>
      </c>
      <c r="L47" t="str">
        <f>"PASSTHROUGH|"&amp;A47&amp;"^^/ s /io.in."&amp;B47&amp;".mute="&amp;E47&amp;",mode="&amp;F47&amp;",icon="&amp;G47&amp;",pol="&amp;H47&amp;",vph="&amp;I47&amp;",name="&amp;J47&amp;",col="&amp;K47&amp;","</f>
        <v>PASSTHROUGH|WING1^^/ s /io.in.A.14.mute=0,mode=M,icon=0,pol=0,vph=0,name=A.14,col=17,</v>
      </c>
    </row>
    <row r="48" spans="1:12" s="2" customFormat="1" ht="15.75" x14ac:dyDescent="0.25">
      <c r="A48" s="1" t="s">
        <v>66</v>
      </c>
      <c r="B48" s="6" t="s">
        <v>88</v>
      </c>
      <c r="C48" s="12"/>
      <c r="D48" s="4"/>
      <c r="E48" s="4">
        <v>0</v>
      </c>
      <c r="F48" s="4" t="s">
        <v>71</v>
      </c>
      <c r="G48" s="4">
        <v>0</v>
      </c>
      <c r="H48" s="4">
        <v>0</v>
      </c>
      <c r="I48" s="4">
        <v>0</v>
      </c>
      <c r="J48" s="9" t="str">
        <f t="shared" si="0"/>
        <v>A.15</v>
      </c>
      <c r="K48" s="10">
        <f>IF(D48="",17,IF(C48="",17,_xlfn.XLOOKUP(D48,refs!$A$2:$A$21,refs!$B$2:$B$21,"")))</f>
        <v>17</v>
      </c>
      <c r="L48" t="str">
        <f>"PASSTHROUGH|"&amp;A48&amp;"^^/ s /io.in."&amp;B48&amp;".mute="&amp;E48&amp;",mode="&amp;F48&amp;",icon="&amp;G48&amp;",pol="&amp;H48&amp;",vph="&amp;I48&amp;",name="&amp;J48&amp;",col="&amp;K48&amp;","</f>
        <v>PASSTHROUGH|WING1^^/ s /io.in.A.15.mute=0,mode=M,icon=0,pol=0,vph=0,name=A.15,col=17,</v>
      </c>
    </row>
    <row r="49" spans="1:12" ht="15.75" x14ac:dyDescent="0.25">
      <c r="A49" s="1" t="s">
        <v>66</v>
      </c>
      <c r="B49" s="6" t="s">
        <v>89</v>
      </c>
      <c r="C49" s="12"/>
      <c r="D49" s="4"/>
      <c r="E49" s="4">
        <v>0</v>
      </c>
      <c r="F49" s="4" t="s">
        <v>71</v>
      </c>
      <c r="G49" s="4">
        <v>0</v>
      </c>
      <c r="H49" s="4">
        <v>0</v>
      </c>
      <c r="I49" s="4">
        <v>0</v>
      </c>
      <c r="J49" s="9" t="str">
        <f t="shared" si="0"/>
        <v>A.16</v>
      </c>
      <c r="K49" s="10">
        <f>IF(D49="",17,IF(C49="",17,_xlfn.XLOOKUP(D49,refs!$A$2:$A$21,refs!$B$2:$B$21,"")))</f>
        <v>17</v>
      </c>
      <c r="L49" t="str">
        <f>"PASSTHROUGH|"&amp;A49&amp;"^^/ s /io.in."&amp;B49&amp;".mute="&amp;E49&amp;",mode="&amp;F49&amp;",icon="&amp;G49&amp;",pol="&amp;H49&amp;",vph="&amp;I49&amp;",name="&amp;J49&amp;",col="&amp;K49&amp;","</f>
        <v>PASSTHROUGH|WING1^^/ s /io.in.A.16.mute=0,mode=M,icon=0,pol=0,vph=0,name=A.16,col=17,</v>
      </c>
    </row>
    <row r="50" spans="1:12" ht="15.75" x14ac:dyDescent="0.25">
      <c r="A50" s="1" t="s">
        <v>66</v>
      </c>
      <c r="B50" s="6" t="s">
        <v>90</v>
      </c>
      <c r="C50" s="12"/>
      <c r="D50" s="4"/>
      <c r="E50" s="4">
        <v>0</v>
      </c>
      <c r="F50" s="4" t="s">
        <v>71</v>
      </c>
      <c r="G50" s="4">
        <v>0</v>
      </c>
      <c r="H50" s="4">
        <v>0</v>
      </c>
      <c r="I50" s="4">
        <v>0</v>
      </c>
      <c r="J50" s="9" t="str">
        <f t="shared" si="0"/>
        <v>A.17</v>
      </c>
      <c r="K50" s="10">
        <f>IF(D50="",17,IF(C50="",17,_xlfn.XLOOKUP(D50,refs!$A$2:$A$21,refs!$B$2:$B$21,"")))</f>
        <v>17</v>
      </c>
      <c r="L50" t="str">
        <f>"PASSTHROUGH|"&amp;A50&amp;"^^/ s /io.in."&amp;B50&amp;".mute="&amp;E50&amp;",mode="&amp;F50&amp;",icon="&amp;G50&amp;",pol="&amp;H50&amp;",vph="&amp;I50&amp;",name="&amp;J50&amp;",col="&amp;K50&amp;","</f>
        <v>PASSTHROUGH|WING1^^/ s /io.in.A.17.mute=0,mode=M,icon=0,pol=0,vph=0,name=A.17,col=17,</v>
      </c>
    </row>
    <row r="51" spans="1:12" ht="15.75" x14ac:dyDescent="0.25">
      <c r="A51" s="1" t="s">
        <v>66</v>
      </c>
      <c r="B51" s="6" t="s">
        <v>91</v>
      </c>
      <c r="C51" s="12"/>
      <c r="D51" s="4"/>
      <c r="E51" s="4">
        <v>0</v>
      </c>
      <c r="F51" s="4" t="s">
        <v>71</v>
      </c>
      <c r="G51" s="4">
        <v>0</v>
      </c>
      <c r="H51" s="4">
        <v>0</v>
      </c>
      <c r="I51" s="4">
        <v>0</v>
      </c>
      <c r="J51" s="9" t="str">
        <f t="shared" si="0"/>
        <v>A.18</v>
      </c>
      <c r="K51" s="10">
        <f>IF(D51="",17,IF(C51="",17,_xlfn.XLOOKUP(D51,refs!$A$2:$A$21,refs!$B$2:$B$21,"")))</f>
        <v>17</v>
      </c>
      <c r="L51" t="str">
        <f>"PASSTHROUGH|"&amp;A51&amp;"^^/ s /io.in."&amp;B51&amp;".mute="&amp;E51&amp;",mode="&amp;F51&amp;",icon="&amp;G51&amp;",pol="&amp;H51&amp;",vph="&amp;I51&amp;",name="&amp;J51&amp;",col="&amp;K51&amp;","</f>
        <v>PASSTHROUGH|WING1^^/ s /io.in.A.18.mute=0,mode=M,icon=0,pol=0,vph=0,name=A.18,col=17,</v>
      </c>
    </row>
    <row r="52" spans="1:12" ht="15.75" x14ac:dyDescent="0.25">
      <c r="A52" s="1" t="s">
        <v>66</v>
      </c>
      <c r="B52" s="6" t="s">
        <v>92</v>
      </c>
      <c r="C52" s="12"/>
      <c r="D52" s="4"/>
      <c r="E52" s="4">
        <v>0</v>
      </c>
      <c r="F52" s="4" t="s">
        <v>71</v>
      </c>
      <c r="G52" s="4">
        <v>0</v>
      </c>
      <c r="H52" s="4">
        <v>0</v>
      </c>
      <c r="I52" s="4">
        <v>0</v>
      </c>
      <c r="J52" s="9" t="str">
        <f t="shared" si="0"/>
        <v>A.19</v>
      </c>
      <c r="K52" s="10">
        <f>IF(D52="",17,IF(C52="",17,_xlfn.XLOOKUP(D52,refs!$A$2:$A$21,refs!$B$2:$B$21,"")))</f>
        <v>17</v>
      </c>
      <c r="L52" t="str">
        <f>"PASSTHROUGH|"&amp;A52&amp;"^^/ s /io.in."&amp;B52&amp;".mute="&amp;E52&amp;",mode="&amp;F52&amp;",icon="&amp;G52&amp;",pol="&amp;H52&amp;",vph="&amp;I52&amp;",name="&amp;J52&amp;",col="&amp;K52&amp;","</f>
        <v>PASSTHROUGH|WING1^^/ s /io.in.A.19.mute=0,mode=M,icon=0,pol=0,vph=0,name=A.19,col=17,</v>
      </c>
    </row>
    <row r="53" spans="1:12" ht="15.75" x14ac:dyDescent="0.25">
      <c r="A53" s="1" t="s">
        <v>66</v>
      </c>
      <c r="B53" s="6" t="s">
        <v>93</v>
      </c>
      <c r="C53" s="12"/>
      <c r="D53" s="4"/>
      <c r="E53" s="4">
        <v>0</v>
      </c>
      <c r="F53" s="4" t="s">
        <v>71</v>
      </c>
      <c r="G53" s="4">
        <v>0</v>
      </c>
      <c r="H53" s="4">
        <v>0</v>
      </c>
      <c r="I53" s="4">
        <v>0</v>
      </c>
      <c r="J53" s="9" t="str">
        <f t="shared" si="0"/>
        <v>A.20</v>
      </c>
      <c r="K53" s="10">
        <f>IF(D53="",17,IF(C53="",17,_xlfn.XLOOKUP(D53,refs!$A$2:$A$21,refs!$B$2:$B$21,"")))</f>
        <v>17</v>
      </c>
      <c r="L53" t="str">
        <f>"PASSTHROUGH|"&amp;A53&amp;"^^/ s /io.in."&amp;B53&amp;".mute="&amp;E53&amp;",mode="&amp;F53&amp;",icon="&amp;G53&amp;",pol="&amp;H53&amp;",vph="&amp;I53&amp;",name="&amp;J53&amp;",col="&amp;K53&amp;","</f>
        <v>PASSTHROUGH|WING1^^/ s /io.in.A.20.mute=0,mode=M,icon=0,pol=0,vph=0,name=A.20,col=17,</v>
      </c>
    </row>
    <row r="54" spans="1:12" ht="15.75" x14ac:dyDescent="0.25">
      <c r="A54" s="1" t="s">
        <v>66</v>
      </c>
      <c r="B54" s="6" t="s">
        <v>94</v>
      </c>
      <c r="C54" s="12"/>
      <c r="D54" s="4"/>
      <c r="E54" s="4">
        <v>0</v>
      </c>
      <c r="F54" s="4" t="s">
        <v>71</v>
      </c>
      <c r="G54" s="4">
        <v>0</v>
      </c>
      <c r="H54" s="4">
        <v>0</v>
      </c>
      <c r="I54" s="4">
        <v>0</v>
      </c>
      <c r="J54" s="9" t="str">
        <f t="shared" si="0"/>
        <v>A.21</v>
      </c>
      <c r="K54" s="10">
        <f>IF(D54="",17,IF(C54="",17,_xlfn.XLOOKUP(D54,refs!$A$2:$A$21,refs!$B$2:$B$21,"")))</f>
        <v>17</v>
      </c>
      <c r="L54" t="str">
        <f>"PASSTHROUGH|"&amp;A54&amp;"^^/ s /io.in."&amp;B54&amp;".mute="&amp;E54&amp;",mode="&amp;F54&amp;",icon="&amp;G54&amp;",pol="&amp;H54&amp;",vph="&amp;I54&amp;",name="&amp;J54&amp;",col="&amp;K54&amp;","</f>
        <v>PASSTHROUGH|WING1^^/ s /io.in.A.21.mute=0,mode=M,icon=0,pol=0,vph=0,name=A.21,col=17,</v>
      </c>
    </row>
    <row r="55" spans="1:12" ht="15.75" x14ac:dyDescent="0.25">
      <c r="A55" s="1" t="s">
        <v>66</v>
      </c>
      <c r="B55" s="6" t="s">
        <v>95</v>
      </c>
      <c r="C55" s="12"/>
      <c r="D55" s="4"/>
      <c r="E55" s="4">
        <v>0</v>
      </c>
      <c r="F55" s="4" t="s">
        <v>71</v>
      </c>
      <c r="G55" s="4">
        <v>0</v>
      </c>
      <c r="H55" s="4">
        <v>0</v>
      </c>
      <c r="I55" s="4">
        <v>0</v>
      </c>
      <c r="J55" s="9" t="str">
        <f t="shared" si="0"/>
        <v>A.22</v>
      </c>
      <c r="K55" s="10">
        <f>IF(D55="",17,IF(C55="",17,_xlfn.XLOOKUP(D55,refs!$A$2:$A$21,refs!$B$2:$B$21,"")))</f>
        <v>17</v>
      </c>
      <c r="L55" t="str">
        <f>"PASSTHROUGH|"&amp;A55&amp;"^^/ s /io.in."&amp;B55&amp;".mute="&amp;E55&amp;",mode="&amp;F55&amp;",icon="&amp;G55&amp;",pol="&amp;H55&amp;",vph="&amp;I55&amp;",name="&amp;J55&amp;",col="&amp;K55&amp;","</f>
        <v>PASSTHROUGH|WING1^^/ s /io.in.A.22.mute=0,mode=M,icon=0,pol=0,vph=0,name=A.22,col=17,</v>
      </c>
    </row>
    <row r="56" spans="1:12" ht="15.75" x14ac:dyDescent="0.25">
      <c r="A56" s="1" t="s">
        <v>66</v>
      </c>
      <c r="B56" s="6" t="s">
        <v>96</v>
      </c>
      <c r="C56" s="12"/>
      <c r="D56" s="4"/>
      <c r="E56" s="4">
        <v>0</v>
      </c>
      <c r="F56" s="4" t="s">
        <v>71</v>
      </c>
      <c r="G56" s="4">
        <v>0</v>
      </c>
      <c r="H56" s="4">
        <v>0</v>
      </c>
      <c r="I56" s="4">
        <v>0</v>
      </c>
      <c r="J56" s="9" t="str">
        <f t="shared" si="0"/>
        <v>A.23</v>
      </c>
      <c r="K56" s="10">
        <f>IF(D56="",17,IF(C56="",17,_xlfn.XLOOKUP(D56,refs!$A$2:$A$21,refs!$B$2:$B$21,"")))</f>
        <v>17</v>
      </c>
      <c r="L56" t="str">
        <f>"PASSTHROUGH|"&amp;A56&amp;"^^/ s /io.in."&amp;B56&amp;".mute="&amp;E56&amp;",mode="&amp;F56&amp;",icon="&amp;G56&amp;",pol="&amp;H56&amp;",vph="&amp;I56&amp;",name="&amp;J56&amp;",col="&amp;K56&amp;","</f>
        <v>PASSTHROUGH|WING1^^/ s /io.in.A.23.mute=0,mode=M,icon=0,pol=0,vph=0,name=A.23,col=17,</v>
      </c>
    </row>
    <row r="57" spans="1:12" ht="15.75" x14ac:dyDescent="0.25">
      <c r="A57" s="1" t="s">
        <v>66</v>
      </c>
      <c r="B57" s="6" t="s">
        <v>97</v>
      </c>
      <c r="C57" s="12"/>
      <c r="D57" s="4"/>
      <c r="E57" s="4">
        <v>0</v>
      </c>
      <c r="F57" s="4" t="s">
        <v>71</v>
      </c>
      <c r="G57" s="4">
        <v>0</v>
      </c>
      <c r="H57" s="4">
        <v>0</v>
      </c>
      <c r="I57" s="4">
        <v>0</v>
      </c>
      <c r="J57" s="9" t="str">
        <f t="shared" si="0"/>
        <v>A.24</v>
      </c>
      <c r="K57" s="10">
        <f>IF(D57="",17,IF(C57="",17,_xlfn.XLOOKUP(D57,refs!$A$2:$A$21,refs!$B$2:$B$21,"")))</f>
        <v>17</v>
      </c>
      <c r="L57" t="str">
        <f>"PASSTHROUGH|"&amp;A57&amp;"^^/ s /io.in."&amp;B57&amp;".mute="&amp;E57&amp;",mode="&amp;F57&amp;",icon="&amp;G57&amp;",pol="&amp;H57&amp;",vph="&amp;I57&amp;",name="&amp;J57&amp;",col="&amp;K57&amp;","</f>
        <v>PASSTHROUGH|WING1^^/ s /io.in.A.24.mute=0,mode=M,icon=0,pol=0,vph=0,name=A.24,col=17,</v>
      </c>
    </row>
    <row r="58" spans="1:12" ht="15.75" x14ac:dyDescent="0.25">
      <c r="A58" s="1" t="s">
        <v>66</v>
      </c>
      <c r="B58" s="6" t="s">
        <v>98</v>
      </c>
      <c r="C58" s="12"/>
      <c r="D58" s="4"/>
      <c r="E58" s="4">
        <v>0</v>
      </c>
      <c r="F58" s="4" t="s">
        <v>71</v>
      </c>
      <c r="G58" s="4">
        <v>0</v>
      </c>
      <c r="H58" s="4">
        <v>0</v>
      </c>
      <c r="I58" s="4">
        <v>0</v>
      </c>
      <c r="J58" s="9" t="str">
        <f t="shared" si="0"/>
        <v>A.25</v>
      </c>
      <c r="K58" s="10">
        <f>IF(D58="",17,IF(C58="",17,_xlfn.XLOOKUP(D58,refs!$A$2:$A$21,refs!$B$2:$B$21,"")))</f>
        <v>17</v>
      </c>
      <c r="L58" t="str">
        <f>"PASSTHROUGH|"&amp;A58&amp;"^^/ s /io.in."&amp;B58&amp;".mute="&amp;E58&amp;",mode="&amp;F58&amp;",icon="&amp;G58&amp;",pol="&amp;H58&amp;",vph="&amp;I58&amp;",name="&amp;J58&amp;",col="&amp;K58&amp;","</f>
        <v>PASSTHROUGH|WING1^^/ s /io.in.A.25.mute=0,mode=M,icon=0,pol=0,vph=0,name=A.25,col=17,</v>
      </c>
    </row>
    <row r="59" spans="1:12" ht="15.75" x14ac:dyDescent="0.25">
      <c r="A59" s="1" t="s">
        <v>66</v>
      </c>
      <c r="B59" s="6" t="s">
        <v>99</v>
      </c>
      <c r="C59" s="12"/>
      <c r="D59" s="4"/>
      <c r="E59" s="4">
        <v>0</v>
      </c>
      <c r="F59" s="4" t="s">
        <v>71</v>
      </c>
      <c r="G59" s="4">
        <v>0</v>
      </c>
      <c r="H59" s="4">
        <v>0</v>
      </c>
      <c r="I59" s="4">
        <v>0</v>
      </c>
      <c r="J59" s="9" t="str">
        <f t="shared" si="0"/>
        <v>A.26</v>
      </c>
      <c r="K59" s="10">
        <f>IF(D59="",17,IF(C59="",17,_xlfn.XLOOKUP(D59,refs!$A$2:$A$21,refs!$B$2:$B$21,"")))</f>
        <v>17</v>
      </c>
      <c r="L59" t="str">
        <f>"PASSTHROUGH|"&amp;A59&amp;"^^/ s /io.in."&amp;B59&amp;".mute="&amp;E59&amp;",mode="&amp;F59&amp;",icon="&amp;G59&amp;",pol="&amp;H59&amp;",vph="&amp;I59&amp;",name="&amp;J59&amp;",col="&amp;K59&amp;","</f>
        <v>PASSTHROUGH|WING1^^/ s /io.in.A.26.mute=0,mode=M,icon=0,pol=0,vph=0,name=A.26,col=17,</v>
      </c>
    </row>
    <row r="60" spans="1:12" ht="15.75" x14ac:dyDescent="0.25">
      <c r="A60" s="1" t="s">
        <v>66</v>
      </c>
      <c r="B60" s="6" t="s">
        <v>100</v>
      </c>
      <c r="C60" s="12"/>
      <c r="D60" s="4"/>
      <c r="E60" s="4">
        <v>0</v>
      </c>
      <c r="F60" s="4" t="s">
        <v>71</v>
      </c>
      <c r="G60" s="4">
        <v>0</v>
      </c>
      <c r="H60" s="4">
        <v>0</v>
      </c>
      <c r="I60" s="4">
        <v>0</v>
      </c>
      <c r="J60" s="9" t="str">
        <f t="shared" si="0"/>
        <v>A.27</v>
      </c>
      <c r="K60" s="10">
        <f>IF(D60="",17,IF(C60="",17,_xlfn.XLOOKUP(D60,refs!$A$2:$A$21,refs!$B$2:$B$21,"")))</f>
        <v>17</v>
      </c>
      <c r="L60" t="str">
        <f>"PASSTHROUGH|"&amp;A60&amp;"^^/ s /io.in."&amp;B60&amp;".mute="&amp;E60&amp;",mode="&amp;F60&amp;",icon="&amp;G60&amp;",pol="&amp;H60&amp;",vph="&amp;I60&amp;",name="&amp;J60&amp;",col="&amp;K60&amp;","</f>
        <v>PASSTHROUGH|WING1^^/ s /io.in.A.27.mute=0,mode=M,icon=0,pol=0,vph=0,name=A.27,col=17,</v>
      </c>
    </row>
    <row r="61" spans="1:12" ht="15.75" x14ac:dyDescent="0.25">
      <c r="A61" s="1" t="s">
        <v>66</v>
      </c>
      <c r="B61" s="6" t="s">
        <v>101</v>
      </c>
      <c r="C61" s="12"/>
      <c r="D61" s="4"/>
      <c r="E61" s="4">
        <v>0</v>
      </c>
      <c r="F61" s="4" t="s">
        <v>71</v>
      </c>
      <c r="G61" s="4">
        <v>0</v>
      </c>
      <c r="H61" s="4">
        <v>0</v>
      </c>
      <c r="I61" s="4">
        <v>0</v>
      </c>
      <c r="J61" s="9" t="str">
        <f t="shared" si="0"/>
        <v>A.28</v>
      </c>
      <c r="K61" s="10">
        <f>IF(D61="",17,IF(C61="",17,_xlfn.XLOOKUP(D61,refs!$A$2:$A$21,refs!$B$2:$B$21,"")))</f>
        <v>17</v>
      </c>
      <c r="L61" t="str">
        <f>"PASSTHROUGH|"&amp;A61&amp;"^^/ s /io.in."&amp;B61&amp;".mute="&amp;E61&amp;",mode="&amp;F61&amp;",icon="&amp;G61&amp;",pol="&amp;H61&amp;",vph="&amp;I61&amp;",name="&amp;J61&amp;",col="&amp;K61&amp;","</f>
        <v>PASSTHROUGH|WING1^^/ s /io.in.A.28.mute=0,mode=M,icon=0,pol=0,vph=0,name=A.28,col=17,</v>
      </c>
    </row>
    <row r="62" spans="1:12" ht="15.75" x14ac:dyDescent="0.25">
      <c r="A62" s="1" t="s">
        <v>66</v>
      </c>
      <c r="B62" s="6" t="s">
        <v>102</v>
      </c>
      <c r="C62" s="12"/>
      <c r="D62" s="4"/>
      <c r="E62" s="4">
        <v>0</v>
      </c>
      <c r="F62" s="4" t="s">
        <v>71</v>
      </c>
      <c r="G62" s="4">
        <v>0</v>
      </c>
      <c r="H62" s="4">
        <v>0</v>
      </c>
      <c r="I62" s="4">
        <v>0</v>
      </c>
      <c r="J62" s="9" t="str">
        <f t="shared" si="0"/>
        <v>A.29</v>
      </c>
      <c r="K62" s="10">
        <f>IF(D62="",17,IF(C62="",17,_xlfn.XLOOKUP(D62,refs!$A$2:$A$21,refs!$B$2:$B$21,"")))</f>
        <v>17</v>
      </c>
      <c r="L62" t="str">
        <f>"PASSTHROUGH|"&amp;A62&amp;"^^/ s /io.in."&amp;B62&amp;".mute="&amp;E62&amp;",mode="&amp;F62&amp;",icon="&amp;G62&amp;",pol="&amp;H62&amp;",vph="&amp;I62&amp;",name="&amp;J62&amp;",col="&amp;K62&amp;","</f>
        <v>PASSTHROUGH|WING1^^/ s /io.in.A.29.mute=0,mode=M,icon=0,pol=0,vph=0,name=A.29,col=17,</v>
      </c>
    </row>
    <row r="63" spans="1:12" ht="15.75" x14ac:dyDescent="0.25">
      <c r="A63" s="1" t="s">
        <v>66</v>
      </c>
      <c r="B63" s="6" t="s">
        <v>103</v>
      </c>
      <c r="C63" s="12"/>
      <c r="D63" s="4"/>
      <c r="E63" s="4">
        <v>0</v>
      </c>
      <c r="F63" s="4" t="s">
        <v>71</v>
      </c>
      <c r="G63" s="4">
        <v>0</v>
      </c>
      <c r="H63" s="4">
        <v>0</v>
      </c>
      <c r="I63" s="4">
        <v>0</v>
      </c>
      <c r="J63" s="9" t="str">
        <f t="shared" si="0"/>
        <v>A.30</v>
      </c>
      <c r="K63" s="10">
        <f>IF(D63="",17,IF(C63="",17,_xlfn.XLOOKUP(D63,refs!$A$2:$A$21,refs!$B$2:$B$21,"")))</f>
        <v>17</v>
      </c>
      <c r="L63" t="str">
        <f>"PASSTHROUGH|"&amp;A63&amp;"^^/ s /io.in."&amp;B63&amp;".mute="&amp;E63&amp;",mode="&amp;F63&amp;",icon="&amp;G63&amp;",pol="&amp;H63&amp;",vph="&amp;I63&amp;",name="&amp;J63&amp;",col="&amp;K63&amp;","</f>
        <v>PASSTHROUGH|WING1^^/ s /io.in.A.30.mute=0,mode=M,icon=0,pol=0,vph=0,name=A.30,col=17,</v>
      </c>
    </row>
    <row r="64" spans="1:12" ht="15.75" x14ac:dyDescent="0.25">
      <c r="A64" s="1" t="s">
        <v>66</v>
      </c>
      <c r="B64" s="6" t="s">
        <v>104</v>
      </c>
      <c r="C64" s="12"/>
      <c r="D64" s="4"/>
      <c r="E64" s="4">
        <v>0</v>
      </c>
      <c r="F64" s="4" t="s">
        <v>71</v>
      </c>
      <c r="G64" s="4">
        <v>0</v>
      </c>
      <c r="H64" s="4">
        <v>0</v>
      </c>
      <c r="I64" s="4">
        <v>0</v>
      </c>
      <c r="J64" s="9" t="str">
        <f t="shared" si="0"/>
        <v>A.31</v>
      </c>
      <c r="K64" s="10">
        <f>IF(D64="",17,IF(C64="",17,_xlfn.XLOOKUP(D64,refs!$A$2:$A$21,refs!$B$2:$B$21,"")))</f>
        <v>17</v>
      </c>
      <c r="L64" t="str">
        <f>"PASSTHROUGH|"&amp;A64&amp;"^^/ s /io.in."&amp;B64&amp;".mute="&amp;E64&amp;",mode="&amp;F64&amp;",icon="&amp;G64&amp;",pol="&amp;H64&amp;",vph="&amp;I64&amp;",name="&amp;J64&amp;",col="&amp;K64&amp;","</f>
        <v>PASSTHROUGH|WING1^^/ s /io.in.A.31.mute=0,mode=M,icon=0,pol=0,vph=0,name=A.31,col=17,</v>
      </c>
    </row>
    <row r="65" spans="1:12" ht="15.75" x14ac:dyDescent="0.25">
      <c r="A65" s="1" t="s">
        <v>66</v>
      </c>
      <c r="B65" s="6" t="s">
        <v>105</v>
      </c>
      <c r="C65" s="12"/>
      <c r="D65" s="4"/>
      <c r="E65" s="4">
        <v>0</v>
      </c>
      <c r="F65" s="4" t="s">
        <v>71</v>
      </c>
      <c r="G65" s="4">
        <v>0</v>
      </c>
      <c r="H65" s="4">
        <v>0</v>
      </c>
      <c r="I65" s="4">
        <v>0</v>
      </c>
      <c r="J65" s="9" t="str">
        <f t="shared" si="0"/>
        <v>A.32</v>
      </c>
      <c r="K65" s="10">
        <f>IF(D65="",17,IF(C65="",17,_xlfn.XLOOKUP(D65,refs!$A$2:$A$21,refs!$B$2:$B$21,"")))</f>
        <v>17</v>
      </c>
      <c r="L65" t="str">
        <f>"PASSTHROUGH|"&amp;A65&amp;"^^/ s /io.in."&amp;B65&amp;".mute="&amp;E65&amp;",mode="&amp;F65&amp;",icon="&amp;G65&amp;",pol="&amp;H65&amp;",vph="&amp;I65&amp;",name="&amp;J65&amp;",col="&amp;K65&amp;","</f>
        <v>PASSTHROUGH|WING1^^/ s /io.in.A.32.mute=0,mode=M,icon=0,pol=0,vph=0,name=A.32,col=17,</v>
      </c>
    </row>
    <row r="66" spans="1:12" ht="15.75" x14ac:dyDescent="0.25">
      <c r="A66" s="1" t="s">
        <v>66</v>
      </c>
      <c r="B66" s="6" t="s">
        <v>106</v>
      </c>
      <c r="C66" s="12"/>
      <c r="D66" s="4"/>
      <c r="E66" s="4">
        <v>0</v>
      </c>
      <c r="F66" s="4" t="s">
        <v>71</v>
      </c>
      <c r="G66" s="4">
        <v>0</v>
      </c>
      <c r="H66" s="4">
        <v>0</v>
      </c>
      <c r="I66" s="4">
        <v>0</v>
      </c>
      <c r="J66" s="9" t="str">
        <f t="shared" ref="J66:J129" si="1">IF(C66="",SUBSTITUTE(B66, "/", "."),LEFT(C66,16))</f>
        <v>A.33</v>
      </c>
      <c r="K66" s="10">
        <f>IF(D66="",17,IF(C66="",17,_xlfn.XLOOKUP(D66,refs!$A$2:$A$21,refs!$B$2:$B$21,"")))</f>
        <v>17</v>
      </c>
      <c r="L66" t="str">
        <f>"PASSTHROUGH|"&amp;A66&amp;"^^/ s /io.in."&amp;B66&amp;".mute="&amp;E66&amp;",mode="&amp;F66&amp;",icon="&amp;G66&amp;",pol="&amp;H66&amp;",vph="&amp;I66&amp;",name="&amp;J66&amp;",col="&amp;K66&amp;","</f>
        <v>PASSTHROUGH|WING1^^/ s /io.in.A.33.mute=0,mode=M,icon=0,pol=0,vph=0,name=A.33,col=17,</v>
      </c>
    </row>
    <row r="67" spans="1:12" ht="15.75" x14ac:dyDescent="0.25">
      <c r="A67" s="1" t="s">
        <v>66</v>
      </c>
      <c r="B67" s="6" t="s">
        <v>107</v>
      </c>
      <c r="C67" s="12"/>
      <c r="D67" s="4"/>
      <c r="E67" s="4">
        <v>0</v>
      </c>
      <c r="F67" s="4" t="s">
        <v>71</v>
      </c>
      <c r="G67" s="4">
        <v>0</v>
      </c>
      <c r="H67" s="4">
        <v>0</v>
      </c>
      <c r="I67" s="4">
        <v>0</v>
      </c>
      <c r="J67" s="9" t="str">
        <f t="shared" si="1"/>
        <v>A.34</v>
      </c>
      <c r="K67" s="10">
        <f>IF(D67="",17,IF(C67="",17,_xlfn.XLOOKUP(D67,refs!$A$2:$A$21,refs!$B$2:$B$21,"")))</f>
        <v>17</v>
      </c>
      <c r="L67" t="str">
        <f>"PASSTHROUGH|"&amp;A67&amp;"^^/ s /io.in."&amp;B67&amp;".mute="&amp;E67&amp;",mode="&amp;F67&amp;",icon="&amp;G67&amp;",pol="&amp;H67&amp;",vph="&amp;I67&amp;",name="&amp;J67&amp;",col="&amp;K67&amp;","</f>
        <v>PASSTHROUGH|WING1^^/ s /io.in.A.34.mute=0,mode=M,icon=0,pol=0,vph=0,name=A.34,col=17,</v>
      </c>
    </row>
    <row r="68" spans="1:12" ht="15.75" x14ac:dyDescent="0.25">
      <c r="A68" s="1" t="s">
        <v>66</v>
      </c>
      <c r="B68" s="6" t="s">
        <v>108</v>
      </c>
      <c r="C68" s="12"/>
      <c r="D68" s="4"/>
      <c r="E68" s="4">
        <v>0</v>
      </c>
      <c r="F68" s="4" t="s">
        <v>71</v>
      </c>
      <c r="G68" s="4">
        <v>0</v>
      </c>
      <c r="H68" s="4">
        <v>0</v>
      </c>
      <c r="I68" s="4">
        <v>0</v>
      </c>
      <c r="J68" s="9" t="str">
        <f t="shared" si="1"/>
        <v>A.35</v>
      </c>
      <c r="K68" s="10">
        <f>IF(D68="",17,IF(C68="",17,_xlfn.XLOOKUP(D68,refs!$A$2:$A$21,refs!$B$2:$B$21,"")))</f>
        <v>17</v>
      </c>
      <c r="L68" t="str">
        <f>"PASSTHROUGH|"&amp;A68&amp;"^^/ s /io.in."&amp;B68&amp;".mute="&amp;E68&amp;",mode="&amp;F68&amp;",icon="&amp;G68&amp;",pol="&amp;H68&amp;",vph="&amp;I68&amp;",name="&amp;J68&amp;",col="&amp;K68&amp;","</f>
        <v>PASSTHROUGH|WING1^^/ s /io.in.A.35.mute=0,mode=M,icon=0,pol=0,vph=0,name=A.35,col=17,</v>
      </c>
    </row>
    <row r="69" spans="1:12" ht="15.75" x14ac:dyDescent="0.25">
      <c r="A69" s="1" t="s">
        <v>66</v>
      </c>
      <c r="B69" s="6" t="s">
        <v>109</v>
      </c>
      <c r="C69" s="12"/>
      <c r="D69" s="4"/>
      <c r="E69" s="4">
        <v>0</v>
      </c>
      <c r="F69" s="4" t="s">
        <v>71</v>
      </c>
      <c r="G69" s="4">
        <v>0</v>
      </c>
      <c r="H69" s="4">
        <v>0</v>
      </c>
      <c r="I69" s="4">
        <v>0</v>
      </c>
      <c r="J69" s="9" t="str">
        <f t="shared" si="1"/>
        <v>A.36</v>
      </c>
      <c r="K69" s="10">
        <f>IF(D69="",17,IF(C69="",17,_xlfn.XLOOKUP(D69,refs!$A$2:$A$21,refs!$B$2:$B$21,"")))</f>
        <v>17</v>
      </c>
      <c r="L69" t="str">
        <f>"PASSTHROUGH|"&amp;A69&amp;"^^/ s /io.in."&amp;B69&amp;".mute="&amp;E69&amp;",mode="&amp;F69&amp;",icon="&amp;G69&amp;",pol="&amp;H69&amp;",vph="&amp;I69&amp;",name="&amp;J69&amp;",col="&amp;K69&amp;","</f>
        <v>PASSTHROUGH|WING1^^/ s /io.in.A.36.mute=0,mode=M,icon=0,pol=0,vph=0,name=A.36,col=17,</v>
      </c>
    </row>
    <row r="70" spans="1:12" ht="15.75" x14ac:dyDescent="0.25">
      <c r="A70" s="1" t="s">
        <v>66</v>
      </c>
      <c r="B70" s="6" t="s">
        <v>110</v>
      </c>
      <c r="C70" s="12"/>
      <c r="D70" s="4"/>
      <c r="E70" s="4">
        <v>0</v>
      </c>
      <c r="F70" s="4" t="s">
        <v>71</v>
      </c>
      <c r="G70" s="4">
        <v>0</v>
      </c>
      <c r="H70" s="4">
        <v>0</v>
      </c>
      <c r="I70" s="4">
        <v>0</v>
      </c>
      <c r="J70" s="9" t="str">
        <f t="shared" si="1"/>
        <v>A.37</v>
      </c>
      <c r="K70" s="10">
        <f>IF(D70="",17,IF(C70="",17,_xlfn.XLOOKUP(D70,refs!$A$2:$A$21,refs!$B$2:$B$21,"")))</f>
        <v>17</v>
      </c>
      <c r="L70" t="str">
        <f>"PASSTHROUGH|"&amp;A70&amp;"^^/ s /io.in."&amp;B70&amp;".mute="&amp;E70&amp;",mode="&amp;F70&amp;",icon="&amp;G70&amp;",pol="&amp;H70&amp;",vph="&amp;I70&amp;",name="&amp;J70&amp;",col="&amp;K70&amp;","</f>
        <v>PASSTHROUGH|WING1^^/ s /io.in.A.37.mute=0,mode=M,icon=0,pol=0,vph=0,name=A.37,col=17,</v>
      </c>
    </row>
    <row r="71" spans="1:12" ht="15.75" x14ac:dyDescent="0.25">
      <c r="A71" s="1" t="s">
        <v>66</v>
      </c>
      <c r="B71" s="6" t="s">
        <v>111</v>
      </c>
      <c r="C71" s="12"/>
      <c r="D71" s="4"/>
      <c r="E71" s="4">
        <v>0</v>
      </c>
      <c r="F71" s="4" t="s">
        <v>71</v>
      </c>
      <c r="G71" s="4">
        <v>0</v>
      </c>
      <c r="H71" s="4">
        <v>0</v>
      </c>
      <c r="I71" s="4">
        <v>0</v>
      </c>
      <c r="J71" s="9" t="str">
        <f t="shared" si="1"/>
        <v>A.38</v>
      </c>
      <c r="K71" s="10">
        <f>IF(D71="",17,IF(C71="",17,_xlfn.XLOOKUP(D71,refs!$A$2:$A$21,refs!$B$2:$B$21,"")))</f>
        <v>17</v>
      </c>
      <c r="L71" t="str">
        <f>"PASSTHROUGH|"&amp;A71&amp;"^^/ s /io.in."&amp;B71&amp;".mute="&amp;E71&amp;",mode="&amp;F71&amp;",icon="&amp;G71&amp;",pol="&amp;H71&amp;",vph="&amp;I71&amp;",name="&amp;J71&amp;",col="&amp;K71&amp;","</f>
        <v>PASSTHROUGH|WING1^^/ s /io.in.A.38.mute=0,mode=M,icon=0,pol=0,vph=0,name=A.38,col=17,</v>
      </c>
    </row>
    <row r="72" spans="1:12" ht="15.75" x14ac:dyDescent="0.25">
      <c r="A72" s="1" t="s">
        <v>66</v>
      </c>
      <c r="B72" s="6" t="s">
        <v>112</v>
      </c>
      <c r="C72" s="12"/>
      <c r="D72" s="4"/>
      <c r="E72" s="4">
        <v>0</v>
      </c>
      <c r="F72" s="4" t="s">
        <v>71</v>
      </c>
      <c r="G72" s="4">
        <v>0</v>
      </c>
      <c r="H72" s="4">
        <v>0</v>
      </c>
      <c r="I72" s="4">
        <v>0</v>
      </c>
      <c r="J72" s="9" t="str">
        <f t="shared" si="1"/>
        <v>A.39</v>
      </c>
      <c r="K72" s="10">
        <f>IF(D72="",17,IF(C72="",17,_xlfn.XLOOKUP(D72,refs!$A$2:$A$21,refs!$B$2:$B$21,"")))</f>
        <v>17</v>
      </c>
      <c r="L72" t="str">
        <f>"PASSTHROUGH|"&amp;A72&amp;"^^/ s /io.in."&amp;B72&amp;".mute="&amp;E72&amp;",mode="&amp;F72&amp;",icon="&amp;G72&amp;",pol="&amp;H72&amp;",vph="&amp;I72&amp;",name="&amp;J72&amp;",col="&amp;K72&amp;","</f>
        <v>PASSTHROUGH|WING1^^/ s /io.in.A.39.mute=0,mode=M,icon=0,pol=0,vph=0,name=A.39,col=17,</v>
      </c>
    </row>
    <row r="73" spans="1:12" ht="15.75" x14ac:dyDescent="0.25">
      <c r="A73" s="1" t="s">
        <v>66</v>
      </c>
      <c r="B73" s="6" t="s">
        <v>113</v>
      </c>
      <c r="C73" s="12"/>
      <c r="D73" s="4"/>
      <c r="E73" s="4">
        <v>0</v>
      </c>
      <c r="F73" s="4" t="s">
        <v>71</v>
      </c>
      <c r="G73" s="4">
        <v>0</v>
      </c>
      <c r="H73" s="4">
        <v>0</v>
      </c>
      <c r="I73" s="4">
        <v>0</v>
      </c>
      <c r="J73" s="9" t="str">
        <f t="shared" si="1"/>
        <v>A.40</v>
      </c>
      <c r="K73" s="10">
        <f>IF(D73="",17,IF(C73="",17,_xlfn.XLOOKUP(D73,refs!$A$2:$A$21,refs!$B$2:$B$21,"")))</f>
        <v>17</v>
      </c>
      <c r="L73" t="str">
        <f>"PASSTHROUGH|"&amp;A73&amp;"^^/ s /io.in."&amp;B73&amp;".mute="&amp;E73&amp;",mode="&amp;F73&amp;",icon="&amp;G73&amp;",pol="&amp;H73&amp;",vph="&amp;I73&amp;",name="&amp;J73&amp;",col="&amp;K73&amp;","</f>
        <v>PASSTHROUGH|WING1^^/ s /io.in.A.40.mute=0,mode=M,icon=0,pol=0,vph=0,name=A.40,col=17,</v>
      </c>
    </row>
    <row r="74" spans="1:12" ht="15.75" x14ac:dyDescent="0.25">
      <c r="A74" s="1" t="s">
        <v>66</v>
      </c>
      <c r="B74" s="6" t="s">
        <v>114</v>
      </c>
      <c r="C74" s="12"/>
      <c r="D74" s="4"/>
      <c r="E74" s="4">
        <v>0</v>
      </c>
      <c r="F74" s="4" t="s">
        <v>71</v>
      </c>
      <c r="G74" s="4">
        <v>0</v>
      </c>
      <c r="H74" s="4">
        <v>0</v>
      </c>
      <c r="I74" s="4">
        <v>0</v>
      </c>
      <c r="J74" s="9" t="str">
        <f t="shared" si="1"/>
        <v>A.41</v>
      </c>
      <c r="K74" s="10">
        <f>IF(D74="",17,IF(C74="",17,_xlfn.XLOOKUP(D74,refs!$A$2:$A$21,refs!$B$2:$B$21,"")))</f>
        <v>17</v>
      </c>
      <c r="L74" t="str">
        <f>"PASSTHROUGH|"&amp;A74&amp;"^^/ s /io.in."&amp;B74&amp;".mute="&amp;E74&amp;",mode="&amp;F74&amp;",icon="&amp;G74&amp;",pol="&amp;H74&amp;",vph="&amp;I74&amp;",name="&amp;J74&amp;",col="&amp;K74&amp;","</f>
        <v>PASSTHROUGH|WING1^^/ s /io.in.A.41.mute=0,mode=M,icon=0,pol=0,vph=0,name=A.41,col=17,</v>
      </c>
    </row>
    <row r="75" spans="1:12" ht="15.75" x14ac:dyDescent="0.25">
      <c r="A75" s="1" t="s">
        <v>66</v>
      </c>
      <c r="B75" s="6" t="s">
        <v>115</v>
      </c>
      <c r="C75" s="12"/>
      <c r="D75" s="4"/>
      <c r="E75" s="4">
        <v>0</v>
      </c>
      <c r="F75" s="4" t="s">
        <v>71</v>
      </c>
      <c r="G75" s="4">
        <v>0</v>
      </c>
      <c r="H75" s="4">
        <v>0</v>
      </c>
      <c r="I75" s="4">
        <v>0</v>
      </c>
      <c r="J75" s="9" t="str">
        <f t="shared" si="1"/>
        <v>A.42</v>
      </c>
      <c r="K75" s="10">
        <f>IF(D75="",17,IF(C75="",17,_xlfn.XLOOKUP(D75,refs!$A$2:$A$21,refs!$B$2:$B$21,"")))</f>
        <v>17</v>
      </c>
      <c r="L75" t="str">
        <f>"PASSTHROUGH|"&amp;A75&amp;"^^/ s /io.in."&amp;B75&amp;".mute="&amp;E75&amp;",mode="&amp;F75&amp;",icon="&amp;G75&amp;",pol="&amp;H75&amp;",vph="&amp;I75&amp;",name="&amp;J75&amp;",col="&amp;K75&amp;","</f>
        <v>PASSTHROUGH|WING1^^/ s /io.in.A.42.mute=0,mode=M,icon=0,pol=0,vph=0,name=A.42,col=17,</v>
      </c>
    </row>
    <row r="76" spans="1:12" ht="15.75" x14ac:dyDescent="0.25">
      <c r="A76" s="1" t="s">
        <v>66</v>
      </c>
      <c r="B76" s="6" t="s">
        <v>116</v>
      </c>
      <c r="C76" s="12"/>
      <c r="D76" s="4"/>
      <c r="E76" s="4">
        <v>0</v>
      </c>
      <c r="F76" s="4" t="s">
        <v>71</v>
      </c>
      <c r="G76" s="4">
        <v>0</v>
      </c>
      <c r="H76" s="4">
        <v>0</v>
      </c>
      <c r="I76" s="4">
        <v>0</v>
      </c>
      <c r="J76" s="9" t="str">
        <f t="shared" si="1"/>
        <v>A.43</v>
      </c>
      <c r="K76" s="10">
        <f>IF(D76="",17,IF(C76="",17,_xlfn.XLOOKUP(D76,refs!$A$2:$A$21,refs!$B$2:$B$21,"")))</f>
        <v>17</v>
      </c>
      <c r="L76" t="str">
        <f>"PASSTHROUGH|"&amp;A76&amp;"^^/ s /io.in."&amp;B76&amp;".mute="&amp;E76&amp;",mode="&amp;F76&amp;",icon="&amp;G76&amp;",pol="&amp;H76&amp;",vph="&amp;I76&amp;",name="&amp;J76&amp;",col="&amp;K76&amp;","</f>
        <v>PASSTHROUGH|WING1^^/ s /io.in.A.43.mute=0,mode=M,icon=0,pol=0,vph=0,name=A.43,col=17,</v>
      </c>
    </row>
    <row r="77" spans="1:12" ht="15.75" x14ac:dyDescent="0.25">
      <c r="A77" s="1" t="s">
        <v>66</v>
      </c>
      <c r="B77" s="6" t="s">
        <v>117</v>
      </c>
      <c r="C77" s="12"/>
      <c r="D77" s="4"/>
      <c r="E77" s="4">
        <v>0</v>
      </c>
      <c r="F77" s="4" t="s">
        <v>71</v>
      </c>
      <c r="G77" s="4">
        <v>0</v>
      </c>
      <c r="H77" s="4">
        <v>0</v>
      </c>
      <c r="I77" s="4">
        <v>0</v>
      </c>
      <c r="J77" s="9" t="str">
        <f t="shared" si="1"/>
        <v>A.44</v>
      </c>
      <c r="K77" s="10">
        <f>IF(D77="",17,IF(C77="",17,_xlfn.XLOOKUP(D77,refs!$A$2:$A$21,refs!$B$2:$B$21,"")))</f>
        <v>17</v>
      </c>
      <c r="L77" t="str">
        <f>"PASSTHROUGH|"&amp;A77&amp;"^^/ s /io.in."&amp;B77&amp;".mute="&amp;E77&amp;",mode="&amp;F77&amp;",icon="&amp;G77&amp;",pol="&amp;H77&amp;",vph="&amp;I77&amp;",name="&amp;J77&amp;",col="&amp;K77&amp;","</f>
        <v>PASSTHROUGH|WING1^^/ s /io.in.A.44.mute=0,mode=M,icon=0,pol=0,vph=0,name=A.44,col=17,</v>
      </c>
    </row>
    <row r="78" spans="1:12" ht="15.75" x14ac:dyDescent="0.25">
      <c r="A78" s="1" t="s">
        <v>66</v>
      </c>
      <c r="B78" s="6" t="s">
        <v>118</v>
      </c>
      <c r="C78" s="12"/>
      <c r="D78" s="4"/>
      <c r="E78" s="4">
        <v>0</v>
      </c>
      <c r="F78" s="4" t="s">
        <v>71</v>
      </c>
      <c r="G78" s="4">
        <v>0</v>
      </c>
      <c r="H78" s="4">
        <v>0</v>
      </c>
      <c r="I78" s="4">
        <v>0</v>
      </c>
      <c r="J78" s="9" t="str">
        <f t="shared" si="1"/>
        <v>A.45</v>
      </c>
      <c r="K78" s="10">
        <f>IF(D78="",17,IF(C78="",17,_xlfn.XLOOKUP(D78,refs!$A$2:$A$21,refs!$B$2:$B$21,"")))</f>
        <v>17</v>
      </c>
      <c r="L78" t="str">
        <f>"PASSTHROUGH|"&amp;A78&amp;"^^/ s /io.in."&amp;B78&amp;".mute="&amp;E78&amp;",mode="&amp;F78&amp;",icon="&amp;G78&amp;",pol="&amp;H78&amp;",vph="&amp;I78&amp;",name="&amp;J78&amp;",col="&amp;K78&amp;","</f>
        <v>PASSTHROUGH|WING1^^/ s /io.in.A.45.mute=0,mode=M,icon=0,pol=0,vph=0,name=A.45,col=17,</v>
      </c>
    </row>
    <row r="79" spans="1:12" ht="15.75" x14ac:dyDescent="0.25">
      <c r="A79" s="1" t="s">
        <v>66</v>
      </c>
      <c r="B79" s="6" t="s">
        <v>119</v>
      </c>
      <c r="C79" s="12"/>
      <c r="D79" s="4"/>
      <c r="E79" s="4">
        <v>0</v>
      </c>
      <c r="F79" s="4" t="s">
        <v>71</v>
      </c>
      <c r="G79" s="4">
        <v>0</v>
      </c>
      <c r="H79" s="4">
        <v>0</v>
      </c>
      <c r="I79" s="4">
        <v>0</v>
      </c>
      <c r="J79" s="9" t="str">
        <f t="shared" si="1"/>
        <v>A.46</v>
      </c>
      <c r="K79" s="10">
        <f>IF(D79="",17,IF(C79="",17,_xlfn.XLOOKUP(D79,refs!$A$2:$A$21,refs!$B$2:$B$21,"")))</f>
        <v>17</v>
      </c>
      <c r="L79" t="str">
        <f>"PASSTHROUGH|"&amp;A79&amp;"^^/ s /io.in."&amp;B79&amp;".mute="&amp;E79&amp;",mode="&amp;F79&amp;",icon="&amp;G79&amp;",pol="&amp;H79&amp;",vph="&amp;I79&amp;",name="&amp;J79&amp;",col="&amp;K79&amp;","</f>
        <v>PASSTHROUGH|WING1^^/ s /io.in.A.46.mute=0,mode=M,icon=0,pol=0,vph=0,name=A.46,col=17,</v>
      </c>
    </row>
    <row r="80" spans="1:12" ht="15.75" x14ac:dyDescent="0.25">
      <c r="A80" s="1" t="s">
        <v>66</v>
      </c>
      <c r="B80" s="6" t="s">
        <v>120</v>
      </c>
      <c r="C80" s="12"/>
      <c r="D80" s="4"/>
      <c r="E80" s="4">
        <v>0</v>
      </c>
      <c r="F80" s="4" t="s">
        <v>71</v>
      </c>
      <c r="G80" s="4">
        <v>0</v>
      </c>
      <c r="H80" s="4">
        <v>0</v>
      </c>
      <c r="I80" s="4">
        <v>0</v>
      </c>
      <c r="J80" s="9" t="str">
        <f t="shared" si="1"/>
        <v>A.47</v>
      </c>
      <c r="K80" s="10">
        <f>IF(D80="",17,IF(C80="",17,_xlfn.XLOOKUP(D80,refs!$A$2:$A$21,refs!$B$2:$B$21,"")))</f>
        <v>17</v>
      </c>
      <c r="L80" t="str">
        <f>"PASSTHROUGH|"&amp;A80&amp;"^^/ s /io.in."&amp;B80&amp;".mute="&amp;E80&amp;",mode="&amp;F80&amp;",icon="&amp;G80&amp;",pol="&amp;H80&amp;",vph="&amp;I80&amp;",name="&amp;J80&amp;",col="&amp;K80&amp;","</f>
        <v>PASSTHROUGH|WING1^^/ s /io.in.A.47.mute=0,mode=M,icon=0,pol=0,vph=0,name=A.47,col=17,</v>
      </c>
    </row>
    <row r="81" spans="1:12" ht="15.75" x14ac:dyDescent="0.25">
      <c r="A81" s="1" t="s">
        <v>66</v>
      </c>
      <c r="B81" s="6" t="s">
        <v>121</v>
      </c>
      <c r="C81" s="12"/>
      <c r="D81" s="4"/>
      <c r="E81" s="4">
        <v>0</v>
      </c>
      <c r="F81" s="4" t="s">
        <v>71</v>
      </c>
      <c r="G81" s="4">
        <v>0</v>
      </c>
      <c r="H81" s="4">
        <v>0</v>
      </c>
      <c r="I81" s="4">
        <v>0</v>
      </c>
      <c r="J81" s="9" t="str">
        <f t="shared" si="1"/>
        <v>A.48</v>
      </c>
      <c r="K81" s="10">
        <f>IF(D81="",17,IF(C81="",17,_xlfn.XLOOKUP(D81,refs!$A$2:$A$21,refs!$B$2:$B$21,"")))</f>
        <v>17</v>
      </c>
      <c r="L81" t="str">
        <f>"PASSTHROUGH|"&amp;A81&amp;"^^/ s /io.in."&amp;B81&amp;".mute="&amp;E81&amp;",mode="&amp;F81&amp;",icon="&amp;G81&amp;",pol="&amp;H81&amp;",vph="&amp;I81&amp;",name="&amp;J81&amp;",col="&amp;K81&amp;","</f>
        <v>PASSTHROUGH|WING1^^/ s /io.in.A.48.mute=0,mode=M,icon=0,pol=0,vph=0,name=A.48,col=17,</v>
      </c>
    </row>
    <row r="82" spans="1:12" ht="15.75" x14ac:dyDescent="0.25">
      <c r="A82" s="1" t="s">
        <v>66</v>
      </c>
      <c r="B82" s="6" t="s">
        <v>122</v>
      </c>
      <c r="C82" s="12"/>
      <c r="D82" s="4"/>
      <c r="E82" s="4">
        <v>0</v>
      </c>
      <c r="F82" s="4" t="s">
        <v>71</v>
      </c>
      <c r="G82" s="4">
        <v>0</v>
      </c>
      <c r="H82" s="4">
        <v>0</v>
      </c>
      <c r="I82" s="4">
        <v>0</v>
      </c>
      <c r="J82" s="9" t="str">
        <f t="shared" si="1"/>
        <v>B.1</v>
      </c>
      <c r="K82" s="10">
        <f>IF(D82="",17,IF(C82="",17,_xlfn.XLOOKUP(D82,refs!$A$2:$A$21,refs!$B$2:$B$21,"")))</f>
        <v>17</v>
      </c>
      <c r="L82" t="str">
        <f>"PASSTHROUGH|"&amp;A82&amp;"^^/ s /io.in."&amp;B82&amp;".mute="&amp;E82&amp;",mode="&amp;F82&amp;",icon="&amp;G82&amp;",pol="&amp;H82&amp;",vph="&amp;I82&amp;",name="&amp;J82&amp;",col="&amp;K82&amp;","</f>
        <v>PASSTHROUGH|WING1^^/ s /io.in.B.1.mute=0,mode=M,icon=0,pol=0,vph=0,name=B.1,col=17,</v>
      </c>
    </row>
    <row r="83" spans="1:12" ht="15.75" x14ac:dyDescent="0.25">
      <c r="A83" s="1" t="s">
        <v>66</v>
      </c>
      <c r="B83" s="6" t="s">
        <v>123</v>
      </c>
      <c r="C83" s="12"/>
      <c r="D83" s="4"/>
      <c r="E83" s="4">
        <v>0</v>
      </c>
      <c r="F83" s="4" t="s">
        <v>71</v>
      </c>
      <c r="G83" s="4">
        <v>0</v>
      </c>
      <c r="H83" s="4">
        <v>0</v>
      </c>
      <c r="I83" s="4">
        <v>0</v>
      </c>
      <c r="J83" s="9" t="str">
        <f t="shared" si="1"/>
        <v>B.2</v>
      </c>
      <c r="K83" s="10">
        <f>IF(D83="",17,IF(C83="",17,_xlfn.XLOOKUP(D83,refs!$A$2:$A$21,refs!$B$2:$B$21,"")))</f>
        <v>17</v>
      </c>
      <c r="L83" t="str">
        <f>"PASSTHROUGH|"&amp;A83&amp;"^^/ s /io.in."&amp;B83&amp;".mute="&amp;E83&amp;",mode="&amp;F83&amp;",icon="&amp;G83&amp;",pol="&amp;H83&amp;",vph="&amp;I83&amp;",name="&amp;J83&amp;",col="&amp;K83&amp;","</f>
        <v>PASSTHROUGH|WING1^^/ s /io.in.B.2.mute=0,mode=M,icon=0,pol=0,vph=0,name=B.2,col=17,</v>
      </c>
    </row>
    <row r="84" spans="1:12" ht="15.75" x14ac:dyDescent="0.25">
      <c r="A84" s="1" t="s">
        <v>66</v>
      </c>
      <c r="B84" s="6" t="s">
        <v>124</v>
      </c>
      <c r="C84" s="12"/>
      <c r="D84" s="4"/>
      <c r="E84" s="4">
        <v>0</v>
      </c>
      <c r="F84" s="4" t="s">
        <v>71</v>
      </c>
      <c r="G84" s="4">
        <v>0</v>
      </c>
      <c r="H84" s="4">
        <v>0</v>
      </c>
      <c r="I84" s="4">
        <v>0</v>
      </c>
      <c r="J84" s="9" t="str">
        <f t="shared" si="1"/>
        <v>B.3</v>
      </c>
      <c r="K84" s="10">
        <f>IF(D84="",17,IF(C84="",17,_xlfn.XLOOKUP(D84,refs!$A$2:$A$21,refs!$B$2:$B$21,"")))</f>
        <v>17</v>
      </c>
      <c r="L84" t="str">
        <f>"PASSTHROUGH|"&amp;A84&amp;"^^/ s /io.in."&amp;B84&amp;".mute="&amp;E84&amp;",mode="&amp;F84&amp;",icon="&amp;G84&amp;",pol="&amp;H84&amp;",vph="&amp;I84&amp;",name="&amp;J84&amp;",col="&amp;K84&amp;","</f>
        <v>PASSTHROUGH|WING1^^/ s /io.in.B.3.mute=0,mode=M,icon=0,pol=0,vph=0,name=B.3,col=17,</v>
      </c>
    </row>
    <row r="85" spans="1:12" ht="15.75" x14ac:dyDescent="0.25">
      <c r="A85" s="1" t="s">
        <v>66</v>
      </c>
      <c r="B85" s="6" t="s">
        <v>125</v>
      </c>
      <c r="C85" s="12"/>
      <c r="D85" s="4"/>
      <c r="E85" s="4">
        <v>0</v>
      </c>
      <c r="F85" s="4" t="s">
        <v>71</v>
      </c>
      <c r="G85" s="4">
        <v>0</v>
      </c>
      <c r="H85" s="4">
        <v>0</v>
      </c>
      <c r="I85" s="4">
        <v>0</v>
      </c>
      <c r="J85" s="9" t="str">
        <f t="shared" si="1"/>
        <v>B.4</v>
      </c>
      <c r="K85" s="10">
        <f>IF(D85="",17,IF(C85="",17,_xlfn.XLOOKUP(D85,refs!$A$2:$A$21,refs!$B$2:$B$21,"")))</f>
        <v>17</v>
      </c>
      <c r="L85" t="str">
        <f>"PASSTHROUGH|"&amp;A85&amp;"^^/ s /io.in."&amp;B85&amp;".mute="&amp;E85&amp;",mode="&amp;F85&amp;",icon="&amp;G85&amp;",pol="&amp;H85&amp;",vph="&amp;I85&amp;",name="&amp;J85&amp;",col="&amp;K85&amp;","</f>
        <v>PASSTHROUGH|WING1^^/ s /io.in.B.4.mute=0,mode=M,icon=0,pol=0,vph=0,name=B.4,col=17,</v>
      </c>
    </row>
    <row r="86" spans="1:12" ht="15.75" x14ac:dyDescent="0.25">
      <c r="A86" s="1" t="s">
        <v>66</v>
      </c>
      <c r="B86" s="6" t="s">
        <v>126</v>
      </c>
      <c r="C86" s="12"/>
      <c r="D86" s="4"/>
      <c r="E86" s="4">
        <v>0</v>
      </c>
      <c r="F86" s="4" t="s">
        <v>71</v>
      </c>
      <c r="G86" s="4">
        <v>0</v>
      </c>
      <c r="H86" s="4">
        <v>0</v>
      </c>
      <c r="I86" s="4">
        <v>0</v>
      </c>
      <c r="J86" s="9" t="str">
        <f t="shared" si="1"/>
        <v>B.5</v>
      </c>
      <c r="K86" s="10">
        <f>IF(D86="",17,IF(C86="",17,_xlfn.XLOOKUP(D86,refs!$A$2:$A$21,refs!$B$2:$B$21,"")))</f>
        <v>17</v>
      </c>
      <c r="L86" t="str">
        <f>"PASSTHROUGH|"&amp;A86&amp;"^^/ s /io.in."&amp;B86&amp;".mute="&amp;E86&amp;",mode="&amp;F86&amp;",icon="&amp;G86&amp;",pol="&amp;H86&amp;",vph="&amp;I86&amp;",name="&amp;J86&amp;",col="&amp;K86&amp;","</f>
        <v>PASSTHROUGH|WING1^^/ s /io.in.B.5.mute=0,mode=M,icon=0,pol=0,vph=0,name=B.5,col=17,</v>
      </c>
    </row>
    <row r="87" spans="1:12" ht="15.75" x14ac:dyDescent="0.25">
      <c r="A87" s="1" t="s">
        <v>66</v>
      </c>
      <c r="B87" s="6" t="s">
        <v>127</v>
      </c>
      <c r="C87" s="12"/>
      <c r="D87" s="4"/>
      <c r="E87" s="4">
        <v>0</v>
      </c>
      <c r="F87" s="4" t="s">
        <v>71</v>
      </c>
      <c r="G87" s="4">
        <v>0</v>
      </c>
      <c r="H87" s="4">
        <v>0</v>
      </c>
      <c r="I87" s="4">
        <v>0</v>
      </c>
      <c r="J87" s="9" t="str">
        <f t="shared" si="1"/>
        <v>B.6</v>
      </c>
      <c r="K87" s="10">
        <f>IF(D87="",17,IF(C87="",17,_xlfn.XLOOKUP(D87,refs!$A$2:$A$21,refs!$B$2:$B$21,"")))</f>
        <v>17</v>
      </c>
      <c r="L87" t="str">
        <f>"PASSTHROUGH|"&amp;A87&amp;"^^/ s /io.in."&amp;B87&amp;".mute="&amp;E87&amp;",mode="&amp;F87&amp;",icon="&amp;G87&amp;",pol="&amp;H87&amp;",vph="&amp;I87&amp;",name="&amp;J87&amp;",col="&amp;K87&amp;","</f>
        <v>PASSTHROUGH|WING1^^/ s /io.in.B.6.mute=0,mode=M,icon=0,pol=0,vph=0,name=B.6,col=17,</v>
      </c>
    </row>
    <row r="88" spans="1:12" ht="15.75" x14ac:dyDescent="0.25">
      <c r="A88" s="1" t="s">
        <v>66</v>
      </c>
      <c r="B88" s="6" t="s">
        <v>128</v>
      </c>
      <c r="C88" s="12"/>
      <c r="D88" s="4"/>
      <c r="E88" s="4">
        <v>0</v>
      </c>
      <c r="F88" s="4" t="s">
        <v>71</v>
      </c>
      <c r="G88" s="4">
        <v>0</v>
      </c>
      <c r="H88" s="4">
        <v>0</v>
      </c>
      <c r="I88" s="4">
        <v>0</v>
      </c>
      <c r="J88" s="9" t="str">
        <f t="shared" si="1"/>
        <v>B.7</v>
      </c>
      <c r="K88" s="10">
        <f>IF(D88="",17,IF(C88="",17,_xlfn.XLOOKUP(D88,refs!$A$2:$A$21,refs!$B$2:$B$21,"")))</f>
        <v>17</v>
      </c>
      <c r="L88" t="str">
        <f>"PASSTHROUGH|"&amp;A88&amp;"^^/ s /io.in."&amp;B88&amp;".mute="&amp;E88&amp;",mode="&amp;F88&amp;",icon="&amp;G88&amp;",pol="&amp;H88&amp;",vph="&amp;I88&amp;",name="&amp;J88&amp;",col="&amp;K88&amp;","</f>
        <v>PASSTHROUGH|WING1^^/ s /io.in.B.7.mute=0,mode=M,icon=0,pol=0,vph=0,name=B.7,col=17,</v>
      </c>
    </row>
    <row r="89" spans="1:12" ht="15.75" x14ac:dyDescent="0.25">
      <c r="A89" s="1" t="s">
        <v>66</v>
      </c>
      <c r="B89" s="6" t="s">
        <v>129</v>
      </c>
      <c r="C89" s="12"/>
      <c r="D89" s="4"/>
      <c r="E89" s="4">
        <v>0</v>
      </c>
      <c r="F89" s="4" t="s">
        <v>71</v>
      </c>
      <c r="G89" s="4">
        <v>0</v>
      </c>
      <c r="H89" s="4">
        <v>0</v>
      </c>
      <c r="I89" s="4">
        <v>0</v>
      </c>
      <c r="J89" s="9" t="str">
        <f t="shared" si="1"/>
        <v>B.8</v>
      </c>
      <c r="K89" s="10">
        <f>IF(D89="",17,IF(C89="",17,_xlfn.XLOOKUP(D89,refs!$A$2:$A$21,refs!$B$2:$B$21,"")))</f>
        <v>17</v>
      </c>
      <c r="L89" t="str">
        <f>"PASSTHROUGH|"&amp;A89&amp;"^^/ s /io.in."&amp;B89&amp;".mute="&amp;E89&amp;",mode="&amp;F89&amp;",icon="&amp;G89&amp;",pol="&amp;H89&amp;",vph="&amp;I89&amp;",name="&amp;J89&amp;",col="&amp;K89&amp;","</f>
        <v>PASSTHROUGH|WING1^^/ s /io.in.B.8.mute=0,mode=M,icon=0,pol=0,vph=0,name=B.8,col=17,</v>
      </c>
    </row>
    <row r="90" spans="1:12" ht="15.75" x14ac:dyDescent="0.25">
      <c r="A90" s="1" t="s">
        <v>66</v>
      </c>
      <c r="B90" s="6" t="s">
        <v>130</v>
      </c>
      <c r="C90" s="12"/>
      <c r="D90" s="4"/>
      <c r="E90" s="4">
        <v>0</v>
      </c>
      <c r="F90" s="4" t="s">
        <v>71</v>
      </c>
      <c r="G90" s="4">
        <v>0</v>
      </c>
      <c r="H90" s="4">
        <v>0</v>
      </c>
      <c r="I90" s="4">
        <v>0</v>
      </c>
      <c r="J90" s="9" t="str">
        <f t="shared" si="1"/>
        <v>B.9</v>
      </c>
      <c r="K90" s="10">
        <f>IF(D90="",17,IF(C90="",17,_xlfn.XLOOKUP(D90,refs!$A$2:$A$21,refs!$B$2:$B$21,"")))</f>
        <v>17</v>
      </c>
      <c r="L90" t="str">
        <f>"PASSTHROUGH|"&amp;A90&amp;"^^/ s /io.in."&amp;B90&amp;".mute="&amp;E90&amp;",mode="&amp;F90&amp;",icon="&amp;G90&amp;",pol="&amp;H90&amp;",vph="&amp;I90&amp;",name="&amp;J90&amp;",col="&amp;K90&amp;","</f>
        <v>PASSTHROUGH|WING1^^/ s /io.in.B.9.mute=0,mode=M,icon=0,pol=0,vph=0,name=B.9,col=17,</v>
      </c>
    </row>
    <row r="91" spans="1:12" ht="15.75" x14ac:dyDescent="0.25">
      <c r="A91" s="1" t="s">
        <v>66</v>
      </c>
      <c r="B91" s="6" t="s">
        <v>131</v>
      </c>
      <c r="C91" s="12"/>
      <c r="D91" s="4"/>
      <c r="E91" s="4">
        <v>0</v>
      </c>
      <c r="F91" s="4" t="s">
        <v>71</v>
      </c>
      <c r="G91" s="4">
        <v>0</v>
      </c>
      <c r="H91" s="4">
        <v>0</v>
      </c>
      <c r="I91" s="4">
        <v>0</v>
      </c>
      <c r="J91" s="9" t="str">
        <f t="shared" si="1"/>
        <v>B.10</v>
      </c>
      <c r="K91" s="10">
        <f>IF(D91="",17,IF(C91="",17,_xlfn.XLOOKUP(D91,refs!$A$2:$A$21,refs!$B$2:$B$21,"")))</f>
        <v>17</v>
      </c>
      <c r="L91" t="str">
        <f>"PASSTHROUGH|"&amp;A91&amp;"^^/ s /io.in."&amp;B91&amp;".mute="&amp;E91&amp;",mode="&amp;F91&amp;",icon="&amp;G91&amp;",pol="&amp;H91&amp;",vph="&amp;I91&amp;",name="&amp;J91&amp;",col="&amp;K91&amp;","</f>
        <v>PASSTHROUGH|WING1^^/ s /io.in.B.10.mute=0,mode=M,icon=0,pol=0,vph=0,name=B.10,col=17,</v>
      </c>
    </row>
    <row r="92" spans="1:12" ht="15.75" x14ac:dyDescent="0.25">
      <c r="A92" s="1" t="s">
        <v>66</v>
      </c>
      <c r="B92" s="6" t="s">
        <v>132</v>
      </c>
      <c r="C92" s="12"/>
      <c r="D92" s="4"/>
      <c r="E92" s="4">
        <v>0</v>
      </c>
      <c r="F92" s="4" t="s">
        <v>71</v>
      </c>
      <c r="G92" s="4">
        <v>0</v>
      </c>
      <c r="H92" s="4">
        <v>0</v>
      </c>
      <c r="I92" s="4">
        <v>0</v>
      </c>
      <c r="J92" s="9" t="str">
        <f t="shared" si="1"/>
        <v>B.11</v>
      </c>
      <c r="K92" s="10">
        <f>IF(D92="",17,IF(C92="",17,_xlfn.XLOOKUP(D92,refs!$A$2:$A$21,refs!$B$2:$B$21,"")))</f>
        <v>17</v>
      </c>
      <c r="L92" t="str">
        <f>"PASSTHROUGH|"&amp;A92&amp;"^^/ s /io.in."&amp;B92&amp;".mute="&amp;E92&amp;",mode="&amp;F92&amp;",icon="&amp;G92&amp;",pol="&amp;H92&amp;",vph="&amp;I92&amp;",name="&amp;J92&amp;",col="&amp;K92&amp;","</f>
        <v>PASSTHROUGH|WING1^^/ s /io.in.B.11.mute=0,mode=M,icon=0,pol=0,vph=0,name=B.11,col=17,</v>
      </c>
    </row>
    <row r="93" spans="1:12" ht="15.75" x14ac:dyDescent="0.25">
      <c r="A93" s="1" t="s">
        <v>66</v>
      </c>
      <c r="B93" s="6" t="s">
        <v>133</v>
      </c>
      <c r="C93" s="12"/>
      <c r="D93" s="4"/>
      <c r="E93" s="4">
        <v>0</v>
      </c>
      <c r="F93" s="4" t="s">
        <v>71</v>
      </c>
      <c r="G93" s="4">
        <v>0</v>
      </c>
      <c r="H93" s="4">
        <v>0</v>
      </c>
      <c r="I93" s="4">
        <v>0</v>
      </c>
      <c r="J93" s="9" t="str">
        <f t="shared" si="1"/>
        <v>B.12</v>
      </c>
      <c r="K93" s="10">
        <f>IF(D93="",17,IF(C93="",17,_xlfn.XLOOKUP(D93,refs!$A$2:$A$21,refs!$B$2:$B$21,"")))</f>
        <v>17</v>
      </c>
      <c r="L93" t="str">
        <f>"PASSTHROUGH|"&amp;A93&amp;"^^/ s /io.in."&amp;B93&amp;".mute="&amp;E93&amp;",mode="&amp;F93&amp;",icon="&amp;G93&amp;",pol="&amp;H93&amp;",vph="&amp;I93&amp;",name="&amp;J93&amp;",col="&amp;K93&amp;","</f>
        <v>PASSTHROUGH|WING1^^/ s /io.in.B.12.mute=0,mode=M,icon=0,pol=0,vph=0,name=B.12,col=17,</v>
      </c>
    </row>
    <row r="94" spans="1:12" ht="15.75" x14ac:dyDescent="0.25">
      <c r="A94" s="1" t="s">
        <v>66</v>
      </c>
      <c r="B94" s="6" t="s">
        <v>134</v>
      </c>
      <c r="C94" s="12"/>
      <c r="D94" s="4"/>
      <c r="E94" s="4">
        <v>0</v>
      </c>
      <c r="F94" s="4" t="s">
        <v>71</v>
      </c>
      <c r="G94" s="4">
        <v>0</v>
      </c>
      <c r="H94" s="4">
        <v>0</v>
      </c>
      <c r="I94" s="4">
        <v>0</v>
      </c>
      <c r="J94" s="9" t="str">
        <f t="shared" si="1"/>
        <v>B.13</v>
      </c>
      <c r="K94" s="10">
        <f>IF(D94="",17,IF(C94="",17,_xlfn.XLOOKUP(D94,refs!$A$2:$A$21,refs!$B$2:$B$21,"")))</f>
        <v>17</v>
      </c>
      <c r="L94" t="str">
        <f>"PASSTHROUGH|"&amp;A94&amp;"^^/ s /io.in."&amp;B94&amp;".mute="&amp;E94&amp;",mode="&amp;F94&amp;",icon="&amp;G94&amp;",pol="&amp;H94&amp;",vph="&amp;I94&amp;",name="&amp;J94&amp;",col="&amp;K94&amp;","</f>
        <v>PASSTHROUGH|WING1^^/ s /io.in.B.13.mute=0,mode=M,icon=0,pol=0,vph=0,name=B.13,col=17,</v>
      </c>
    </row>
    <row r="95" spans="1:12" ht="15.75" x14ac:dyDescent="0.25">
      <c r="A95" s="1" t="s">
        <v>66</v>
      </c>
      <c r="B95" s="6" t="s">
        <v>135</v>
      </c>
      <c r="C95" s="12"/>
      <c r="D95" s="4"/>
      <c r="E95" s="4">
        <v>0</v>
      </c>
      <c r="F95" s="4" t="s">
        <v>71</v>
      </c>
      <c r="G95" s="4">
        <v>0</v>
      </c>
      <c r="H95" s="4">
        <v>0</v>
      </c>
      <c r="I95" s="4">
        <v>0</v>
      </c>
      <c r="J95" s="9" t="str">
        <f t="shared" si="1"/>
        <v>B.14</v>
      </c>
      <c r="K95" s="10">
        <f>IF(D95="",17,IF(C95="",17,_xlfn.XLOOKUP(D95,refs!$A$2:$A$21,refs!$B$2:$B$21,"")))</f>
        <v>17</v>
      </c>
      <c r="L95" t="str">
        <f>"PASSTHROUGH|"&amp;A95&amp;"^^/ s /io.in."&amp;B95&amp;".mute="&amp;E95&amp;",mode="&amp;F95&amp;",icon="&amp;G95&amp;",pol="&amp;H95&amp;",vph="&amp;I95&amp;",name="&amp;J95&amp;",col="&amp;K95&amp;","</f>
        <v>PASSTHROUGH|WING1^^/ s /io.in.B.14.mute=0,mode=M,icon=0,pol=0,vph=0,name=B.14,col=17,</v>
      </c>
    </row>
    <row r="96" spans="1:12" ht="15.75" x14ac:dyDescent="0.25">
      <c r="A96" s="1" t="s">
        <v>66</v>
      </c>
      <c r="B96" s="6" t="s">
        <v>136</v>
      </c>
      <c r="C96" s="12"/>
      <c r="D96" s="4"/>
      <c r="E96" s="4">
        <v>0</v>
      </c>
      <c r="F96" s="4" t="s">
        <v>71</v>
      </c>
      <c r="G96" s="4">
        <v>0</v>
      </c>
      <c r="H96" s="4">
        <v>0</v>
      </c>
      <c r="I96" s="4">
        <v>0</v>
      </c>
      <c r="J96" s="9" t="str">
        <f t="shared" si="1"/>
        <v>B.15</v>
      </c>
      <c r="K96" s="10">
        <f>IF(D96="",17,IF(C96="",17,_xlfn.XLOOKUP(D96,refs!$A$2:$A$21,refs!$B$2:$B$21,"")))</f>
        <v>17</v>
      </c>
      <c r="L96" t="str">
        <f>"PASSTHROUGH|"&amp;A96&amp;"^^/ s /io.in."&amp;B96&amp;".mute="&amp;E96&amp;",mode="&amp;F96&amp;",icon="&amp;G96&amp;",pol="&amp;H96&amp;",vph="&amp;I96&amp;",name="&amp;J96&amp;",col="&amp;K96&amp;","</f>
        <v>PASSTHROUGH|WING1^^/ s /io.in.B.15.mute=0,mode=M,icon=0,pol=0,vph=0,name=B.15,col=17,</v>
      </c>
    </row>
    <row r="97" spans="1:12" ht="15.75" x14ac:dyDescent="0.25">
      <c r="A97" s="1" t="s">
        <v>66</v>
      </c>
      <c r="B97" s="6" t="s">
        <v>137</v>
      </c>
      <c r="C97" s="12"/>
      <c r="D97" s="4"/>
      <c r="E97" s="4">
        <v>0</v>
      </c>
      <c r="F97" s="4" t="s">
        <v>71</v>
      </c>
      <c r="G97" s="4">
        <v>0</v>
      </c>
      <c r="H97" s="4">
        <v>0</v>
      </c>
      <c r="I97" s="4">
        <v>0</v>
      </c>
      <c r="J97" s="9" t="str">
        <f t="shared" si="1"/>
        <v>B.16</v>
      </c>
      <c r="K97" s="10">
        <f>IF(D97="",17,IF(C97="",17,_xlfn.XLOOKUP(D97,refs!$A$2:$A$21,refs!$B$2:$B$21,"")))</f>
        <v>17</v>
      </c>
      <c r="L97" t="str">
        <f>"PASSTHROUGH|"&amp;A97&amp;"^^/ s /io.in."&amp;B97&amp;".mute="&amp;E97&amp;",mode="&amp;F97&amp;",icon="&amp;G97&amp;",pol="&amp;H97&amp;",vph="&amp;I97&amp;",name="&amp;J97&amp;",col="&amp;K97&amp;","</f>
        <v>PASSTHROUGH|WING1^^/ s /io.in.B.16.mute=0,mode=M,icon=0,pol=0,vph=0,name=B.16,col=17,</v>
      </c>
    </row>
    <row r="98" spans="1:12" ht="15.75" x14ac:dyDescent="0.25">
      <c r="A98" s="1" t="s">
        <v>66</v>
      </c>
      <c r="B98" s="6" t="s">
        <v>138</v>
      </c>
      <c r="C98" s="12"/>
      <c r="D98" s="4"/>
      <c r="E98" s="4">
        <v>0</v>
      </c>
      <c r="F98" s="4" t="s">
        <v>71</v>
      </c>
      <c r="G98" s="4">
        <v>0</v>
      </c>
      <c r="H98" s="4">
        <v>0</v>
      </c>
      <c r="I98" s="4">
        <v>0</v>
      </c>
      <c r="J98" s="9" t="str">
        <f t="shared" si="1"/>
        <v>B.17</v>
      </c>
      <c r="K98" s="10">
        <f>IF(D98="",17,IF(C98="",17,_xlfn.XLOOKUP(D98,refs!$A$2:$A$21,refs!$B$2:$B$21,"")))</f>
        <v>17</v>
      </c>
      <c r="L98" t="str">
        <f>"PASSTHROUGH|"&amp;A98&amp;"^^/ s /io.in."&amp;B98&amp;".mute="&amp;E98&amp;",mode="&amp;F98&amp;",icon="&amp;G98&amp;",pol="&amp;H98&amp;",vph="&amp;I98&amp;",name="&amp;J98&amp;",col="&amp;K98&amp;","</f>
        <v>PASSTHROUGH|WING1^^/ s /io.in.B.17.mute=0,mode=M,icon=0,pol=0,vph=0,name=B.17,col=17,</v>
      </c>
    </row>
    <row r="99" spans="1:12" ht="15.75" x14ac:dyDescent="0.25">
      <c r="A99" s="1" t="s">
        <v>66</v>
      </c>
      <c r="B99" s="6" t="s">
        <v>139</v>
      </c>
      <c r="C99" s="12"/>
      <c r="D99" s="4"/>
      <c r="E99" s="4">
        <v>0</v>
      </c>
      <c r="F99" s="4" t="s">
        <v>71</v>
      </c>
      <c r="G99" s="4">
        <v>0</v>
      </c>
      <c r="H99" s="4">
        <v>0</v>
      </c>
      <c r="I99" s="4">
        <v>0</v>
      </c>
      <c r="J99" s="9" t="str">
        <f t="shared" si="1"/>
        <v>B.18</v>
      </c>
      <c r="K99" s="10">
        <f>IF(D99="",17,IF(C99="",17,_xlfn.XLOOKUP(D99,refs!$A$2:$A$21,refs!$B$2:$B$21,"")))</f>
        <v>17</v>
      </c>
      <c r="L99" t="str">
        <f>"PASSTHROUGH|"&amp;A99&amp;"^^/ s /io.in."&amp;B99&amp;".mute="&amp;E99&amp;",mode="&amp;F99&amp;",icon="&amp;G99&amp;",pol="&amp;H99&amp;",vph="&amp;I99&amp;",name="&amp;J99&amp;",col="&amp;K99&amp;","</f>
        <v>PASSTHROUGH|WING1^^/ s /io.in.B.18.mute=0,mode=M,icon=0,pol=0,vph=0,name=B.18,col=17,</v>
      </c>
    </row>
    <row r="100" spans="1:12" ht="15.75" x14ac:dyDescent="0.25">
      <c r="A100" s="1" t="s">
        <v>66</v>
      </c>
      <c r="B100" s="6" t="s">
        <v>140</v>
      </c>
      <c r="C100" s="12"/>
      <c r="D100" s="4"/>
      <c r="E100" s="4">
        <v>0</v>
      </c>
      <c r="F100" s="4" t="s">
        <v>71</v>
      </c>
      <c r="G100" s="4">
        <v>0</v>
      </c>
      <c r="H100" s="4">
        <v>0</v>
      </c>
      <c r="I100" s="4">
        <v>0</v>
      </c>
      <c r="J100" s="9" t="str">
        <f t="shared" si="1"/>
        <v>B.19</v>
      </c>
      <c r="K100" s="10">
        <f>IF(D100="",17,IF(C100="",17,_xlfn.XLOOKUP(D100,refs!$A$2:$A$21,refs!$B$2:$B$21,"")))</f>
        <v>17</v>
      </c>
      <c r="L100" t="str">
        <f>"PASSTHROUGH|"&amp;A100&amp;"^^/ s /io.in."&amp;B100&amp;".mute="&amp;E100&amp;",mode="&amp;F100&amp;",icon="&amp;G100&amp;",pol="&amp;H100&amp;",vph="&amp;I100&amp;",name="&amp;J100&amp;",col="&amp;K100&amp;","</f>
        <v>PASSTHROUGH|WING1^^/ s /io.in.B.19.mute=0,mode=M,icon=0,pol=0,vph=0,name=B.19,col=17,</v>
      </c>
    </row>
    <row r="101" spans="1:12" ht="15.75" x14ac:dyDescent="0.25">
      <c r="A101" s="1" t="s">
        <v>66</v>
      </c>
      <c r="B101" s="6" t="s">
        <v>141</v>
      </c>
      <c r="C101" s="12"/>
      <c r="D101" s="4"/>
      <c r="E101" s="4">
        <v>0</v>
      </c>
      <c r="F101" s="4" t="s">
        <v>71</v>
      </c>
      <c r="G101" s="4">
        <v>0</v>
      </c>
      <c r="H101" s="4">
        <v>0</v>
      </c>
      <c r="I101" s="4">
        <v>0</v>
      </c>
      <c r="J101" s="9" t="str">
        <f t="shared" si="1"/>
        <v>B.20</v>
      </c>
      <c r="K101" s="10">
        <f>IF(D101="",17,IF(C101="",17,_xlfn.XLOOKUP(D101,refs!$A$2:$A$21,refs!$B$2:$B$21,"")))</f>
        <v>17</v>
      </c>
      <c r="L101" t="str">
        <f>"PASSTHROUGH|"&amp;A101&amp;"^^/ s /io.in."&amp;B101&amp;".mute="&amp;E101&amp;",mode="&amp;F101&amp;",icon="&amp;G101&amp;",pol="&amp;H101&amp;",vph="&amp;I101&amp;",name="&amp;J101&amp;",col="&amp;K101&amp;","</f>
        <v>PASSTHROUGH|WING1^^/ s /io.in.B.20.mute=0,mode=M,icon=0,pol=0,vph=0,name=B.20,col=17,</v>
      </c>
    </row>
    <row r="102" spans="1:12" ht="15.75" x14ac:dyDescent="0.25">
      <c r="A102" s="1" t="s">
        <v>66</v>
      </c>
      <c r="B102" s="6" t="s">
        <v>142</v>
      </c>
      <c r="C102" s="12"/>
      <c r="D102" s="4"/>
      <c r="E102" s="4">
        <v>0</v>
      </c>
      <c r="F102" s="4" t="s">
        <v>71</v>
      </c>
      <c r="G102" s="4">
        <v>0</v>
      </c>
      <c r="H102" s="4">
        <v>0</v>
      </c>
      <c r="I102" s="4">
        <v>0</v>
      </c>
      <c r="J102" s="9" t="str">
        <f t="shared" si="1"/>
        <v>B.21</v>
      </c>
      <c r="K102" s="10">
        <f>IF(D102="",17,IF(C102="",17,_xlfn.XLOOKUP(D102,refs!$A$2:$A$21,refs!$B$2:$B$21,"")))</f>
        <v>17</v>
      </c>
      <c r="L102" t="str">
        <f>"PASSTHROUGH|"&amp;A102&amp;"^^/ s /io.in."&amp;B102&amp;".mute="&amp;E102&amp;",mode="&amp;F102&amp;",icon="&amp;G102&amp;",pol="&amp;H102&amp;",vph="&amp;I102&amp;",name="&amp;J102&amp;",col="&amp;K102&amp;","</f>
        <v>PASSTHROUGH|WING1^^/ s /io.in.B.21.mute=0,mode=M,icon=0,pol=0,vph=0,name=B.21,col=17,</v>
      </c>
    </row>
    <row r="103" spans="1:12" ht="15.75" x14ac:dyDescent="0.25">
      <c r="A103" s="1" t="s">
        <v>66</v>
      </c>
      <c r="B103" s="6" t="s">
        <v>143</v>
      </c>
      <c r="C103" s="12"/>
      <c r="D103" s="4"/>
      <c r="E103" s="4">
        <v>0</v>
      </c>
      <c r="F103" s="4" t="s">
        <v>71</v>
      </c>
      <c r="G103" s="4">
        <v>0</v>
      </c>
      <c r="H103" s="4">
        <v>0</v>
      </c>
      <c r="I103" s="4">
        <v>0</v>
      </c>
      <c r="J103" s="9" t="str">
        <f t="shared" si="1"/>
        <v>B.22</v>
      </c>
      <c r="K103" s="10">
        <f>IF(D103="",17,IF(C103="",17,_xlfn.XLOOKUP(D103,refs!$A$2:$A$21,refs!$B$2:$B$21,"")))</f>
        <v>17</v>
      </c>
      <c r="L103" t="str">
        <f>"PASSTHROUGH|"&amp;A103&amp;"^^/ s /io.in."&amp;B103&amp;".mute="&amp;E103&amp;",mode="&amp;F103&amp;",icon="&amp;G103&amp;",pol="&amp;H103&amp;",vph="&amp;I103&amp;",name="&amp;J103&amp;",col="&amp;K103&amp;","</f>
        <v>PASSTHROUGH|WING1^^/ s /io.in.B.22.mute=0,mode=M,icon=0,pol=0,vph=0,name=B.22,col=17,</v>
      </c>
    </row>
    <row r="104" spans="1:12" ht="15.75" x14ac:dyDescent="0.25">
      <c r="A104" s="1" t="s">
        <v>66</v>
      </c>
      <c r="B104" s="6" t="s">
        <v>144</v>
      </c>
      <c r="C104" s="12"/>
      <c r="D104" s="4"/>
      <c r="E104" s="4">
        <v>0</v>
      </c>
      <c r="F104" s="4" t="s">
        <v>71</v>
      </c>
      <c r="G104" s="4">
        <v>0</v>
      </c>
      <c r="H104" s="4">
        <v>0</v>
      </c>
      <c r="I104" s="4">
        <v>0</v>
      </c>
      <c r="J104" s="9" t="str">
        <f t="shared" si="1"/>
        <v>B.23</v>
      </c>
      <c r="K104" s="10">
        <f>IF(D104="",17,IF(C104="",17,_xlfn.XLOOKUP(D104,refs!$A$2:$A$21,refs!$B$2:$B$21,"")))</f>
        <v>17</v>
      </c>
      <c r="L104" t="str">
        <f>"PASSTHROUGH|"&amp;A104&amp;"^^/ s /io.in."&amp;B104&amp;".mute="&amp;E104&amp;",mode="&amp;F104&amp;",icon="&amp;G104&amp;",pol="&amp;H104&amp;",vph="&amp;I104&amp;",name="&amp;J104&amp;",col="&amp;K104&amp;","</f>
        <v>PASSTHROUGH|WING1^^/ s /io.in.B.23.mute=0,mode=M,icon=0,pol=0,vph=0,name=B.23,col=17,</v>
      </c>
    </row>
    <row r="105" spans="1:12" ht="15.75" x14ac:dyDescent="0.25">
      <c r="A105" s="1" t="s">
        <v>66</v>
      </c>
      <c r="B105" s="6" t="s">
        <v>145</v>
      </c>
      <c r="C105" s="12"/>
      <c r="D105" s="4"/>
      <c r="E105" s="4">
        <v>0</v>
      </c>
      <c r="F105" s="4" t="s">
        <v>71</v>
      </c>
      <c r="G105" s="4">
        <v>0</v>
      </c>
      <c r="H105" s="4">
        <v>0</v>
      </c>
      <c r="I105" s="4">
        <v>0</v>
      </c>
      <c r="J105" s="9" t="str">
        <f t="shared" si="1"/>
        <v>B.24</v>
      </c>
      <c r="K105" s="10">
        <f>IF(D105="",17,IF(C105="",17,_xlfn.XLOOKUP(D105,refs!$A$2:$A$21,refs!$B$2:$B$21,"")))</f>
        <v>17</v>
      </c>
      <c r="L105" t="str">
        <f>"PASSTHROUGH|"&amp;A105&amp;"^^/ s /io.in."&amp;B105&amp;".mute="&amp;E105&amp;",mode="&amp;F105&amp;",icon="&amp;G105&amp;",pol="&amp;H105&amp;",vph="&amp;I105&amp;",name="&amp;J105&amp;",col="&amp;K105&amp;","</f>
        <v>PASSTHROUGH|WING1^^/ s /io.in.B.24.mute=0,mode=M,icon=0,pol=0,vph=0,name=B.24,col=17,</v>
      </c>
    </row>
    <row r="106" spans="1:12" ht="15.75" x14ac:dyDescent="0.25">
      <c r="A106" s="1" t="s">
        <v>66</v>
      </c>
      <c r="B106" s="6" t="s">
        <v>146</v>
      </c>
      <c r="C106" s="12"/>
      <c r="D106" s="4"/>
      <c r="E106" s="4">
        <v>0</v>
      </c>
      <c r="F106" s="4" t="s">
        <v>71</v>
      </c>
      <c r="G106" s="4">
        <v>0</v>
      </c>
      <c r="H106" s="4">
        <v>0</v>
      </c>
      <c r="I106" s="4">
        <v>0</v>
      </c>
      <c r="J106" s="9" t="str">
        <f t="shared" si="1"/>
        <v>B.25</v>
      </c>
      <c r="K106" s="10">
        <f>IF(D106="",17,IF(C106="",17,_xlfn.XLOOKUP(D106,refs!$A$2:$A$21,refs!$B$2:$B$21,"")))</f>
        <v>17</v>
      </c>
      <c r="L106" t="str">
        <f>"PASSTHROUGH|"&amp;A106&amp;"^^/ s /io.in."&amp;B106&amp;".mute="&amp;E106&amp;",mode="&amp;F106&amp;",icon="&amp;G106&amp;",pol="&amp;H106&amp;",vph="&amp;I106&amp;",name="&amp;J106&amp;",col="&amp;K106&amp;","</f>
        <v>PASSTHROUGH|WING1^^/ s /io.in.B.25.mute=0,mode=M,icon=0,pol=0,vph=0,name=B.25,col=17,</v>
      </c>
    </row>
    <row r="107" spans="1:12" ht="15.75" x14ac:dyDescent="0.25">
      <c r="A107" s="1" t="s">
        <v>66</v>
      </c>
      <c r="B107" s="6" t="s">
        <v>147</v>
      </c>
      <c r="C107" s="12"/>
      <c r="D107" s="4"/>
      <c r="E107" s="4">
        <v>0</v>
      </c>
      <c r="F107" s="4" t="s">
        <v>71</v>
      </c>
      <c r="G107" s="4">
        <v>0</v>
      </c>
      <c r="H107" s="4">
        <v>0</v>
      </c>
      <c r="I107" s="4">
        <v>0</v>
      </c>
      <c r="J107" s="9" t="str">
        <f t="shared" si="1"/>
        <v>B.26</v>
      </c>
      <c r="K107" s="10">
        <f>IF(D107="",17,IF(C107="",17,_xlfn.XLOOKUP(D107,refs!$A$2:$A$21,refs!$B$2:$B$21,"")))</f>
        <v>17</v>
      </c>
      <c r="L107" t="str">
        <f>"PASSTHROUGH|"&amp;A107&amp;"^^/ s /io.in."&amp;B107&amp;".mute="&amp;E107&amp;",mode="&amp;F107&amp;",icon="&amp;G107&amp;",pol="&amp;H107&amp;",vph="&amp;I107&amp;",name="&amp;J107&amp;",col="&amp;K107&amp;","</f>
        <v>PASSTHROUGH|WING1^^/ s /io.in.B.26.mute=0,mode=M,icon=0,pol=0,vph=0,name=B.26,col=17,</v>
      </c>
    </row>
    <row r="108" spans="1:12" ht="15.75" x14ac:dyDescent="0.25">
      <c r="A108" s="1" t="s">
        <v>66</v>
      </c>
      <c r="B108" s="6" t="s">
        <v>148</v>
      </c>
      <c r="C108" s="12"/>
      <c r="D108" s="4"/>
      <c r="E108" s="4">
        <v>0</v>
      </c>
      <c r="F108" s="4" t="s">
        <v>71</v>
      </c>
      <c r="G108" s="4">
        <v>0</v>
      </c>
      <c r="H108" s="4">
        <v>0</v>
      </c>
      <c r="I108" s="4">
        <v>0</v>
      </c>
      <c r="J108" s="9" t="str">
        <f t="shared" si="1"/>
        <v>B.27</v>
      </c>
      <c r="K108" s="10">
        <f>IF(D108="",17,IF(C108="",17,_xlfn.XLOOKUP(D108,refs!$A$2:$A$21,refs!$B$2:$B$21,"")))</f>
        <v>17</v>
      </c>
      <c r="L108" t="str">
        <f>"PASSTHROUGH|"&amp;A108&amp;"^^/ s /io.in."&amp;B108&amp;".mute="&amp;E108&amp;",mode="&amp;F108&amp;",icon="&amp;G108&amp;",pol="&amp;H108&amp;",vph="&amp;I108&amp;",name="&amp;J108&amp;",col="&amp;K108&amp;","</f>
        <v>PASSTHROUGH|WING1^^/ s /io.in.B.27.mute=0,mode=M,icon=0,pol=0,vph=0,name=B.27,col=17,</v>
      </c>
    </row>
    <row r="109" spans="1:12" ht="15.75" x14ac:dyDescent="0.25">
      <c r="A109" s="1" t="s">
        <v>66</v>
      </c>
      <c r="B109" s="6" t="s">
        <v>149</v>
      </c>
      <c r="C109" s="12"/>
      <c r="D109" s="4"/>
      <c r="E109" s="4">
        <v>0</v>
      </c>
      <c r="F109" s="4" t="s">
        <v>71</v>
      </c>
      <c r="G109" s="4">
        <v>0</v>
      </c>
      <c r="H109" s="4">
        <v>0</v>
      </c>
      <c r="I109" s="4">
        <v>0</v>
      </c>
      <c r="J109" s="9" t="str">
        <f t="shared" si="1"/>
        <v>B.28</v>
      </c>
      <c r="K109" s="10">
        <f>IF(D109="",17,IF(C109="",17,_xlfn.XLOOKUP(D109,refs!$A$2:$A$21,refs!$B$2:$B$21,"")))</f>
        <v>17</v>
      </c>
      <c r="L109" t="str">
        <f>"PASSTHROUGH|"&amp;A109&amp;"^^/ s /io.in."&amp;B109&amp;".mute="&amp;E109&amp;",mode="&amp;F109&amp;",icon="&amp;G109&amp;",pol="&amp;H109&amp;",vph="&amp;I109&amp;",name="&amp;J109&amp;",col="&amp;K109&amp;","</f>
        <v>PASSTHROUGH|WING1^^/ s /io.in.B.28.mute=0,mode=M,icon=0,pol=0,vph=0,name=B.28,col=17,</v>
      </c>
    </row>
    <row r="110" spans="1:12" ht="15.75" x14ac:dyDescent="0.25">
      <c r="A110" s="1" t="s">
        <v>66</v>
      </c>
      <c r="B110" s="6" t="s">
        <v>150</v>
      </c>
      <c r="C110" s="12"/>
      <c r="D110" s="4"/>
      <c r="E110" s="4">
        <v>0</v>
      </c>
      <c r="F110" s="4" t="s">
        <v>71</v>
      </c>
      <c r="G110" s="4">
        <v>0</v>
      </c>
      <c r="H110" s="4">
        <v>0</v>
      </c>
      <c r="I110" s="4">
        <v>0</v>
      </c>
      <c r="J110" s="9" t="str">
        <f t="shared" si="1"/>
        <v>B.29</v>
      </c>
      <c r="K110" s="10">
        <f>IF(D110="",17,IF(C110="",17,_xlfn.XLOOKUP(D110,refs!$A$2:$A$21,refs!$B$2:$B$21,"")))</f>
        <v>17</v>
      </c>
      <c r="L110" t="str">
        <f>"PASSTHROUGH|"&amp;A110&amp;"^^/ s /io.in."&amp;B110&amp;".mute="&amp;E110&amp;",mode="&amp;F110&amp;",icon="&amp;G110&amp;",pol="&amp;H110&amp;",vph="&amp;I110&amp;",name="&amp;J110&amp;",col="&amp;K110&amp;","</f>
        <v>PASSTHROUGH|WING1^^/ s /io.in.B.29.mute=0,mode=M,icon=0,pol=0,vph=0,name=B.29,col=17,</v>
      </c>
    </row>
    <row r="111" spans="1:12" ht="15.75" x14ac:dyDescent="0.25">
      <c r="A111" s="1" t="s">
        <v>66</v>
      </c>
      <c r="B111" s="6" t="s">
        <v>151</v>
      </c>
      <c r="C111" s="12"/>
      <c r="D111" s="4"/>
      <c r="E111" s="4">
        <v>0</v>
      </c>
      <c r="F111" s="4" t="s">
        <v>71</v>
      </c>
      <c r="G111" s="4">
        <v>0</v>
      </c>
      <c r="H111" s="4">
        <v>0</v>
      </c>
      <c r="I111" s="4">
        <v>0</v>
      </c>
      <c r="J111" s="9" t="str">
        <f t="shared" si="1"/>
        <v>B.30</v>
      </c>
      <c r="K111" s="10">
        <f>IF(D111="",17,IF(C111="",17,_xlfn.XLOOKUP(D111,refs!$A$2:$A$21,refs!$B$2:$B$21,"")))</f>
        <v>17</v>
      </c>
      <c r="L111" t="str">
        <f>"PASSTHROUGH|"&amp;A111&amp;"^^/ s /io.in."&amp;B111&amp;".mute="&amp;E111&amp;",mode="&amp;F111&amp;",icon="&amp;G111&amp;",pol="&amp;H111&amp;",vph="&amp;I111&amp;",name="&amp;J111&amp;",col="&amp;K111&amp;","</f>
        <v>PASSTHROUGH|WING1^^/ s /io.in.B.30.mute=0,mode=M,icon=0,pol=0,vph=0,name=B.30,col=17,</v>
      </c>
    </row>
    <row r="112" spans="1:12" ht="15.75" x14ac:dyDescent="0.25">
      <c r="A112" s="1" t="s">
        <v>66</v>
      </c>
      <c r="B112" s="6" t="s">
        <v>152</v>
      </c>
      <c r="C112" s="12"/>
      <c r="D112" s="4"/>
      <c r="E112" s="4">
        <v>0</v>
      </c>
      <c r="F112" s="4" t="s">
        <v>71</v>
      </c>
      <c r="G112" s="4">
        <v>0</v>
      </c>
      <c r="H112" s="4">
        <v>0</v>
      </c>
      <c r="I112" s="4">
        <v>0</v>
      </c>
      <c r="J112" s="9" t="str">
        <f t="shared" si="1"/>
        <v>B.31</v>
      </c>
      <c r="K112" s="10">
        <f>IF(D112="",17,IF(C112="",17,_xlfn.XLOOKUP(D112,refs!$A$2:$A$21,refs!$B$2:$B$21,"")))</f>
        <v>17</v>
      </c>
      <c r="L112" t="str">
        <f>"PASSTHROUGH|"&amp;A112&amp;"^^/ s /io.in."&amp;B112&amp;".mute="&amp;E112&amp;",mode="&amp;F112&amp;",icon="&amp;G112&amp;",pol="&amp;H112&amp;",vph="&amp;I112&amp;",name="&amp;J112&amp;",col="&amp;K112&amp;","</f>
        <v>PASSTHROUGH|WING1^^/ s /io.in.B.31.mute=0,mode=M,icon=0,pol=0,vph=0,name=B.31,col=17,</v>
      </c>
    </row>
    <row r="113" spans="1:12" ht="15.75" x14ac:dyDescent="0.25">
      <c r="A113" s="1" t="s">
        <v>66</v>
      </c>
      <c r="B113" s="6" t="s">
        <v>153</v>
      </c>
      <c r="C113" s="12"/>
      <c r="D113" s="4"/>
      <c r="E113" s="4">
        <v>0</v>
      </c>
      <c r="F113" s="4" t="s">
        <v>71</v>
      </c>
      <c r="G113" s="4">
        <v>0</v>
      </c>
      <c r="H113" s="4">
        <v>0</v>
      </c>
      <c r="I113" s="4">
        <v>0</v>
      </c>
      <c r="J113" s="9" t="str">
        <f t="shared" si="1"/>
        <v>B.32</v>
      </c>
      <c r="K113" s="10">
        <f>IF(D113="",17,IF(C113="",17,_xlfn.XLOOKUP(D113,refs!$A$2:$A$21,refs!$B$2:$B$21,"")))</f>
        <v>17</v>
      </c>
      <c r="L113" t="str">
        <f>"PASSTHROUGH|"&amp;A113&amp;"^^/ s /io.in."&amp;B113&amp;".mute="&amp;E113&amp;",mode="&amp;F113&amp;",icon="&amp;G113&amp;",pol="&amp;H113&amp;",vph="&amp;I113&amp;",name="&amp;J113&amp;",col="&amp;K113&amp;","</f>
        <v>PASSTHROUGH|WING1^^/ s /io.in.B.32.mute=0,mode=M,icon=0,pol=0,vph=0,name=B.32,col=17,</v>
      </c>
    </row>
    <row r="114" spans="1:12" ht="15.75" x14ac:dyDescent="0.25">
      <c r="A114" s="1" t="s">
        <v>66</v>
      </c>
      <c r="B114" s="6" t="s">
        <v>154</v>
      </c>
      <c r="C114" s="12"/>
      <c r="D114" s="4"/>
      <c r="E114" s="4">
        <v>0</v>
      </c>
      <c r="F114" s="4" t="s">
        <v>71</v>
      </c>
      <c r="G114" s="4">
        <v>0</v>
      </c>
      <c r="H114" s="4">
        <v>0</v>
      </c>
      <c r="I114" s="4">
        <v>0</v>
      </c>
      <c r="J114" s="9" t="str">
        <f t="shared" si="1"/>
        <v>B.33</v>
      </c>
      <c r="K114" s="10">
        <f>IF(D114="",17,IF(C114="",17,_xlfn.XLOOKUP(D114,refs!$A$2:$A$21,refs!$B$2:$B$21,"")))</f>
        <v>17</v>
      </c>
      <c r="L114" t="str">
        <f>"PASSTHROUGH|"&amp;A114&amp;"^^/ s /io.in."&amp;B114&amp;".mute="&amp;E114&amp;",mode="&amp;F114&amp;",icon="&amp;G114&amp;",pol="&amp;H114&amp;",vph="&amp;I114&amp;",name="&amp;J114&amp;",col="&amp;K114&amp;","</f>
        <v>PASSTHROUGH|WING1^^/ s /io.in.B.33.mute=0,mode=M,icon=0,pol=0,vph=0,name=B.33,col=17,</v>
      </c>
    </row>
    <row r="115" spans="1:12" ht="15.75" x14ac:dyDescent="0.25">
      <c r="A115" s="1" t="s">
        <v>66</v>
      </c>
      <c r="B115" s="6" t="s">
        <v>155</v>
      </c>
      <c r="C115" s="12"/>
      <c r="D115" s="4"/>
      <c r="E115" s="4">
        <v>0</v>
      </c>
      <c r="F115" s="4" t="s">
        <v>71</v>
      </c>
      <c r="G115" s="4">
        <v>0</v>
      </c>
      <c r="H115" s="4">
        <v>0</v>
      </c>
      <c r="I115" s="4">
        <v>0</v>
      </c>
      <c r="J115" s="9" t="str">
        <f t="shared" si="1"/>
        <v>B.34</v>
      </c>
      <c r="K115" s="10">
        <f>IF(D115="",17,IF(C115="",17,_xlfn.XLOOKUP(D115,refs!$A$2:$A$21,refs!$B$2:$B$21,"")))</f>
        <v>17</v>
      </c>
      <c r="L115" t="str">
        <f>"PASSTHROUGH|"&amp;A115&amp;"^^/ s /io.in."&amp;B115&amp;".mute="&amp;E115&amp;",mode="&amp;F115&amp;",icon="&amp;G115&amp;",pol="&amp;H115&amp;",vph="&amp;I115&amp;",name="&amp;J115&amp;",col="&amp;K115&amp;","</f>
        <v>PASSTHROUGH|WING1^^/ s /io.in.B.34.mute=0,mode=M,icon=0,pol=0,vph=0,name=B.34,col=17,</v>
      </c>
    </row>
    <row r="116" spans="1:12" ht="15.75" x14ac:dyDescent="0.25">
      <c r="A116" s="1" t="s">
        <v>66</v>
      </c>
      <c r="B116" s="6" t="s">
        <v>156</v>
      </c>
      <c r="C116" s="12"/>
      <c r="D116" s="4"/>
      <c r="E116" s="4">
        <v>0</v>
      </c>
      <c r="F116" s="4" t="s">
        <v>71</v>
      </c>
      <c r="G116" s="4">
        <v>0</v>
      </c>
      <c r="H116" s="4">
        <v>0</v>
      </c>
      <c r="I116" s="4">
        <v>0</v>
      </c>
      <c r="J116" s="9" t="str">
        <f t="shared" si="1"/>
        <v>B.35</v>
      </c>
      <c r="K116" s="10">
        <f>IF(D116="",17,IF(C116="",17,_xlfn.XLOOKUP(D116,refs!$A$2:$A$21,refs!$B$2:$B$21,"")))</f>
        <v>17</v>
      </c>
      <c r="L116" t="str">
        <f>"PASSTHROUGH|"&amp;A116&amp;"^^/ s /io.in."&amp;B116&amp;".mute="&amp;E116&amp;",mode="&amp;F116&amp;",icon="&amp;G116&amp;",pol="&amp;H116&amp;",vph="&amp;I116&amp;",name="&amp;J116&amp;",col="&amp;K116&amp;","</f>
        <v>PASSTHROUGH|WING1^^/ s /io.in.B.35.mute=0,mode=M,icon=0,pol=0,vph=0,name=B.35,col=17,</v>
      </c>
    </row>
    <row r="117" spans="1:12" ht="15.75" x14ac:dyDescent="0.25">
      <c r="A117" s="1" t="s">
        <v>66</v>
      </c>
      <c r="B117" s="6" t="s">
        <v>157</v>
      </c>
      <c r="C117" s="12"/>
      <c r="D117" s="4"/>
      <c r="E117" s="4">
        <v>0</v>
      </c>
      <c r="F117" s="4" t="s">
        <v>71</v>
      </c>
      <c r="G117" s="4">
        <v>0</v>
      </c>
      <c r="H117" s="4">
        <v>0</v>
      </c>
      <c r="I117" s="4">
        <v>0</v>
      </c>
      <c r="J117" s="9" t="str">
        <f t="shared" si="1"/>
        <v>B.36</v>
      </c>
      <c r="K117" s="10">
        <f>IF(D117="",17,IF(C117="",17,_xlfn.XLOOKUP(D117,refs!$A$2:$A$21,refs!$B$2:$B$21,"")))</f>
        <v>17</v>
      </c>
      <c r="L117" t="str">
        <f>"PASSTHROUGH|"&amp;A117&amp;"^^/ s /io.in."&amp;B117&amp;".mute="&amp;E117&amp;",mode="&amp;F117&amp;",icon="&amp;G117&amp;",pol="&amp;H117&amp;",vph="&amp;I117&amp;",name="&amp;J117&amp;",col="&amp;K117&amp;","</f>
        <v>PASSTHROUGH|WING1^^/ s /io.in.B.36.mute=0,mode=M,icon=0,pol=0,vph=0,name=B.36,col=17,</v>
      </c>
    </row>
    <row r="118" spans="1:12" ht="15.75" x14ac:dyDescent="0.25">
      <c r="A118" s="1" t="s">
        <v>66</v>
      </c>
      <c r="B118" s="6" t="s">
        <v>158</v>
      </c>
      <c r="C118" s="12"/>
      <c r="D118" s="4"/>
      <c r="E118" s="4">
        <v>0</v>
      </c>
      <c r="F118" s="4" t="s">
        <v>71</v>
      </c>
      <c r="G118" s="4">
        <v>0</v>
      </c>
      <c r="H118" s="4">
        <v>0</v>
      </c>
      <c r="I118" s="4">
        <v>0</v>
      </c>
      <c r="J118" s="9" t="str">
        <f t="shared" si="1"/>
        <v>B.37</v>
      </c>
      <c r="K118" s="10">
        <f>IF(D118="",17,IF(C118="",17,_xlfn.XLOOKUP(D118,refs!$A$2:$A$21,refs!$B$2:$B$21,"")))</f>
        <v>17</v>
      </c>
      <c r="L118" t="str">
        <f>"PASSTHROUGH|"&amp;A118&amp;"^^/ s /io.in."&amp;B118&amp;".mute="&amp;E118&amp;",mode="&amp;F118&amp;",icon="&amp;G118&amp;",pol="&amp;H118&amp;",vph="&amp;I118&amp;",name="&amp;J118&amp;",col="&amp;K118&amp;","</f>
        <v>PASSTHROUGH|WING1^^/ s /io.in.B.37.mute=0,mode=M,icon=0,pol=0,vph=0,name=B.37,col=17,</v>
      </c>
    </row>
    <row r="119" spans="1:12" ht="15.75" x14ac:dyDescent="0.25">
      <c r="A119" s="1" t="s">
        <v>66</v>
      </c>
      <c r="B119" s="6" t="s">
        <v>159</v>
      </c>
      <c r="C119" s="12"/>
      <c r="D119" s="4"/>
      <c r="E119" s="4">
        <v>0</v>
      </c>
      <c r="F119" s="4" t="s">
        <v>71</v>
      </c>
      <c r="G119" s="4">
        <v>0</v>
      </c>
      <c r="H119" s="4">
        <v>0</v>
      </c>
      <c r="I119" s="4">
        <v>0</v>
      </c>
      <c r="J119" s="9" t="str">
        <f t="shared" si="1"/>
        <v>B.38</v>
      </c>
      <c r="K119" s="10">
        <f>IF(D119="",17,IF(C119="",17,_xlfn.XLOOKUP(D119,refs!$A$2:$A$21,refs!$B$2:$B$21,"")))</f>
        <v>17</v>
      </c>
      <c r="L119" t="str">
        <f>"PASSTHROUGH|"&amp;A119&amp;"^^/ s /io.in."&amp;B119&amp;".mute="&amp;E119&amp;",mode="&amp;F119&amp;",icon="&amp;G119&amp;",pol="&amp;H119&amp;",vph="&amp;I119&amp;",name="&amp;J119&amp;",col="&amp;K119&amp;","</f>
        <v>PASSTHROUGH|WING1^^/ s /io.in.B.38.mute=0,mode=M,icon=0,pol=0,vph=0,name=B.38,col=17,</v>
      </c>
    </row>
    <row r="120" spans="1:12" ht="15.75" x14ac:dyDescent="0.25">
      <c r="A120" s="1" t="s">
        <v>66</v>
      </c>
      <c r="B120" s="6" t="s">
        <v>160</v>
      </c>
      <c r="C120" s="12"/>
      <c r="D120" s="4"/>
      <c r="E120" s="4">
        <v>0</v>
      </c>
      <c r="F120" s="4" t="s">
        <v>71</v>
      </c>
      <c r="G120" s="4">
        <v>0</v>
      </c>
      <c r="H120" s="4">
        <v>0</v>
      </c>
      <c r="I120" s="4">
        <v>0</v>
      </c>
      <c r="J120" s="9" t="str">
        <f t="shared" si="1"/>
        <v>B.39</v>
      </c>
      <c r="K120" s="10">
        <f>IF(D120="",17,IF(C120="",17,_xlfn.XLOOKUP(D120,refs!$A$2:$A$21,refs!$B$2:$B$21,"")))</f>
        <v>17</v>
      </c>
      <c r="L120" t="str">
        <f>"PASSTHROUGH|"&amp;A120&amp;"^^/ s /io.in."&amp;B120&amp;".mute="&amp;E120&amp;",mode="&amp;F120&amp;",icon="&amp;G120&amp;",pol="&amp;H120&amp;",vph="&amp;I120&amp;",name="&amp;J120&amp;",col="&amp;K120&amp;","</f>
        <v>PASSTHROUGH|WING1^^/ s /io.in.B.39.mute=0,mode=M,icon=0,pol=0,vph=0,name=B.39,col=17,</v>
      </c>
    </row>
    <row r="121" spans="1:12" ht="15.75" x14ac:dyDescent="0.25">
      <c r="A121" s="1" t="s">
        <v>66</v>
      </c>
      <c r="B121" s="6" t="s">
        <v>161</v>
      </c>
      <c r="C121" s="12"/>
      <c r="D121" s="4"/>
      <c r="E121" s="4">
        <v>0</v>
      </c>
      <c r="F121" s="4" t="s">
        <v>71</v>
      </c>
      <c r="G121" s="4">
        <v>0</v>
      </c>
      <c r="H121" s="4">
        <v>0</v>
      </c>
      <c r="I121" s="4">
        <v>0</v>
      </c>
      <c r="J121" s="9" t="str">
        <f t="shared" si="1"/>
        <v>B.40</v>
      </c>
      <c r="K121" s="10">
        <f>IF(D121="",17,IF(C121="",17,_xlfn.XLOOKUP(D121,refs!$A$2:$A$21,refs!$B$2:$B$21,"")))</f>
        <v>17</v>
      </c>
      <c r="L121" t="str">
        <f>"PASSTHROUGH|"&amp;A121&amp;"^^/ s /io.in."&amp;B121&amp;".mute="&amp;E121&amp;",mode="&amp;F121&amp;",icon="&amp;G121&amp;",pol="&amp;H121&amp;",vph="&amp;I121&amp;",name="&amp;J121&amp;",col="&amp;K121&amp;","</f>
        <v>PASSTHROUGH|WING1^^/ s /io.in.B.40.mute=0,mode=M,icon=0,pol=0,vph=0,name=B.40,col=17,</v>
      </c>
    </row>
    <row r="122" spans="1:12" ht="15.75" x14ac:dyDescent="0.25">
      <c r="A122" s="1" t="s">
        <v>66</v>
      </c>
      <c r="B122" s="6" t="s">
        <v>162</v>
      </c>
      <c r="C122" s="12"/>
      <c r="D122" s="4"/>
      <c r="E122" s="4">
        <v>0</v>
      </c>
      <c r="F122" s="4" t="s">
        <v>71</v>
      </c>
      <c r="G122" s="4">
        <v>0</v>
      </c>
      <c r="H122" s="4">
        <v>0</v>
      </c>
      <c r="I122" s="4">
        <v>0</v>
      </c>
      <c r="J122" s="9" t="str">
        <f t="shared" si="1"/>
        <v>B.41</v>
      </c>
      <c r="K122" s="10">
        <f>IF(D122="",17,IF(C122="",17,_xlfn.XLOOKUP(D122,refs!$A$2:$A$21,refs!$B$2:$B$21,"")))</f>
        <v>17</v>
      </c>
      <c r="L122" t="str">
        <f>"PASSTHROUGH|"&amp;A122&amp;"^^/ s /io.in."&amp;B122&amp;".mute="&amp;E122&amp;",mode="&amp;F122&amp;",icon="&amp;G122&amp;",pol="&amp;H122&amp;",vph="&amp;I122&amp;",name="&amp;J122&amp;",col="&amp;K122&amp;","</f>
        <v>PASSTHROUGH|WING1^^/ s /io.in.B.41.mute=0,mode=M,icon=0,pol=0,vph=0,name=B.41,col=17,</v>
      </c>
    </row>
    <row r="123" spans="1:12" ht="15.75" x14ac:dyDescent="0.25">
      <c r="A123" s="1" t="s">
        <v>66</v>
      </c>
      <c r="B123" s="6" t="s">
        <v>163</v>
      </c>
      <c r="C123" s="12"/>
      <c r="D123" s="4"/>
      <c r="E123" s="4">
        <v>0</v>
      </c>
      <c r="F123" s="4" t="s">
        <v>71</v>
      </c>
      <c r="G123" s="4">
        <v>0</v>
      </c>
      <c r="H123" s="4">
        <v>0</v>
      </c>
      <c r="I123" s="4">
        <v>0</v>
      </c>
      <c r="J123" s="9" t="str">
        <f t="shared" si="1"/>
        <v>B.42</v>
      </c>
      <c r="K123" s="10">
        <f>IF(D123="",17,IF(C123="",17,_xlfn.XLOOKUP(D123,refs!$A$2:$A$21,refs!$B$2:$B$21,"")))</f>
        <v>17</v>
      </c>
      <c r="L123" t="str">
        <f>"PASSTHROUGH|"&amp;A123&amp;"^^/ s /io.in."&amp;B123&amp;".mute="&amp;E123&amp;",mode="&amp;F123&amp;",icon="&amp;G123&amp;",pol="&amp;H123&amp;",vph="&amp;I123&amp;",name="&amp;J123&amp;",col="&amp;K123&amp;","</f>
        <v>PASSTHROUGH|WING1^^/ s /io.in.B.42.mute=0,mode=M,icon=0,pol=0,vph=0,name=B.42,col=17,</v>
      </c>
    </row>
    <row r="124" spans="1:12" ht="15.75" x14ac:dyDescent="0.25">
      <c r="A124" s="1" t="s">
        <v>66</v>
      </c>
      <c r="B124" s="6" t="s">
        <v>164</v>
      </c>
      <c r="C124" s="12"/>
      <c r="D124" s="4"/>
      <c r="E124" s="4">
        <v>0</v>
      </c>
      <c r="F124" s="4" t="s">
        <v>71</v>
      </c>
      <c r="G124" s="4">
        <v>0</v>
      </c>
      <c r="H124" s="4">
        <v>0</v>
      </c>
      <c r="I124" s="4">
        <v>0</v>
      </c>
      <c r="J124" s="9" t="str">
        <f t="shared" si="1"/>
        <v>B.43</v>
      </c>
      <c r="K124" s="10">
        <f>IF(D124="",17,IF(C124="",17,_xlfn.XLOOKUP(D124,refs!$A$2:$A$21,refs!$B$2:$B$21,"")))</f>
        <v>17</v>
      </c>
      <c r="L124" t="str">
        <f>"PASSTHROUGH|"&amp;A124&amp;"^^/ s /io.in."&amp;B124&amp;".mute="&amp;E124&amp;",mode="&amp;F124&amp;",icon="&amp;G124&amp;",pol="&amp;H124&amp;",vph="&amp;I124&amp;",name="&amp;J124&amp;",col="&amp;K124&amp;","</f>
        <v>PASSTHROUGH|WING1^^/ s /io.in.B.43.mute=0,mode=M,icon=0,pol=0,vph=0,name=B.43,col=17,</v>
      </c>
    </row>
    <row r="125" spans="1:12" ht="15.75" x14ac:dyDescent="0.25">
      <c r="A125" s="1" t="s">
        <v>66</v>
      </c>
      <c r="B125" s="6" t="s">
        <v>165</v>
      </c>
      <c r="C125" s="12"/>
      <c r="D125" s="4"/>
      <c r="E125" s="4">
        <v>0</v>
      </c>
      <c r="F125" s="4" t="s">
        <v>71</v>
      </c>
      <c r="G125" s="4">
        <v>0</v>
      </c>
      <c r="H125" s="4">
        <v>0</v>
      </c>
      <c r="I125" s="4">
        <v>0</v>
      </c>
      <c r="J125" s="9" t="str">
        <f t="shared" si="1"/>
        <v>B.44</v>
      </c>
      <c r="K125" s="10">
        <f>IF(D125="",17,IF(C125="",17,_xlfn.XLOOKUP(D125,refs!$A$2:$A$21,refs!$B$2:$B$21,"")))</f>
        <v>17</v>
      </c>
      <c r="L125" t="str">
        <f>"PASSTHROUGH|"&amp;A125&amp;"^^/ s /io.in."&amp;B125&amp;".mute="&amp;E125&amp;",mode="&amp;F125&amp;",icon="&amp;G125&amp;",pol="&amp;H125&amp;",vph="&amp;I125&amp;",name="&amp;J125&amp;",col="&amp;K125&amp;","</f>
        <v>PASSTHROUGH|WING1^^/ s /io.in.B.44.mute=0,mode=M,icon=0,pol=0,vph=0,name=B.44,col=17,</v>
      </c>
    </row>
    <row r="126" spans="1:12" ht="15.75" x14ac:dyDescent="0.25">
      <c r="A126" s="1" t="s">
        <v>66</v>
      </c>
      <c r="B126" s="6" t="s">
        <v>166</v>
      </c>
      <c r="C126" s="12"/>
      <c r="D126" s="4"/>
      <c r="E126" s="4">
        <v>0</v>
      </c>
      <c r="F126" s="4" t="s">
        <v>71</v>
      </c>
      <c r="G126" s="4">
        <v>0</v>
      </c>
      <c r="H126" s="4">
        <v>0</v>
      </c>
      <c r="I126" s="4">
        <v>0</v>
      </c>
      <c r="J126" s="9" t="str">
        <f t="shared" si="1"/>
        <v>B.45</v>
      </c>
      <c r="K126" s="10">
        <f>IF(D126="",17,IF(C126="",17,_xlfn.XLOOKUP(D126,refs!$A$2:$A$21,refs!$B$2:$B$21,"")))</f>
        <v>17</v>
      </c>
      <c r="L126" t="str">
        <f>"PASSTHROUGH|"&amp;A126&amp;"^^/ s /io.in."&amp;B126&amp;".mute="&amp;E126&amp;",mode="&amp;F126&amp;",icon="&amp;G126&amp;",pol="&amp;H126&amp;",vph="&amp;I126&amp;",name="&amp;J126&amp;",col="&amp;K126&amp;","</f>
        <v>PASSTHROUGH|WING1^^/ s /io.in.B.45.mute=0,mode=M,icon=0,pol=0,vph=0,name=B.45,col=17,</v>
      </c>
    </row>
    <row r="127" spans="1:12" ht="15.75" x14ac:dyDescent="0.25">
      <c r="A127" s="1" t="s">
        <v>66</v>
      </c>
      <c r="B127" s="6" t="s">
        <v>167</v>
      </c>
      <c r="C127" s="12"/>
      <c r="D127" s="4"/>
      <c r="E127" s="4">
        <v>0</v>
      </c>
      <c r="F127" s="4" t="s">
        <v>71</v>
      </c>
      <c r="G127" s="4">
        <v>0</v>
      </c>
      <c r="H127" s="4">
        <v>0</v>
      </c>
      <c r="I127" s="4">
        <v>0</v>
      </c>
      <c r="J127" s="9" t="str">
        <f t="shared" si="1"/>
        <v>B.46</v>
      </c>
      <c r="K127" s="10">
        <f>IF(D127="",17,IF(C127="",17,_xlfn.XLOOKUP(D127,refs!$A$2:$A$21,refs!$B$2:$B$21,"")))</f>
        <v>17</v>
      </c>
      <c r="L127" t="str">
        <f>"PASSTHROUGH|"&amp;A127&amp;"^^/ s /io.in."&amp;B127&amp;".mute="&amp;E127&amp;",mode="&amp;F127&amp;",icon="&amp;G127&amp;",pol="&amp;H127&amp;",vph="&amp;I127&amp;",name="&amp;J127&amp;",col="&amp;K127&amp;","</f>
        <v>PASSTHROUGH|WING1^^/ s /io.in.B.46.mute=0,mode=M,icon=0,pol=0,vph=0,name=B.46,col=17,</v>
      </c>
    </row>
    <row r="128" spans="1:12" ht="15.75" x14ac:dyDescent="0.25">
      <c r="A128" s="1" t="s">
        <v>66</v>
      </c>
      <c r="B128" s="6" t="s">
        <v>168</v>
      </c>
      <c r="C128" s="12"/>
      <c r="D128" s="4"/>
      <c r="E128" s="4">
        <v>0</v>
      </c>
      <c r="F128" s="4" t="s">
        <v>71</v>
      </c>
      <c r="G128" s="4">
        <v>0</v>
      </c>
      <c r="H128" s="4">
        <v>0</v>
      </c>
      <c r="I128" s="4">
        <v>0</v>
      </c>
      <c r="J128" s="9" t="str">
        <f t="shared" si="1"/>
        <v>B.47</v>
      </c>
      <c r="K128" s="10">
        <f>IF(D128="",17,IF(C128="",17,_xlfn.XLOOKUP(D128,refs!$A$2:$A$21,refs!$B$2:$B$21,"")))</f>
        <v>17</v>
      </c>
      <c r="L128" t="str">
        <f>"PASSTHROUGH|"&amp;A128&amp;"^^/ s /io.in."&amp;B128&amp;".mute="&amp;E128&amp;",mode="&amp;F128&amp;",icon="&amp;G128&amp;",pol="&amp;H128&amp;",vph="&amp;I128&amp;",name="&amp;J128&amp;",col="&amp;K128&amp;","</f>
        <v>PASSTHROUGH|WING1^^/ s /io.in.B.47.mute=0,mode=M,icon=0,pol=0,vph=0,name=B.47,col=17,</v>
      </c>
    </row>
    <row r="129" spans="1:12" ht="15.75" x14ac:dyDescent="0.25">
      <c r="A129" s="1" t="s">
        <v>66</v>
      </c>
      <c r="B129" s="6" t="s">
        <v>169</v>
      </c>
      <c r="C129" s="12"/>
      <c r="D129" s="4"/>
      <c r="E129" s="4">
        <v>0</v>
      </c>
      <c r="F129" s="4" t="s">
        <v>71</v>
      </c>
      <c r="G129" s="4">
        <v>0</v>
      </c>
      <c r="H129" s="4">
        <v>0</v>
      </c>
      <c r="I129" s="4">
        <v>0</v>
      </c>
      <c r="J129" s="9" t="str">
        <f t="shared" si="1"/>
        <v>B.48</v>
      </c>
      <c r="K129" s="10">
        <f>IF(D129="",17,IF(C129="",17,_xlfn.XLOOKUP(D129,refs!$A$2:$A$21,refs!$B$2:$B$21,"")))</f>
        <v>17</v>
      </c>
      <c r="L129" t="str">
        <f>"PASSTHROUGH|"&amp;A129&amp;"^^/ s /io.in."&amp;B129&amp;".mute="&amp;E129&amp;",mode="&amp;F129&amp;",icon="&amp;G129&amp;",pol="&amp;H129&amp;",vph="&amp;I129&amp;",name="&amp;J129&amp;",col="&amp;K129&amp;","</f>
        <v>PASSTHROUGH|WING1^^/ s /io.in.B.48.mute=0,mode=M,icon=0,pol=0,vph=0,name=B.48,col=17,</v>
      </c>
    </row>
    <row r="130" spans="1:12" ht="15.75" x14ac:dyDescent="0.25">
      <c r="A130" s="1" t="s">
        <v>66</v>
      </c>
      <c r="B130" s="6" t="s">
        <v>170</v>
      </c>
      <c r="C130" s="12"/>
      <c r="D130" s="4"/>
      <c r="E130" s="4">
        <v>0</v>
      </c>
      <c r="F130" s="4" t="s">
        <v>71</v>
      </c>
      <c r="G130" s="4">
        <v>0</v>
      </c>
      <c r="H130" s="4">
        <v>0</v>
      </c>
      <c r="I130" s="4">
        <v>0</v>
      </c>
      <c r="J130" s="9" t="str">
        <f t="shared" ref="J130:J193" si="2">IF(C130="",SUBSTITUTE(B130, "/", "."),LEFT(C130,16))</f>
        <v>C.1</v>
      </c>
      <c r="K130" s="10">
        <f>IF(D130="",17,IF(C130="",17,_xlfn.XLOOKUP(D130,refs!$A$2:$A$21,refs!$B$2:$B$21,"")))</f>
        <v>17</v>
      </c>
      <c r="L130" t="str">
        <f>"PASSTHROUGH|"&amp;A130&amp;"^^/ s /io.in."&amp;B130&amp;".mute="&amp;E130&amp;",mode="&amp;F130&amp;",icon="&amp;G130&amp;",pol="&amp;H130&amp;",vph="&amp;I130&amp;",name="&amp;J130&amp;",col="&amp;K130&amp;","</f>
        <v>PASSTHROUGH|WING1^^/ s /io.in.C.1.mute=0,mode=M,icon=0,pol=0,vph=0,name=C.1,col=17,</v>
      </c>
    </row>
    <row r="131" spans="1:12" ht="15.75" x14ac:dyDescent="0.25">
      <c r="A131" s="1" t="s">
        <v>66</v>
      </c>
      <c r="B131" s="6" t="s">
        <v>171</v>
      </c>
      <c r="C131" s="12"/>
      <c r="D131" s="4"/>
      <c r="E131" s="4">
        <v>0</v>
      </c>
      <c r="F131" s="4" t="s">
        <v>71</v>
      </c>
      <c r="G131" s="4">
        <v>0</v>
      </c>
      <c r="H131" s="4">
        <v>0</v>
      </c>
      <c r="I131" s="4">
        <v>0</v>
      </c>
      <c r="J131" s="9" t="str">
        <f t="shared" si="2"/>
        <v>C.2</v>
      </c>
      <c r="K131" s="10">
        <f>IF(D131="",17,IF(C131="",17,_xlfn.XLOOKUP(D131,refs!$A$2:$A$21,refs!$B$2:$B$21,"")))</f>
        <v>17</v>
      </c>
      <c r="L131" t="str">
        <f>"PASSTHROUGH|"&amp;A131&amp;"^^/ s /io.in."&amp;B131&amp;".mute="&amp;E131&amp;",mode="&amp;F131&amp;",icon="&amp;G131&amp;",pol="&amp;H131&amp;",vph="&amp;I131&amp;",name="&amp;J131&amp;",col="&amp;K131&amp;","</f>
        <v>PASSTHROUGH|WING1^^/ s /io.in.C.2.mute=0,mode=M,icon=0,pol=0,vph=0,name=C.2,col=17,</v>
      </c>
    </row>
    <row r="132" spans="1:12" ht="15.75" x14ac:dyDescent="0.25">
      <c r="A132" s="1" t="s">
        <v>66</v>
      </c>
      <c r="B132" s="6" t="s">
        <v>172</v>
      </c>
      <c r="C132" s="12"/>
      <c r="D132" s="4"/>
      <c r="E132" s="4">
        <v>0</v>
      </c>
      <c r="F132" s="4" t="s">
        <v>71</v>
      </c>
      <c r="G132" s="4">
        <v>0</v>
      </c>
      <c r="H132" s="4">
        <v>0</v>
      </c>
      <c r="I132" s="4">
        <v>0</v>
      </c>
      <c r="J132" s="9" t="str">
        <f t="shared" si="2"/>
        <v>C.3</v>
      </c>
      <c r="K132" s="10">
        <f>IF(D132="",17,IF(C132="",17,_xlfn.XLOOKUP(D132,refs!$A$2:$A$21,refs!$B$2:$B$21,"")))</f>
        <v>17</v>
      </c>
      <c r="L132" t="str">
        <f>"PASSTHROUGH|"&amp;A132&amp;"^^/ s /io.in."&amp;B132&amp;".mute="&amp;E132&amp;",mode="&amp;F132&amp;",icon="&amp;G132&amp;",pol="&amp;H132&amp;",vph="&amp;I132&amp;",name="&amp;J132&amp;",col="&amp;K132&amp;","</f>
        <v>PASSTHROUGH|WING1^^/ s /io.in.C.3.mute=0,mode=M,icon=0,pol=0,vph=0,name=C.3,col=17,</v>
      </c>
    </row>
    <row r="133" spans="1:12" ht="15.75" x14ac:dyDescent="0.25">
      <c r="A133" s="1" t="s">
        <v>66</v>
      </c>
      <c r="B133" s="6" t="s">
        <v>173</v>
      </c>
      <c r="C133" s="12"/>
      <c r="D133" s="4"/>
      <c r="E133" s="4">
        <v>0</v>
      </c>
      <c r="F133" s="4" t="s">
        <v>71</v>
      </c>
      <c r="G133" s="4">
        <v>0</v>
      </c>
      <c r="H133" s="4">
        <v>0</v>
      </c>
      <c r="I133" s="4">
        <v>0</v>
      </c>
      <c r="J133" s="9" t="str">
        <f t="shared" si="2"/>
        <v>C.4</v>
      </c>
      <c r="K133" s="10">
        <f>IF(D133="",17,IF(C133="",17,_xlfn.XLOOKUP(D133,refs!$A$2:$A$21,refs!$B$2:$B$21,"")))</f>
        <v>17</v>
      </c>
      <c r="L133" t="str">
        <f>"PASSTHROUGH|"&amp;A133&amp;"^^/ s /io.in."&amp;B133&amp;".mute="&amp;E133&amp;",mode="&amp;F133&amp;",icon="&amp;G133&amp;",pol="&amp;H133&amp;",vph="&amp;I133&amp;",name="&amp;J133&amp;",col="&amp;K133&amp;","</f>
        <v>PASSTHROUGH|WING1^^/ s /io.in.C.4.mute=0,mode=M,icon=0,pol=0,vph=0,name=C.4,col=17,</v>
      </c>
    </row>
    <row r="134" spans="1:12" ht="15.75" x14ac:dyDescent="0.25">
      <c r="A134" s="1" t="s">
        <v>66</v>
      </c>
      <c r="B134" s="6" t="s">
        <v>174</v>
      </c>
      <c r="C134" s="12"/>
      <c r="D134" s="4"/>
      <c r="E134" s="4">
        <v>0</v>
      </c>
      <c r="F134" s="4" t="s">
        <v>71</v>
      </c>
      <c r="G134" s="4">
        <v>0</v>
      </c>
      <c r="H134" s="4">
        <v>0</v>
      </c>
      <c r="I134" s="4">
        <v>0</v>
      </c>
      <c r="J134" s="9" t="str">
        <f t="shared" si="2"/>
        <v>C.5</v>
      </c>
      <c r="K134" s="10">
        <f>IF(D134="",17,IF(C134="",17,_xlfn.XLOOKUP(D134,refs!$A$2:$A$21,refs!$B$2:$B$21,"")))</f>
        <v>17</v>
      </c>
      <c r="L134" t="str">
        <f>"PASSTHROUGH|"&amp;A134&amp;"^^/ s /io.in."&amp;B134&amp;".mute="&amp;E134&amp;",mode="&amp;F134&amp;",icon="&amp;G134&amp;",pol="&amp;H134&amp;",vph="&amp;I134&amp;",name="&amp;J134&amp;",col="&amp;K134&amp;","</f>
        <v>PASSTHROUGH|WING1^^/ s /io.in.C.5.mute=0,mode=M,icon=0,pol=0,vph=0,name=C.5,col=17,</v>
      </c>
    </row>
    <row r="135" spans="1:12" ht="15.75" x14ac:dyDescent="0.25">
      <c r="A135" s="1" t="s">
        <v>66</v>
      </c>
      <c r="B135" s="6" t="s">
        <v>175</v>
      </c>
      <c r="C135" s="12"/>
      <c r="D135" s="4"/>
      <c r="E135" s="4">
        <v>0</v>
      </c>
      <c r="F135" s="4" t="s">
        <v>71</v>
      </c>
      <c r="G135" s="4">
        <v>0</v>
      </c>
      <c r="H135" s="4">
        <v>0</v>
      </c>
      <c r="I135" s="4">
        <v>0</v>
      </c>
      <c r="J135" s="9" t="str">
        <f t="shared" si="2"/>
        <v>C.6</v>
      </c>
      <c r="K135" s="10">
        <f>IF(D135="",17,IF(C135="",17,_xlfn.XLOOKUP(D135,refs!$A$2:$A$21,refs!$B$2:$B$21,"")))</f>
        <v>17</v>
      </c>
      <c r="L135" t="str">
        <f>"PASSTHROUGH|"&amp;A135&amp;"^^/ s /io.in."&amp;B135&amp;".mute="&amp;E135&amp;",mode="&amp;F135&amp;",icon="&amp;G135&amp;",pol="&amp;H135&amp;",vph="&amp;I135&amp;",name="&amp;J135&amp;",col="&amp;K135&amp;","</f>
        <v>PASSTHROUGH|WING1^^/ s /io.in.C.6.mute=0,mode=M,icon=0,pol=0,vph=0,name=C.6,col=17,</v>
      </c>
    </row>
    <row r="136" spans="1:12" ht="15.75" x14ac:dyDescent="0.25">
      <c r="A136" s="1" t="s">
        <v>66</v>
      </c>
      <c r="B136" s="6" t="s">
        <v>176</v>
      </c>
      <c r="C136" s="12"/>
      <c r="D136" s="4"/>
      <c r="E136" s="4">
        <v>0</v>
      </c>
      <c r="F136" s="4" t="s">
        <v>71</v>
      </c>
      <c r="G136" s="4">
        <v>0</v>
      </c>
      <c r="H136" s="4">
        <v>0</v>
      </c>
      <c r="I136" s="4">
        <v>0</v>
      </c>
      <c r="J136" s="9" t="str">
        <f t="shared" si="2"/>
        <v>C.7</v>
      </c>
      <c r="K136" s="10">
        <f>IF(D136="",17,IF(C136="",17,_xlfn.XLOOKUP(D136,refs!$A$2:$A$21,refs!$B$2:$B$21,"")))</f>
        <v>17</v>
      </c>
      <c r="L136" t="str">
        <f>"PASSTHROUGH|"&amp;A136&amp;"^^/ s /io.in."&amp;B136&amp;".mute="&amp;E136&amp;",mode="&amp;F136&amp;",icon="&amp;G136&amp;",pol="&amp;H136&amp;",vph="&amp;I136&amp;",name="&amp;J136&amp;",col="&amp;K136&amp;","</f>
        <v>PASSTHROUGH|WING1^^/ s /io.in.C.7.mute=0,mode=M,icon=0,pol=0,vph=0,name=C.7,col=17,</v>
      </c>
    </row>
    <row r="137" spans="1:12" ht="15.75" x14ac:dyDescent="0.25">
      <c r="A137" s="1" t="s">
        <v>66</v>
      </c>
      <c r="B137" s="6" t="s">
        <v>177</v>
      </c>
      <c r="C137" s="12"/>
      <c r="D137" s="4"/>
      <c r="E137" s="4">
        <v>0</v>
      </c>
      <c r="F137" s="4" t="s">
        <v>71</v>
      </c>
      <c r="G137" s="4">
        <v>0</v>
      </c>
      <c r="H137" s="4">
        <v>0</v>
      </c>
      <c r="I137" s="4">
        <v>0</v>
      </c>
      <c r="J137" s="9" t="str">
        <f t="shared" si="2"/>
        <v>C.8</v>
      </c>
      <c r="K137" s="10">
        <f>IF(D137="",17,IF(C137="",17,_xlfn.XLOOKUP(D137,refs!$A$2:$A$21,refs!$B$2:$B$21,"")))</f>
        <v>17</v>
      </c>
      <c r="L137" t="str">
        <f>"PASSTHROUGH|"&amp;A137&amp;"^^/ s /io.in."&amp;B137&amp;".mute="&amp;E137&amp;",mode="&amp;F137&amp;",icon="&amp;G137&amp;",pol="&amp;H137&amp;",vph="&amp;I137&amp;",name="&amp;J137&amp;",col="&amp;K137&amp;","</f>
        <v>PASSTHROUGH|WING1^^/ s /io.in.C.8.mute=0,mode=M,icon=0,pol=0,vph=0,name=C.8,col=17,</v>
      </c>
    </row>
    <row r="138" spans="1:12" ht="15.75" x14ac:dyDescent="0.25">
      <c r="A138" s="1" t="s">
        <v>66</v>
      </c>
      <c r="B138" s="6" t="s">
        <v>178</v>
      </c>
      <c r="C138" s="12"/>
      <c r="D138" s="4"/>
      <c r="E138" s="4">
        <v>0</v>
      </c>
      <c r="F138" s="4" t="s">
        <v>71</v>
      </c>
      <c r="G138" s="4">
        <v>0</v>
      </c>
      <c r="H138" s="4">
        <v>0</v>
      </c>
      <c r="I138" s="4">
        <v>0</v>
      </c>
      <c r="J138" s="9" t="str">
        <f t="shared" si="2"/>
        <v>C.9</v>
      </c>
      <c r="K138" s="10">
        <f>IF(D138="",17,IF(C138="",17,_xlfn.XLOOKUP(D138,refs!$A$2:$A$21,refs!$B$2:$B$21,"")))</f>
        <v>17</v>
      </c>
      <c r="L138" t="str">
        <f>"PASSTHROUGH|"&amp;A138&amp;"^^/ s /io.in."&amp;B138&amp;".mute="&amp;E138&amp;",mode="&amp;F138&amp;",icon="&amp;G138&amp;",pol="&amp;H138&amp;",vph="&amp;I138&amp;",name="&amp;J138&amp;",col="&amp;K138&amp;","</f>
        <v>PASSTHROUGH|WING1^^/ s /io.in.C.9.mute=0,mode=M,icon=0,pol=0,vph=0,name=C.9,col=17,</v>
      </c>
    </row>
    <row r="139" spans="1:12" ht="15.75" x14ac:dyDescent="0.25">
      <c r="A139" s="1" t="s">
        <v>66</v>
      </c>
      <c r="B139" s="6" t="s">
        <v>179</v>
      </c>
      <c r="C139" s="12"/>
      <c r="D139" s="4"/>
      <c r="E139" s="4">
        <v>0</v>
      </c>
      <c r="F139" s="4" t="s">
        <v>71</v>
      </c>
      <c r="G139" s="4">
        <v>0</v>
      </c>
      <c r="H139" s="4">
        <v>0</v>
      </c>
      <c r="I139" s="4">
        <v>0</v>
      </c>
      <c r="J139" s="9" t="str">
        <f t="shared" si="2"/>
        <v>C.10</v>
      </c>
      <c r="K139" s="10">
        <f>IF(D139="",17,IF(C139="",17,_xlfn.XLOOKUP(D139,refs!$A$2:$A$21,refs!$B$2:$B$21,"")))</f>
        <v>17</v>
      </c>
      <c r="L139" t="str">
        <f>"PASSTHROUGH|"&amp;A139&amp;"^^/ s /io.in."&amp;B139&amp;".mute="&amp;E139&amp;",mode="&amp;F139&amp;",icon="&amp;G139&amp;",pol="&amp;H139&amp;",vph="&amp;I139&amp;",name="&amp;J139&amp;",col="&amp;K139&amp;","</f>
        <v>PASSTHROUGH|WING1^^/ s /io.in.C.10.mute=0,mode=M,icon=0,pol=0,vph=0,name=C.10,col=17,</v>
      </c>
    </row>
    <row r="140" spans="1:12" ht="15.75" x14ac:dyDescent="0.25">
      <c r="A140" s="1" t="s">
        <v>66</v>
      </c>
      <c r="B140" s="6" t="s">
        <v>180</v>
      </c>
      <c r="C140" s="12"/>
      <c r="D140" s="4"/>
      <c r="E140" s="4">
        <v>0</v>
      </c>
      <c r="F140" s="4" t="s">
        <v>71</v>
      </c>
      <c r="G140" s="4">
        <v>0</v>
      </c>
      <c r="H140" s="4">
        <v>0</v>
      </c>
      <c r="I140" s="4">
        <v>0</v>
      </c>
      <c r="J140" s="9" t="str">
        <f t="shared" si="2"/>
        <v>C.11</v>
      </c>
      <c r="K140" s="10">
        <f>IF(D140="",17,IF(C140="",17,_xlfn.XLOOKUP(D140,refs!$A$2:$A$21,refs!$B$2:$B$21,"")))</f>
        <v>17</v>
      </c>
      <c r="L140" t="str">
        <f>"PASSTHROUGH|"&amp;A140&amp;"^^/ s /io.in."&amp;B140&amp;".mute="&amp;E140&amp;",mode="&amp;F140&amp;",icon="&amp;G140&amp;",pol="&amp;H140&amp;",vph="&amp;I140&amp;",name="&amp;J140&amp;",col="&amp;K140&amp;","</f>
        <v>PASSTHROUGH|WING1^^/ s /io.in.C.11.mute=0,mode=M,icon=0,pol=0,vph=0,name=C.11,col=17,</v>
      </c>
    </row>
    <row r="141" spans="1:12" ht="15.75" x14ac:dyDescent="0.25">
      <c r="A141" s="1" t="s">
        <v>66</v>
      </c>
      <c r="B141" s="6" t="s">
        <v>181</v>
      </c>
      <c r="C141" s="12"/>
      <c r="D141" s="4"/>
      <c r="E141" s="4">
        <v>0</v>
      </c>
      <c r="F141" s="4" t="s">
        <v>71</v>
      </c>
      <c r="G141" s="4">
        <v>0</v>
      </c>
      <c r="H141" s="4">
        <v>0</v>
      </c>
      <c r="I141" s="4">
        <v>0</v>
      </c>
      <c r="J141" s="9" t="str">
        <f t="shared" si="2"/>
        <v>C.12</v>
      </c>
      <c r="K141" s="10">
        <f>IF(D141="",17,IF(C141="",17,_xlfn.XLOOKUP(D141,refs!$A$2:$A$21,refs!$B$2:$B$21,"")))</f>
        <v>17</v>
      </c>
      <c r="L141" t="str">
        <f>"PASSTHROUGH|"&amp;A141&amp;"^^/ s /io.in."&amp;B141&amp;".mute="&amp;E141&amp;",mode="&amp;F141&amp;",icon="&amp;G141&amp;",pol="&amp;H141&amp;",vph="&amp;I141&amp;",name="&amp;J141&amp;",col="&amp;K141&amp;","</f>
        <v>PASSTHROUGH|WING1^^/ s /io.in.C.12.mute=0,mode=M,icon=0,pol=0,vph=0,name=C.12,col=17,</v>
      </c>
    </row>
    <row r="142" spans="1:12" ht="15.75" x14ac:dyDescent="0.25">
      <c r="A142" s="1" t="s">
        <v>66</v>
      </c>
      <c r="B142" s="6" t="s">
        <v>182</v>
      </c>
      <c r="C142" s="12"/>
      <c r="D142" s="4"/>
      <c r="E142" s="4">
        <v>0</v>
      </c>
      <c r="F142" s="4" t="s">
        <v>71</v>
      </c>
      <c r="G142" s="4">
        <v>0</v>
      </c>
      <c r="H142" s="4">
        <v>0</v>
      </c>
      <c r="I142" s="4">
        <v>0</v>
      </c>
      <c r="J142" s="9" t="str">
        <f t="shared" si="2"/>
        <v>C.13</v>
      </c>
      <c r="K142" s="10">
        <f>IF(D142="",17,IF(C142="",17,_xlfn.XLOOKUP(D142,refs!$A$2:$A$21,refs!$B$2:$B$21,"")))</f>
        <v>17</v>
      </c>
      <c r="L142" t="str">
        <f>"PASSTHROUGH|"&amp;A142&amp;"^^/ s /io.in."&amp;B142&amp;".mute="&amp;E142&amp;",mode="&amp;F142&amp;",icon="&amp;G142&amp;",pol="&amp;H142&amp;",vph="&amp;I142&amp;",name="&amp;J142&amp;",col="&amp;K142&amp;","</f>
        <v>PASSTHROUGH|WING1^^/ s /io.in.C.13.mute=0,mode=M,icon=0,pol=0,vph=0,name=C.13,col=17,</v>
      </c>
    </row>
    <row r="143" spans="1:12" ht="15.75" x14ac:dyDescent="0.25">
      <c r="A143" s="1" t="s">
        <v>66</v>
      </c>
      <c r="B143" s="6" t="s">
        <v>183</v>
      </c>
      <c r="C143" s="12"/>
      <c r="D143" s="4"/>
      <c r="E143" s="4">
        <v>0</v>
      </c>
      <c r="F143" s="4" t="s">
        <v>71</v>
      </c>
      <c r="G143" s="4">
        <v>0</v>
      </c>
      <c r="H143" s="4">
        <v>0</v>
      </c>
      <c r="I143" s="4">
        <v>0</v>
      </c>
      <c r="J143" s="9" t="str">
        <f t="shared" si="2"/>
        <v>C.14</v>
      </c>
      <c r="K143" s="10">
        <f>IF(D143="",17,IF(C143="",17,_xlfn.XLOOKUP(D143,refs!$A$2:$A$21,refs!$B$2:$B$21,"")))</f>
        <v>17</v>
      </c>
      <c r="L143" t="str">
        <f>"PASSTHROUGH|"&amp;A143&amp;"^^/ s /io.in."&amp;B143&amp;".mute="&amp;E143&amp;",mode="&amp;F143&amp;",icon="&amp;G143&amp;",pol="&amp;H143&amp;",vph="&amp;I143&amp;",name="&amp;J143&amp;",col="&amp;K143&amp;","</f>
        <v>PASSTHROUGH|WING1^^/ s /io.in.C.14.mute=0,mode=M,icon=0,pol=0,vph=0,name=C.14,col=17,</v>
      </c>
    </row>
    <row r="144" spans="1:12" ht="15.75" x14ac:dyDescent="0.25">
      <c r="A144" s="1" t="s">
        <v>66</v>
      </c>
      <c r="B144" s="6" t="s">
        <v>184</v>
      </c>
      <c r="C144" s="12"/>
      <c r="D144" s="4"/>
      <c r="E144" s="4">
        <v>0</v>
      </c>
      <c r="F144" s="4" t="s">
        <v>71</v>
      </c>
      <c r="G144" s="4">
        <v>0</v>
      </c>
      <c r="H144" s="4">
        <v>0</v>
      </c>
      <c r="I144" s="4">
        <v>0</v>
      </c>
      <c r="J144" s="9" t="str">
        <f t="shared" si="2"/>
        <v>C.15</v>
      </c>
      <c r="K144" s="10">
        <f>IF(D144="",17,IF(C144="",17,_xlfn.XLOOKUP(D144,refs!$A$2:$A$21,refs!$B$2:$B$21,"")))</f>
        <v>17</v>
      </c>
      <c r="L144" t="str">
        <f>"PASSTHROUGH|"&amp;A144&amp;"^^/ s /io.in."&amp;B144&amp;".mute="&amp;E144&amp;",mode="&amp;F144&amp;",icon="&amp;G144&amp;",pol="&amp;H144&amp;",vph="&amp;I144&amp;",name="&amp;J144&amp;",col="&amp;K144&amp;","</f>
        <v>PASSTHROUGH|WING1^^/ s /io.in.C.15.mute=0,mode=M,icon=0,pol=0,vph=0,name=C.15,col=17,</v>
      </c>
    </row>
    <row r="145" spans="1:12" ht="15.75" x14ac:dyDescent="0.25">
      <c r="A145" s="1" t="s">
        <v>66</v>
      </c>
      <c r="B145" s="6" t="s">
        <v>185</v>
      </c>
      <c r="C145" s="12"/>
      <c r="D145" s="4"/>
      <c r="E145" s="4">
        <v>0</v>
      </c>
      <c r="F145" s="4" t="s">
        <v>71</v>
      </c>
      <c r="G145" s="4">
        <v>0</v>
      </c>
      <c r="H145" s="4">
        <v>0</v>
      </c>
      <c r="I145" s="4">
        <v>0</v>
      </c>
      <c r="J145" s="9" t="str">
        <f t="shared" si="2"/>
        <v>C.16</v>
      </c>
      <c r="K145" s="10">
        <f>IF(D145="",17,IF(C145="",17,_xlfn.XLOOKUP(D145,refs!$A$2:$A$21,refs!$B$2:$B$21,"")))</f>
        <v>17</v>
      </c>
      <c r="L145" t="str">
        <f>"PASSTHROUGH|"&amp;A145&amp;"^^/ s /io.in."&amp;B145&amp;".mute="&amp;E145&amp;",mode="&amp;F145&amp;",icon="&amp;G145&amp;",pol="&amp;H145&amp;",vph="&amp;I145&amp;",name="&amp;J145&amp;",col="&amp;K145&amp;","</f>
        <v>PASSTHROUGH|WING1^^/ s /io.in.C.16.mute=0,mode=M,icon=0,pol=0,vph=0,name=C.16,col=17,</v>
      </c>
    </row>
    <row r="146" spans="1:12" ht="15.75" x14ac:dyDescent="0.25">
      <c r="A146" s="1" t="s">
        <v>66</v>
      </c>
      <c r="B146" s="6" t="s">
        <v>186</v>
      </c>
      <c r="C146" s="12"/>
      <c r="D146" s="4"/>
      <c r="E146" s="4">
        <v>0</v>
      </c>
      <c r="F146" s="4" t="s">
        <v>71</v>
      </c>
      <c r="G146" s="4">
        <v>0</v>
      </c>
      <c r="H146" s="4">
        <v>0</v>
      </c>
      <c r="I146" s="4">
        <v>0</v>
      </c>
      <c r="J146" s="9" t="str">
        <f t="shared" si="2"/>
        <v>C.17</v>
      </c>
      <c r="K146" s="10">
        <f>IF(D146="",17,IF(C146="",17,_xlfn.XLOOKUP(D146,refs!$A$2:$A$21,refs!$B$2:$B$21,"")))</f>
        <v>17</v>
      </c>
      <c r="L146" t="str">
        <f>"PASSTHROUGH|"&amp;A146&amp;"^^/ s /io.in."&amp;B146&amp;".mute="&amp;E146&amp;",mode="&amp;F146&amp;",icon="&amp;G146&amp;",pol="&amp;H146&amp;",vph="&amp;I146&amp;",name="&amp;J146&amp;",col="&amp;K146&amp;","</f>
        <v>PASSTHROUGH|WING1^^/ s /io.in.C.17.mute=0,mode=M,icon=0,pol=0,vph=0,name=C.17,col=17,</v>
      </c>
    </row>
    <row r="147" spans="1:12" ht="15.75" x14ac:dyDescent="0.25">
      <c r="A147" s="1" t="s">
        <v>66</v>
      </c>
      <c r="B147" s="6" t="s">
        <v>187</v>
      </c>
      <c r="C147" s="12"/>
      <c r="D147" s="4"/>
      <c r="E147" s="4">
        <v>0</v>
      </c>
      <c r="F147" s="4" t="s">
        <v>71</v>
      </c>
      <c r="G147" s="4">
        <v>0</v>
      </c>
      <c r="H147" s="4">
        <v>0</v>
      </c>
      <c r="I147" s="4">
        <v>0</v>
      </c>
      <c r="J147" s="9" t="str">
        <f t="shared" si="2"/>
        <v>C.18</v>
      </c>
      <c r="K147" s="10">
        <f>IF(D147="",17,IF(C147="",17,_xlfn.XLOOKUP(D147,refs!$A$2:$A$21,refs!$B$2:$B$21,"")))</f>
        <v>17</v>
      </c>
      <c r="L147" t="str">
        <f>"PASSTHROUGH|"&amp;A147&amp;"^^/ s /io.in."&amp;B147&amp;".mute="&amp;E147&amp;",mode="&amp;F147&amp;",icon="&amp;G147&amp;",pol="&amp;H147&amp;",vph="&amp;I147&amp;",name="&amp;J147&amp;",col="&amp;K147&amp;","</f>
        <v>PASSTHROUGH|WING1^^/ s /io.in.C.18.mute=0,mode=M,icon=0,pol=0,vph=0,name=C.18,col=17,</v>
      </c>
    </row>
    <row r="148" spans="1:12" ht="15.75" x14ac:dyDescent="0.25">
      <c r="A148" s="1" t="s">
        <v>66</v>
      </c>
      <c r="B148" s="6" t="s">
        <v>188</v>
      </c>
      <c r="C148" s="12"/>
      <c r="D148" s="4"/>
      <c r="E148" s="4">
        <v>0</v>
      </c>
      <c r="F148" s="4" t="s">
        <v>71</v>
      </c>
      <c r="G148" s="4">
        <v>0</v>
      </c>
      <c r="H148" s="4">
        <v>0</v>
      </c>
      <c r="I148" s="4">
        <v>0</v>
      </c>
      <c r="J148" s="9" t="str">
        <f t="shared" si="2"/>
        <v>C.19</v>
      </c>
      <c r="K148" s="10">
        <f>IF(D148="",17,IF(C148="",17,_xlfn.XLOOKUP(D148,refs!$A$2:$A$21,refs!$B$2:$B$21,"")))</f>
        <v>17</v>
      </c>
      <c r="L148" t="str">
        <f>"PASSTHROUGH|"&amp;A148&amp;"^^/ s /io.in."&amp;B148&amp;".mute="&amp;E148&amp;",mode="&amp;F148&amp;",icon="&amp;G148&amp;",pol="&amp;H148&amp;",vph="&amp;I148&amp;",name="&amp;J148&amp;",col="&amp;K148&amp;","</f>
        <v>PASSTHROUGH|WING1^^/ s /io.in.C.19.mute=0,mode=M,icon=0,pol=0,vph=0,name=C.19,col=17,</v>
      </c>
    </row>
    <row r="149" spans="1:12" ht="15.75" x14ac:dyDescent="0.25">
      <c r="A149" s="1" t="s">
        <v>66</v>
      </c>
      <c r="B149" s="6" t="s">
        <v>189</v>
      </c>
      <c r="C149" s="12"/>
      <c r="D149" s="4"/>
      <c r="E149" s="4">
        <v>0</v>
      </c>
      <c r="F149" s="4" t="s">
        <v>71</v>
      </c>
      <c r="G149" s="4">
        <v>0</v>
      </c>
      <c r="H149" s="4">
        <v>0</v>
      </c>
      <c r="I149" s="4">
        <v>0</v>
      </c>
      <c r="J149" s="9" t="str">
        <f t="shared" si="2"/>
        <v>C.20</v>
      </c>
      <c r="K149" s="10">
        <f>IF(D149="",17,IF(C149="",17,_xlfn.XLOOKUP(D149,refs!$A$2:$A$21,refs!$B$2:$B$21,"")))</f>
        <v>17</v>
      </c>
      <c r="L149" t="str">
        <f>"PASSTHROUGH|"&amp;A149&amp;"^^/ s /io.in."&amp;B149&amp;".mute="&amp;E149&amp;",mode="&amp;F149&amp;",icon="&amp;G149&amp;",pol="&amp;H149&amp;",vph="&amp;I149&amp;",name="&amp;J149&amp;",col="&amp;K149&amp;","</f>
        <v>PASSTHROUGH|WING1^^/ s /io.in.C.20.mute=0,mode=M,icon=0,pol=0,vph=0,name=C.20,col=17,</v>
      </c>
    </row>
    <row r="150" spans="1:12" ht="15.75" x14ac:dyDescent="0.25">
      <c r="A150" s="1" t="s">
        <v>66</v>
      </c>
      <c r="B150" s="6" t="s">
        <v>190</v>
      </c>
      <c r="C150" s="12"/>
      <c r="D150" s="4"/>
      <c r="E150" s="4">
        <v>0</v>
      </c>
      <c r="F150" s="4" t="s">
        <v>71</v>
      </c>
      <c r="G150" s="4">
        <v>0</v>
      </c>
      <c r="H150" s="4">
        <v>0</v>
      </c>
      <c r="I150" s="4">
        <v>0</v>
      </c>
      <c r="J150" s="9" t="str">
        <f t="shared" si="2"/>
        <v>C.21</v>
      </c>
      <c r="K150" s="10">
        <f>IF(D150="",17,IF(C150="",17,_xlfn.XLOOKUP(D150,refs!$A$2:$A$21,refs!$B$2:$B$21,"")))</f>
        <v>17</v>
      </c>
      <c r="L150" t="str">
        <f>"PASSTHROUGH|"&amp;A150&amp;"^^/ s /io.in."&amp;B150&amp;".mute="&amp;E150&amp;",mode="&amp;F150&amp;",icon="&amp;G150&amp;",pol="&amp;H150&amp;",vph="&amp;I150&amp;",name="&amp;J150&amp;",col="&amp;K150&amp;","</f>
        <v>PASSTHROUGH|WING1^^/ s /io.in.C.21.mute=0,mode=M,icon=0,pol=0,vph=0,name=C.21,col=17,</v>
      </c>
    </row>
    <row r="151" spans="1:12" ht="15.75" x14ac:dyDescent="0.25">
      <c r="A151" s="1" t="s">
        <v>66</v>
      </c>
      <c r="B151" s="6" t="s">
        <v>191</v>
      </c>
      <c r="C151" s="12"/>
      <c r="D151" s="4"/>
      <c r="E151" s="4">
        <v>0</v>
      </c>
      <c r="F151" s="4" t="s">
        <v>71</v>
      </c>
      <c r="G151" s="4">
        <v>0</v>
      </c>
      <c r="H151" s="4">
        <v>0</v>
      </c>
      <c r="I151" s="4">
        <v>0</v>
      </c>
      <c r="J151" s="9" t="str">
        <f t="shared" si="2"/>
        <v>C.22</v>
      </c>
      <c r="K151" s="10">
        <f>IF(D151="",17,IF(C151="",17,_xlfn.XLOOKUP(D151,refs!$A$2:$A$21,refs!$B$2:$B$21,"")))</f>
        <v>17</v>
      </c>
      <c r="L151" t="str">
        <f>"PASSTHROUGH|"&amp;A151&amp;"^^/ s /io.in."&amp;B151&amp;".mute="&amp;E151&amp;",mode="&amp;F151&amp;",icon="&amp;G151&amp;",pol="&amp;H151&amp;",vph="&amp;I151&amp;",name="&amp;J151&amp;",col="&amp;K151&amp;","</f>
        <v>PASSTHROUGH|WING1^^/ s /io.in.C.22.mute=0,mode=M,icon=0,pol=0,vph=0,name=C.22,col=17,</v>
      </c>
    </row>
    <row r="152" spans="1:12" ht="15.75" x14ac:dyDescent="0.25">
      <c r="A152" s="1" t="s">
        <v>66</v>
      </c>
      <c r="B152" s="6" t="s">
        <v>192</v>
      </c>
      <c r="C152" s="12"/>
      <c r="D152" s="4"/>
      <c r="E152" s="4">
        <v>0</v>
      </c>
      <c r="F152" s="4" t="s">
        <v>71</v>
      </c>
      <c r="G152" s="4">
        <v>0</v>
      </c>
      <c r="H152" s="4">
        <v>0</v>
      </c>
      <c r="I152" s="4">
        <v>0</v>
      </c>
      <c r="J152" s="9" t="str">
        <f t="shared" si="2"/>
        <v>C.23</v>
      </c>
      <c r="K152" s="10">
        <f>IF(D152="",17,IF(C152="",17,_xlfn.XLOOKUP(D152,refs!$A$2:$A$21,refs!$B$2:$B$21,"")))</f>
        <v>17</v>
      </c>
      <c r="L152" t="str">
        <f>"PASSTHROUGH|"&amp;A152&amp;"^^/ s /io.in."&amp;B152&amp;".mute="&amp;E152&amp;",mode="&amp;F152&amp;",icon="&amp;G152&amp;",pol="&amp;H152&amp;",vph="&amp;I152&amp;",name="&amp;J152&amp;",col="&amp;K152&amp;","</f>
        <v>PASSTHROUGH|WING1^^/ s /io.in.C.23.mute=0,mode=M,icon=0,pol=0,vph=0,name=C.23,col=17,</v>
      </c>
    </row>
    <row r="153" spans="1:12" ht="15.75" x14ac:dyDescent="0.25">
      <c r="A153" s="1" t="s">
        <v>66</v>
      </c>
      <c r="B153" s="6" t="s">
        <v>193</v>
      </c>
      <c r="C153" s="12"/>
      <c r="D153" s="4"/>
      <c r="E153" s="4">
        <v>0</v>
      </c>
      <c r="F153" s="4" t="s">
        <v>71</v>
      </c>
      <c r="G153" s="4">
        <v>0</v>
      </c>
      <c r="H153" s="4">
        <v>0</v>
      </c>
      <c r="I153" s="4">
        <v>0</v>
      </c>
      <c r="J153" s="9" t="str">
        <f t="shared" si="2"/>
        <v>C.24</v>
      </c>
      <c r="K153" s="10">
        <f>IF(D153="",17,IF(C153="",17,_xlfn.XLOOKUP(D153,refs!$A$2:$A$21,refs!$B$2:$B$21,"")))</f>
        <v>17</v>
      </c>
      <c r="L153" t="str">
        <f>"PASSTHROUGH|"&amp;A153&amp;"^^/ s /io.in."&amp;B153&amp;".mute="&amp;E153&amp;",mode="&amp;F153&amp;",icon="&amp;G153&amp;",pol="&amp;H153&amp;",vph="&amp;I153&amp;",name="&amp;J153&amp;",col="&amp;K153&amp;","</f>
        <v>PASSTHROUGH|WING1^^/ s /io.in.C.24.mute=0,mode=M,icon=0,pol=0,vph=0,name=C.24,col=17,</v>
      </c>
    </row>
    <row r="154" spans="1:12" ht="15.75" x14ac:dyDescent="0.25">
      <c r="A154" s="1" t="s">
        <v>66</v>
      </c>
      <c r="B154" s="6" t="s">
        <v>194</v>
      </c>
      <c r="C154" s="12"/>
      <c r="D154" s="4"/>
      <c r="E154" s="4">
        <v>0</v>
      </c>
      <c r="F154" s="4" t="s">
        <v>71</v>
      </c>
      <c r="G154" s="4">
        <v>0</v>
      </c>
      <c r="H154" s="4">
        <v>0</v>
      </c>
      <c r="I154" s="4">
        <v>0</v>
      </c>
      <c r="J154" s="9" t="str">
        <f t="shared" si="2"/>
        <v>C.25</v>
      </c>
      <c r="K154" s="10">
        <f>IF(D154="",17,IF(C154="",17,_xlfn.XLOOKUP(D154,refs!$A$2:$A$21,refs!$B$2:$B$21,"")))</f>
        <v>17</v>
      </c>
      <c r="L154" t="str">
        <f>"PASSTHROUGH|"&amp;A154&amp;"^^/ s /io.in."&amp;B154&amp;".mute="&amp;E154&amp;",mode="&amp;F154&amp;",icon="&amp;G154&amp;",pol="&amp;H154&amp;",vph="&amp;I154&amp;",name="&amp;J154&amp;",col="&amp;K154&amp;","</f>
        <v>PASSTHROUGH|WING1^^/ s /io.in.C.25.mute=0,mode=M,icon=0,pol=0,vph=0,name=C.25,col=17,</v>
      </c>
    </row>
    <row r="155" spans="1:12" ht="15.75" x14ac:dyDescent="0.25">
      <c r="A155" s="1" t="s">
        <v>66</v>
      </c>
      <c r="B155" s="6" t="s">
        <v>195</v>
      </c>
      <c r="C155" s="12"/>
      <c r="D155" s="4"/>
      <c r="E155" s="4">
        <v>0</v>
      </c>
      <c r="F155" s="4" t="s">
        <v>71</v>
      </c>
      <c r="G155" s="4">
        <v>0</v>
      </c>
      <c r="H155" s="4">
        <v>0</v>
      </c>
      <c r="I155" s="4">
        <v>0</v>
      </c>
      <c r="J155" s="9" t="str">
        <f t="shared" si="2"/>
        <v>C.26</v>
      </c>
      <c r="K155" s="10">
        <f>IF(D155="",17,IF(C155="",17,_xlfn.XLOOKUP(D155,refs!$A$2:$A$21,refs!$B$2:$B$21,"")))</f>
        <v>17</v>
      </c>
      <c r="L155" t="str">
        <f>"PASSTHROUGH|"&amp;A155&amp;"^^/ s /io.in."&amp;B155&amp;".mute="&amp;E155&amp;",mode="&amp;F155&amp;",icon="&amp;G155&amp;",pol="&amp;H155&amp;",vph="&amp;I155&amp;",name="&amp;J155&amp;",col="&amp;K155&amp;","</f>
        <v>PASSTHROUGH|WING1^^/ s /io.in.C.26.mute=0,mode=M,icon=0,pol=0,vph=0,name=C.26,col=17,</v>
      </c>
    </row>
    <row r="156" spans="1:12" ht="15.75" x14ac:dyDescent="0.25">
      <c r="A156" s="1" t="s">
        <v>66</v>
      </c>
      <c r="B156" s="6" t="s">
        <v>196</v>
      </c>
      <c r="C156" s="12"/>
      <c r="D156" s="4"/>
      <c r="E156" s="4">
        <v>0</v>
      </c>
      <c r="F156" s="4" t="s">
        <v>71</v>
      </c>
      <c r="G156" s="4">
        <v>0</v>
      </c>
      <c r="H156" s="4">
        <v>0</v>
      </c>
      <c r="I156" s="4">
        <v>0</v>
      </c>
      <c r="J156" s="9" t="str">
        <f t="shared" si="2"/>
        <v>C.27</v>
      </c>
      <c r="K156" s="10">
        <f>IF(D156="",17,IF(C156="",17,_xlfn.XLOOKUP(D156,refs!$A$2:$A$21,refs!$B$2:$B$21,"")))</f>
        <v>17</v>
      </c>
      <c r="L156" t="str">
        <f>"PASSTHROUGH|"&amp;A156&amp;"^^/ s /io.in."&amp;B156&amp;".mute="&amp;E156&amp;",mode="&amp;F156&amp;",icon="&amp;G156&amp;",pol="&amp;H156&amp;",vph="&amp;I156&amp;",name="&amp;J156&amp;",col="&amp;K156&amp;","</f>
        <v>PASSTHROUGH|WING1^^/ s /io.in.C.27.mute=0,mode=M,icon=0,pol=0,vph=0,name=C.27,col=17,</v>
      </c>
    </row>
    <row r="157" spans="1:12" ht="15.75" x14ac:dyDescent="0.25">
      <c r="A157" s="1" t="s">
        <v>66</v>
      </c>
      <c r="B157" s="6" t="s">
        <v>197</v>
      </c>
      <c r="C157" s="12"/>
      <c r="D157" s="4"/>
      <c r="E157" s="4">
        <v>0</v>
      </c>
      <c r="F157" s="4" t="s">
        <v>71</v>
      </c>
      <c r="G157" s="4">
        <v>0</v>
      </c>
      <c r="H157" s="4">
        <v>0</v>
      </c>
      <c r="I157" s="4">
        <v>0</v>
      </c>
      <c r="J157" s="9" t="str">
        <f t="shared" si="2"/>
        <v>C.28</v>
      </c>
      <c r="K157" s="10">
        <f>IF(D157="",17,IF(C157="",17,_xlfn.XLOOKUP(D157,refs!$A$2:$A$21,refs!$B$2:$B$21,"")))</f>
        <v>17</v>
      </c>
      <c r="L157" t="str">
        <f>"PASSTHROUGH|"&amp;A157&amp;"^^/ s /io.in."&amp;B157&amp;".mute="&amp;E157&amp;",mode="&amp;F157&amp;",icon="&amp;G157&amp;",pol="&amp;H157&amp;",vph="&amp;I157&amp;",name="&amp;J157&amp;",col="&amp;K157&amp;","</f>
        <v>PASSTHROUGH|WING1^^/ s /io.in.C.28.mute=0,mode=M,icon=0,pol=0,vph=0,name=C.28,col=17,</v>
      </c>
    </row>
    <row r="158" spans="1:12" ht="15.75" x14ac:dyDescent="0.25">
      <c r="A158" s="1" t="s">
        <v>66</v>
      </c>
      <c r="B158" s="6" t="s">
        <v>198</v>
      </c>
      <c r="C158" s="12"/>
      <c r="D158" s="4"/>
      <c r="E158" s="4">
        <v>0</v>
      </c>
      <c r="F158" s="4" t="s">
        <v>71</v>
      </c>
      <c r="G158" s="4">
        <v>0</v>
      </c>
      <c r="H158" s="4">
        <v>0</v>
      </c>
      <c r="I158" s="4">
        <v>0</v>
      </c>
      <c r="J158" s="9" t="str">
        <f t="shared" si="2"/>
        <v>C.29</v>
      </c>
      <c r="K158" s="10">
        <f>IF(D158="",17,IF(C158="",17,_xlfn.XLOOKUP(D158,refs!$A$2:$A$21,refs!$B$2:$B$21,"")))</f>
        <v>17</v>
      </c>
      <c r="L158" t="str">
        <f>"PASSTHROUGH|"&amp;A158&amp;"^^/ s /io.in."&amp;B158&amp;".mute="&amp;E158&amp;",mode="&amp;F158&amp;",icon="&amp;G158&amp;",pol="&amp;H158&amp;",vph="&amp;I158&amp;",name="&amp;J158&amp;",col="&amp;K158&amp;","</f>
        <v>PASSTHROUGH|WING1^^/ s /io.in.C.29.mute=0,mode=M,icon=0,pol=0,vph=0,name=C.29,col=17,</v>
      </c>
    </row>
    <row r="159" spans="1:12" ht="15.75" x14ac:dyDescent="0.25">
      <c r="A159" s="1" t="s">
        <v>66</v>
      </c>
      <c r="B159" s="6" t="s">
        <v>199</v>
      </c>
      <c r="C159" s="12"/>
      <c r="D159" s="4"/>
      <c r="E159" s="4">
        <v>0</v>
      </c>
      <c r="F159" s="4" t="s">
        <v>71</v>
      </c>
      <c r="G159" s="4">
        <v>0</v>
      </c>
      <c r="H159" s="4">
        <v>0</v>
      </c>
      <c r="I159" s="4">
        <v>0</v>
      </c>
      <c r="J159" s="9" t="str">
        <f t="shared" si="2"/>
        <v>C.30</v>
      </c>
      <c r="K159" s="10">
        <f>IF(D159="",17,IF(C159="",17,_xlfn.XLOOKUP(D159,refs!$A$2:$A$21,refs!$B$2:$B$21,"")))</f>
        <v>17</v>
      </c>
      <c r="L159" t="str">
        <f>"PASSTHROUGH|"&amp;A159&amp;"^^/ s /io.in."&amp;B159&amp;".mute="&amp;E159&amp;",mode="&amp;F159&amp;",icon="&amp;G159&amp;",pol="&amp;H159&amp;",vph="&amp;I159&amp;",name="&amp;J159&amp;",col="&amp;K159&amp;","</f>
        <v>PASSTHROUGH|WING1^^/ s /io.in.C.30.mute=0,mode=M,icon=0,pol=0,vph=0,name=C.30,col=17,</v>
      </c>
    </row>
    <row r="160" spans="1:12" ht="15.75" x14ac:dyDescent="0.25">
      <c r="A160" s="1" t="s">
        <v>66</v>
      </c>
      <c r="B160" s="6" t="s">
        <v>200</v>
      </c>
      <c r="C160" s="12"/>
      <c r="D160" s="4"/>
      <c r="E160" s="4">
        <v>0</v>
      </c>
      <c r="F160" s="4" t="s">
        <v>71</v>
      </c>
      <c r="G160" s="4">
        <v>0</v>
      </c>
      <c r="H160" s="4">
        <v>0</v>
      </c>
      <c r="I160" s="4">
        <v>0</v>
      </c>
      <c r="J160" s="9" t="str">
        <f t="shared" si="2"/>
        <v>C.31</v>
      </c>
      <c r="K160" s="10">
        <f>IF(D160="",17,IF(C160="",17,_xlfn.XLOOKUP(D160,refs!$A$2:$A$21,refs!$B$2:$B$21,"")))</f>
        <v>17</v>
      </c>
      <c r="L160" t="str">
        <f>"PASSTHROUGH|"&amp;A160&amp;"^^/ s /io.in."&amp;B160&amp;".mute="&amp;E160&amp;",mode="&amp;F160&amp;",icon="&amp;G160&amp;",pol="&amp;H160&amp;",vph="&amp;I160&amp;",name="&amp;J160&amp;",col="&amp;K160&amp;","</f>
        <v>PASSTHROUGH|WING1^^/ s /io.in.C.31.mute=0,mode=M,icon=0,pol=0,vph=0,name=C.31,col=17,</v>
      </c>
    </row>
    <row r="161" spans="1:12" ht="15.75" x14ac:dyDescent="0.25">
      <c r="A161" s="1" t="s">
        <v>66</v>
      </c>
      <c r="B161" s="6" t="s">
        <v>201</v>
      </c>
      <c r="C161" s="12"/>
      <c r="D161" s="4"/>
      <c r="E161" s="4">
        <v>0</v>
      </c>
      <c r="F161" s="4" t="s">
        <v>71</v>
      </c>
      <c r="G161" s="4">
        <v>0</v>
      </c>
      <c r="H161" s="4">
        <v>0</v>
      </c>
      <c r="I161" s="4">
        <v>0</v>
      </c>
      <c r="J161" s="9" t="str">
        <f t="shared" si="2"/>
        <v>C.32</v>
      </c>
      <c r="K161" s="10">
        <f>IF(D161="",17,IF(C161="",17,_xlfn.XLOOKUP(D161,refs!$A$2:$A$21,refs!$B$2:$B$21,"")))</f>
        <v>17</v>
      </c>
      <c r="L161" t="str">
        <f>"PASSTHROUGH|"&amp;A161&amp;"^^/ s /io.in."&amp;B161&amp;".mute="&amp;E161&amp;",mode="&amp;F161&amp;",icon="&amp;G161&amp;",pol="&amp;H161&amp;",vph="&amp;I161&amp;",name="&amp;J161&amp;",col="&amp;K161&amp;","</f>
        <v>PASSTHROUGH|WING1^^/ s /io.in.C.32.mute=0,mode=M,icon=0,pol=0,vph=0,name=C.32,col=17,</v>
      </c>
    </row>
    <row r="162" spans="1:12" ht="15.75" x14ac:dyDescent="0.25">
      <c r="A162" s="1" t="s">
        <v>66</v>
      </c>
      <c r="B162" s="6" t="s">
        <v>202</v>
      </c>
      <c r="C162" s="12"/>
      <c r="D162" s="4"/>
      <c r="E162" s="4">
        <v>0</v>
      </c>
      <c r="F162" s="4" t="s">
        <v>71</v>
      </c>
      <c r="G162" s="4">
        <v>0</v>
      </c>
      <c r="H162" s="4">
        <v>0</v>
      </c>
      <c r="I162" s="4">
        <v>0</v>
      </c>
      <c r="J162" s="9" t="str">
        <f t="shared" si="2"/>
        <v>C.33</v>
      </c>
      <c r="K162" s="10">
        <f>IF(D162="",17,IF(C162="",17,_xlfn.XLOOKUP(D162,refs!$A$2:$A$21,refs!$B$2:$B$21,"")))</f>
        <v>17</v>
      </c>
      <c r="L162" t="str">
        <f>"PASSTHROUGH|"&amp;A162&amp;"^^/ s /io.in."&amp;B162&amp;".mute="&amp;E162&amp;",mode="&amp;F162&amp;",icon="&amp;G162&amp;",pol="&amp;H162&amp;",vph="&amp;I162&amp;",name="&amp;J162&amp;",col="&amp;K162&amp;","</f>
        <v>PASSTHROUGH|WING1^^/ s /io.in.C.33.mute=0,mode=M,icon=0,pol=0,vph=0,name=C.33,col=17,</v>
      </c>
    </row>
    <row r="163" spans="1:12" ht="15.75" x14ac:dyDescent="0.25">
      <c r="A163" s="1" t="s">
        <v>66</v>
      </c>
      <c r="B163" s="6" t="s">
        <v>203</v>
      </c>
      <c r="C163" s="12"/>
      <c r="D163" s="4"/>
      <c r="E163" s="4">
        <v>0</v>
      </c>
      <c r="F163" s="4" t="s">
        <v>71</v>
      </c>
      <c r="G163" s="4">
        <v>0</v>
      </c>
      <c r="H163" s="4">
        <v>0</v>
      </c>
      <c r="I163" s="4">
        <v>0</v>
      </c>
      <c r="J163" s="9" t="str">
        <f t="shared" si="2"/>
        <v>C.34</v>
      </c>
      <c r="K163" s="10">
        <f>IF(D163="",17,IF(C163="",17,_xlfn.XLOOKUP(D163,refs!$A$2:$A$21,refs!$B$2:$B$21,"")))</f>
        <v>17</v>
      </c>
      <c r="L163" t="str">
        <f>"PASSTHROUGH|"&amp;A163&amp;"^^/ s /io.in."&amp;B163&amp;".mute="&amp;E163&amp;",mode="&amp;F163&amp;",icon="&amp;G163&amp;",pol="&amp;H163&amp;",vph="&amp;I163&amp;",name="&amp;J163&amp;",col="&amp;K163&amp;","</f>
        <v>PASSTHROUGH|WING1^^/ s /io.in.C.34.mute=0,mode=M,icon=0,pol=0,vph=0,name=C.34,col=17,</v>
      </c>
    </row>
    <row r="164" spans="1:12" ht="15.75" x14ac:dyDescent="0.25">
      <c r="A164" s="1" t="s">
        <v>66</v>
      </c>
      <c r="B164" s="6" t="s">
        <v>204</v>
      </c>
      <c r="C164" s="12"/>
      <c r="D164" s="4"/>
      <c r="E164" s="4">
        <v>0</v>
      </c>
      <c r="F164" s="4" t="s">
        <v>71</v>
      </c>
      <c r="G164" s="4">
        <v>0</v>
      </c>
      <c r="H164" s="4">
        <v>0</v>
      </c>
      <c r="I164" s="4">
        <v>0</v>
      </c>
      <c r="J164" s="9" t="str">
        <f t="shared" si="2"/>
        <v>C.35</v>
      </c>
      <c r="K164" s="10">
        <f>IF(D164="",17,IF(C164="",17,_xlfn.XLOOKUP(D164,refs!$A$2:$A$21,refs!$B$2:$B$21,"")))</f>
        <v>17</v>
      </c>
      <c r="L164" t="str">
        <f>"PASSTHROUGH|"&amp;A164&amp;"^^/ s /io.in."&amp;B164&amp;".mute="&amp;E164&amp;",mode="&amp;F164&amp;",icon="&amp;G164&amp;",pol="&amp;H164&amp;",vph="&amp;I164&amp;",name="&amp;J164&amp;",col="&amp;K164&amp;","</f>
        <v>PASSTHROUGH|WING1^^/ s /io.in.C.35.mute=0,mode=M,icon=0,pol=0,vph=0,name=C.35,col=17,</v>
      </c>
    </row>
    <row r="165" spans="1:12" ht="15.75" x14ac:dyDescent="0.25">
      <c r="A165" s="1" t="s">
        <v>66</v>
      </c>
      <c r="B165" s="6" t="s">
        <v>205</v>
      </c>
      <c r="C165" s="12"/>
      <c r="D165" s="4"/>
      <c r="E165" s="4">
        <v>0</v>
      </c>
      <c r="F165" s="4" t="s">
        <v>71</v>
      </c>
      <c r="G165" s="4">
        <v>0</v>
      </c>
      <c r="H165" s="4">
        <v>0</v>
      </c>
      <c r="I165" s="4">
        <v>0</v>
      </c>
      <c r="J165" s="9" t="str">
        <f t="shared" si="2"/>
        <v>C.36</v>
      </c>
      <c r="K165" s="10">
        <f>IF(D165="",17,IF(C165="",17,_xlfn.XLOOKUP(D165,refs!$A$2:$A$21,refs!$B$2:$B$21,"")))</f>
        <v>17</v>
      </c>
      <c r="L165" t="str">
        <f>"PASSTHROUGH|"&amp;A165&amp;"^^/ s /io.in."&amp;B165&amp;".mute="&amp;E165&amp;",mode="&amp;F165&amp;",icon="&amp;G165&amp;",pol="&amp;H165&amp;",vph="&amp;I165&amp;",name="&amp;J165&amp;",col="&amp;K165&amp;","</f>
        <v>PASSTHROUGH|WING1^^/ s /io.in.C.36.mute=0,mode=M,icon=0,pol=0,vph=0,name=C.36,col=17,</v>
      </c>
    </row>
    <row r="166" spans="1:12" ht="15.75" x14ac:dyDescent="0.25">
      <c r="A166" s="1" t="s">
        <v>66</v>
      </c>
      <c r="B166" s="6" t="s">
        <v>206</v>
      </c>
      <c r="C166" s="12"/>
      <c r="D166" s="4"/>
      <c r="E166" s="4">
        <v>0</v>
      </c>
      <c r="F166" s="4" t="s">
        <v>71</v>
      </c>
      <c r="G166" s="4">
        <v>0</v>
      </c>
      <c r="H166" s="4">
        <v>0</v>
      </c>
      <c r="I166" s="4">
        <v>0</v>
      </c>
      <c r="J166" s="9" t="str">
        <f t="shared" si="2"/>
        <v>C.37</v>
      </c>
      <c r="K166" s="10">
        <f>IF(D166="",17,IF(C166="",17,_xlfn.XLOOKUP(D166,refs!$A$2:$A$21,refs!$B$2:$B$21,"")))</f>
        <v>17</v>
      </c>
      <c r="L166" t="str">
        <f>"PASSTHROUGH|"&amp;A166&amp;"^^/ s /io.in."&amp;B166&amp;".mute="&amp;E166&amp;",mode="&amp;F166&amp;",icon="&amp;G166&amp;",pol="&amp;H166&amp;",vph="&amp;I166&amp;",name="&amp;J166&amp;",col="&amp;K166&amp;","</f>
        <v>PASSTHROUGH|WING1^^/ s /io.in.C.37.mute=0,mode=M,icon=0,pol=0,vph=0,name=C.37,col=17,</v>
      </c>
    </row>
    <row r="167" spans="1:12" ht="15.75" x14ac:dyDescent="0.25">
      <c r="A167" s="1" t="s">
        <v>66</v>
      </c>
      <c r="B167" s="6" t="s">
        <v>207</v>
      </c>
      <c r="C167" s="12"/>
      <c r="D167" s="4"/>
      <c r="E167" s="4">
        <v>0</v>
      </c>
      <c r="F167" s="4" t="s">
        <v>71</v>
      </c>
      <c r="G167" s="4">
        <v>0</v>
      </c>
      <c r="H167" s="4">
        <v>0</v>
      </c>
      <c r="I167" s="4">
        <v>0</v>
      </c>
      <c r="J167" s="9" t="str">
        <f t="shared" si="2"/>
        <v>C.38</v>
      </c>
      <c r="K167" s="10">
        <f>IF(D167="",17,IF(C167="",17,_xlfn.XLOOKUP(D167,refs!$A$2:$A$21,refs!$B$2:$B$21,"")))</f>
        <v>17</v>
      </c>
      <c r="L167" t="str">
        <f>"PASSTHROUGH|"&amp;A167&amp;"^^/ s /io.in."&amp;B167&amp;".mute="&amp;E167&amp;",mode="&amp;F167&amp;",icon="&amp;G167&amp;",pol="&amp;H167&amp;",vph="&amp;I167&amp;",name="&amp;J167&amp;",col="&amp;K167&amp;","</f>
        <v>PASSTHROUGH|WING1^^/ s /io.in.C.38.mute=0,mode=M,icon=0,pol=0,vph=0,name=C.38,col=17,</v>
      </c>
    </row>
    <row r="168" spans="1:12" ht="15.75" x14ac:dyDescent="0.25">
      <c r="A168" s="1" t="s">
        <v>66</v>
      </c>
      <c r="B168" s="6" t="s">
        <v>208</v>
      </c>
      <c r="C168" s="12"/>
      <c r="D168" s="4"/>
      <c r="E168" s="4">
        <v>0</v>
      </c>
      <c r="F168" s="4" t="s">
        <v>71</v>
      </c>
      <c r="G168" s="4">
        <v>0</v>
      </c>
      <c r="H168" s="4">
        <v>0</v>
      </c>
      <c r="I168" s="4">
        <v>0</v>
      </c>
      <c r="J168" s="9" t="str">
        <f t="shared" si="2"/>
        <v>C.39</v>
      </c>
      <c r="K168" s="10">
        <f>IF(D168="",17,IF(C168="",17,_xlfn.XLOOKUP(D168,refs!$A$2:$A$21,refs!$B$2:$B$21,"")))</f>
        <v>17</v>
      </c>
      <c r="L168" t="str">
        <f>"PASSTHROUGH|"&amp;A168&amp;"^^/ s /io.in."&amp;B168&amp;".mute="&amp;E168&amp;",mode="&amp;F168&amp;",icon="&amp;G168&amp;",pol="&amp;H168&amp;",vph="&amp;I168&amp;",name="&amp;J168&amp;",col="&amp;K168&amp;","</f>
        <v>PASSTHROUGH|WING1^^/ s /io.in.C.39.mute=0,mode=M,icon=0,pol=0,vph=0,name=C.39,col=17,</v>
      </c>
    </row>
    <row r="169" spans="1:12" ht="15.75" x14ac:dyDescent="0.25">
      <c r="A169" s="1" t="s">
        <v>66</v>
      </c>
      <c r="B169" s="6" t="s">
        <v>209</v>
      </c>
      <c r="C169" s="12"/>
      <c r="D169" s="4"/>
      <c r="E169" s="4">
        <v>0</v>
      </c>
      <c r="F169" s="4" t="s">
        <v>71</v>
      </c>
      <c r="G169" s="4">
        <v>0</v>
      </c>
      <c r="H169" s="4">
        <v>0</v>
      </c>
      <c r="I169" s="4">
        <v>0</v>
      </c>
      <c r="J169" s="9" t="str">
        <f t="shared" si="2"/>
        <v>C.40</v>
      </c>
      <c r="K169" s="10">
        <f>IF(D169="",17,IF(C169="",17,_xlfn.XLOOKUP(D169,refs!$A$2:$A$21,refs!$B$2:$B$21,"")))</f>
        <v>17</v>
      </c>
      <c r="L169" t="str">
        <f>"PASSTHROUGH|"&amp;A169&amp;"^^/ s /io.in."&amp;B169&amp;".mute="&amp;E169&amp;",mode="&amp;F169&amp;",icon="&amp;G169&amp;",pol="&amp;H169&amp;",vph="&amp;I169&amp;",name="&amp;J169&amp;",col="&amp;K169&amp;","</f>
        <v>PASSTHROUGH|WING1^^/ s /io.in.C.40.mute=0,mode=M,icon=0,pol=0,vph=0,name=C.40,col=17,</v>
      </c>
    </row>
    <row r="170" spans="1:12" ht="15.75" x14ac:dyDescent="0.25">
      <c r="A170" s="1" t="s">
        <v>66</v>
      </c>
      <c r="B170" s="6" t="s">
        <v>210</v>
      </c>
      <c r="C170" s="12"/>
      <c r="D170" s="4"/>
      <c r="E170" s="4">
        <v>0</v>
      </c>
      <c r="F170" s="4" t="s">
        <v>71</v>
      </c>
      <c r="G170" s="4">
        <v>0</v>
      </c>
      <c r="H170" s="4">
        <v>0</v>
      </c>
      <c r="I170" s="4">
        <v>0</v>
      </c>
      <c r="J170" s="9" t="str">
        <f t="shared" si="2"/>
        <v>C.41</v>
      </c>
      <c r="K170" s="10">
        <f>IF(D170="",17,IF(C170="",17,_xlfn.XLOOKUP(D170,refs!$A$2:$A$21,refs!$B$2:$B$21,"")))</f>
        <v>17</v>
      </c>
      <c r="L170" t="str">
        <f>"PASSTHROUGH|"&amp;A170&amp;"^^/ s /io.in."&amp;B170&amp;".mute="&amp;E170&amp;",mode="&amp;F170&amp;",icon="&amp;G170&amp;",pol="&amp;H170&amp;",vph="&amp;I170&amp;",name="&amp;J170&amp;",col="&amp;K170&amp;","</f>
        <v>PASSTHROUGH|WING1^^/ s /io.in.C.41.mute=0,mode=M,icon=0,pol=0,vph=0,name=C.41,col=17,</v>
      </c>
    </row>
    <row r="171" spans="1:12" ht="15.75" x14ac:dyDescent="0.25">
      <c r="A171" s="1" t="s">
        <v>66</v>
      </c>
      <c r="B171" s="6" t="s">
        <v>211</v>
      </c>
      <c r="C171" s="12"/>
      <c r="D171" s="4"/>
      <c r="E171" s="4">
        <v>0</v>
      </c>
      <c r="F171" s="4" t="s">
        <v>71</v>
      </c>
      <c r="G171" s="4">
        <v>0</v>
      </c>
      <c r="H171" s="4">
        <v>0</v>
      </c>
      <c r="I171" s="4">
        <v>0</v>
      </c>
      <c r="J171" s="9" t="str">
        <f t="shared" si="2"/>
        <v>C.42</v>
      </c>
      <c r="K171" s="10">
        <f>IF(D171="",17,IF(C171="",17,_xlfn.XLOOKUP(D171,refs!$A$2:$A$21,refs!$B$2:$B$21,"")))</f>
        <v>17</v>
      </c>
      <c r="L171" t="str">
        <f>"PASSTHROUGH|"&amp;A171&amp;"^^/ s /io.in."&amp;B171&amp;".mute="&amp;E171&amp;",mode="&amp;F171&amp;",icon="&amp;G171&amp;",pol="&amp;H171&amp;",vph="&amp;I171&amp;",name="&amp;J171&amp;",col="&amp;K171&amp;","</f>
        <v>PASSTHROUGH|WING1^^/ s /io.in.C.42.mute=0,mode=M,icon=0,pol=0,vph=0,name=C.42,col=17,</v>
      </c>
    </row>
    <row r="172" spans="1:12" ht="15.75" x14ac:dyDescent="0.25">
      <c r="A172" s="1" t="s">
        <v>66</v>
      </c>
      <c r="B172" s="6" t="s">
        <v>212</v>
      </c>
      <c r="C172" s="12"/>
      <c r="D172" s="4"/>
      <c r="E172" s="4">
        <v>0</v>
      </c>
      <c r="F172" s="4" t="s">
        <v>71</v>
      </c>
      <c r="G172" s="4">
        <v>0</v>
      </c>
      <c r="H172" s="4">
        <v>0</v>
      </c>
      <c r="I172" s="4">
        <v>0</v>
      </c>
      <c r="J172" s="9" t="str">
        <f t="shared" si="2"/>
        <v>C.43</v>
      </c>
      <c r="K172" s="10">
        <f>IF(D172="",17,IF(C172="",17,_xlfn.XLOOKUP(D172,refs!$A$2:$A$21,refs!$B$2:$B$21,"")))</f>
        <v>17</v>
      </c>
      <c r="L172" t="str">
        <f>"PASSTHROUGH|"&amp;A172&amp;"^^/ s /io.in."&amp;B172&amp;".mute="&amp;E172&amp;",mode="&amp;F172&amp;",icon="&amp;G172&amp;",pol="&amp;H172&amp;",vph="&amp;I172&amp;",name="&amp;J172&amp;",col="&amp;K172&amp;","</f>
        <v>PASSTHROUGH|WING1^^/ s /io.in.C.43.mute=0,mode=M,icon=0,pol=0,vph=0,name=C.43,col=17,</v>
      </c>
    </row>
    <row r="173" spans="1:12" ht="15.75" x14ac:dyDescent="0.25">
      <c r="A173" s="1" t="s">
        <v>66</v>
      </c>
      <c r="B173" s="6" t="s">
        <v>213</v>
      </c>
      <c r="C173" s="12"/>
      <c r="D173" s="4"/>
      <c r="E173" s="4">
        <v>0</v>
      </c>
      <c r="F173" s="4" t="s">
        <v>71</v>
      </c>
      <c r="G173" s="4">
        <v>0</v>
      </c>
      <c r="H173" s="4">
        <v>0</v>
      </c>
      <c r="I173" s="4">
        <v>0</v>
      </c>
      <c r="J173" s="9" t="str">
        <f t="shared" si="2"/>
        <v>C.44</v>
      </c>
      <c r="K173" s="10">
        <f>IF(D173="",17,IF(C173="",17,_xlfn.XLOOKUP(D173,refs!$A$2:$A$21,refs!$B$2:$B$21,"")))</f>
        <v>17</v>
      </c>
      <c r="L173" t="str">
        <f>"PASSTHROUGH|"&amp;A173&amp;"^^/ s /io.in."&amp;B173&amp;".mute="&amp;E173&amp;",mode="&amp;F173&amp;",icon="&amp;G173&amp;",pol="&amp;H173&amp;",vph="&amp;I173&amp;",name="&amp;J173&amp;",col="&amp;K173&amp;","</f>
        <v>PASSTHROUGH|WING1^^/ s /io.in.C.44.mute=0,mode=M,icon=0,pol=0,vph=0,name=C.44,col=17,</v>
      </c>
    </row>
    <row r="174" spans="1:12" ht="15.75" x14ac:dyDescent="0.25">
      <c r="A174" s="1" t="s">
        <v>66</v>
      </c>
      <c r="B174" s="6" t="s">
        <v>214</v>
      </c>
      <c r="C174" s="12"/>
      <c r="D174" s="4"/>
      <c r="E174" s="4">
        <v>0</v>
      </c>
      <c r="F174" s="4" t="s">
        <v>71</v>
      </c>
      <c r="G174" s="4">
        <v>0</v>
      </c>
      <c r="H174" s="4">
        <v>0</v>
      </c>
      <c r="I174" s="4">
        <v>0</v>
      </c>
      <c r="J174" s="9" t="str">
        <f t="shared" si="2"/>
        <v>C.45</v>
      </c>
      <c r="K174" s="10">
        <f>IF(D174="",17,IF(C174="",17,_xlfn.XLOOKUP(D174,refs!$A$2:$A$21,refs!$B$2:$B$21,"")))</f>
        <v>17</v>
      </c>
      <c r="L174" t="str">
        <f>"PASSTHROUGH|"&amp;A174&amp;"^^/ s /io.in."&amp;B174&amp;".mute="&amp;E174&amp;",mode="&amp;F174&amp;",icon="&amp;G174&amp;",pol="&amp;H174&amp;",vph="&amp;I174&amp;",name="&amp;J174&amp;",col="&amp;K174&amp;","</f>
        <v>PASSTHROUGH|WING1^^/ s /io.in.C.45.mute=0,mode=M,icon=0,pol=0,vph=0,name=C.45,col=17,</v>
      </c>
    </row>
    <row r="175" spans="1:12" ht="15.75" x14ac:dyDescent="0.25">
      <c r="A175" s="1" t="s">
        <v>66</v>
      </c>
      <c r="B175" s="6" t="s">
        <v>215</v>
      </c>
      <c r="C175" s="12"/>
      <c r="D175" s="4"/>
      <c r="E175" s="4">
        <v>0</v>
      </c>
      <c r="F175" s="4" t="s">
        <v>71</v>
      </c>
      <c r="G175" s="4">
        <v>0</v>
      </c>
      <c r="H175" s="4">
        <v>0</v>
      </c>
      <c r="I175" s="4">
        <v>0</v>
      </c>
      <c r="J175" s="9" t="str">
        <f t="shared" si="2"/>
        <v>C.46</v>
      </c>
      <c r="K175" s="10">
        <f>IF(D175="",17,IF(C175="",17,_xlfn.XLOOKUP(D175,refs!$A$2:$A$21,refs!$B$2:$B$21,"")))</f>
        <v>17</v>
      </c>
      <c r="L175" t="str">
        <f>"PASSTHROUGH|"&amp;A175&amp;"^^/ s /io.in."&amp;B175&amp;".mute="&amp;E175&amp;",mode="&amp;F175&amp;",icon="&amp;G175&amp;",pol="&amp;H175&amp;",vph="&amp;I175&amp;",name="&amp;J175&amp;",col="&amp;K175&amp;","</f>
        <v>PASSTHROUGH|WING1^^/ s /io.in.C.46.mute=0,mode=M,icon=0,pol=0,vph=0,name=C.46,col=17,</v>
      </c>
    </row>
    <row r="176" spans="1:12" ht="15.75" x14ac:dyDescent="0.25">
      <c r="A176" s="1" t="s">
        <v>66</v>
      </c>
      <c r="B176" s="6" t="s">
        <v>216</v>
      </c>
      <c r="C176" s="12"/>
      <c r="D176" s="4"/>
      <c r="E176" s="4">
        <v>0</v>
      </c>
      <c r="F176" s="4" t="s">
        <v>71</v>
      </c>
      <c r="G176" s="4">
        <v>0</v>
      </c>
      <c r="H176" s="4">
        <v>0</v>
      </c>
      <c r="I176" s="4">
        <v>0</v>
      </c>
      <c r="J176" s="9" t="str">
        <f t="shared" si="2"/>
        <v>C.47</v>
      </c>
      <c r="K176" s="10">
        <f>IF(D176="",17,IF(C176="",17,_xlfn.XLOOKUP(D176,refs!$A$2:$A$21,refs!$B$2:$B$21,"")))</f>
        <v>17</v>
      </c>
      <c r="L176" t="str">
        <f>"PASSTHROUGH|"&amp;A176&amp;"^^/ s /io.in."&amp;B176&amp;".mute="&amp;E176&amp;",mode="&amp;F176&amp;",icon="&amp;G176&amp;",pol="&amp;H176&amp;",vph="&amp;I176&amp;",name="&amp;J176&amp;",col="&amp;K176&amp;","</f>
        <v>PASSTHROUGH|WING1^^/ s /io.in.C.47.mute=0,mode=M,icon=0,pol=0,vph=0,name=C.47,col=17,</v>
      </c>
    </row>
    <row r="177" spans="1:12" ht="15.75" x14ac:dyDescent="0.25">
      <c r="A177" s="1" t="s">
        <v>66</v>
      </c>
      <c r="B177" s="6" t="s">
        <v>217</v>
      </c>
      <c r="C177" s="12"/>
      <c r="D177" s="4"/>
      <c r="E177" s="4">
        <v>0</v>
      </c>
      <c r="F177" s="4" t="s">
        <v>71</v>
      </c>
      <c r="G177" s="4">
        <v>0</v>
      </c>
      <c r="H177" s="4">
        <v>0</v>
      </c>
      <c r="I177" s="4">
        <v>0</v>
      </c>
      <c r="J177" s="9" t="str">
        <f t="shared" si="2"/>
        <v>C.48</v>
      </c>
      <c r="K177" s="10">
        <f>IF(D177="",17,IF(C177="",17,_xlfn.XLOOKUP(D177,refs!$A$2:$A$21,refs!$B$2:$B$21,"")))</f>
        <v>17</v>
      </c>
      <c r="L177" t="str">
        <f>"PASSTHROUGH|"&amp;A177&amp;"^^/ s /io.in."&amp;B177&amp;".mute="&amp;E177&amp;",mode="&amp;F177&amp;",icon="&amp;G177&amp;",pol="&amp;H177&amp;",vph="&amp;I177&amp;",name="&amp;J177&amp;",col="&amp;K177&amp;","</f>
        <v>PASSTHROUGH|WING1^^/ s /io.in.C.48.mute=0,mode=M,icon=0,pol=0,vph=0,name=C.48,col=17,</v>
      </c>
    </row>
    <row r="178" spans="1:12" ht="15.75" x14ac:dyDescent="0.25">
      <c r="A178" s="1" t="s">
        <v>66</v>
      </c>
      <c r="B178" s="6" t="s">
        <v>218</v>
      </c>
      <c r="C178" s="12"/>
      <c r="D178" s="4"/>
      <c r="E178" s="4">
        <v>0</v>
      </c>
      <c r="F178" s="4" t="s">
        <v>71</v>
      </c>
      <c r="G178" s="4">
        <v>0</v>
      </c>
      <c r="H178" s="4">
        <v>0</v>
      </c>
      <c r="I178" s="4">
        <v>0</v>
      </c>
      <c r="J178" s="9" t="str">
        <f t="shared" si="2"/>
        <v>SC.1</v>
      </c>
      <c r="K178" s="10">
        <f>IF(D178="",17,IF(C178="",17,_xlfn.XLOOKUP(D178,refs!$A$2:$A$21,refs!$B$2:$B$21,"")))</f>
        <v>17</v>
      </c>
      <c r="L178" t="str">
        <f>"PASSTHROUGH|"&amp;A178&amp;"^^/ s /io.in."&amp;B178&amp;".mute="&amp;E178&amp;",mode="&amp;F178&amp;",icon="&amp;G178&amp;",pol="&amp;H178&amp;",vph="&amp;I178&amp;",name="&amp;J178&amp;",col="&amp;K178&amp;","</f>
        <v>PASSTHROUGH|WING1^^/ s /io.in.SC.1.mute=0,mode=M,icon=0,pol=0,vph=0,name=SC.1,col=17,</v>
      </c>
    </row>
    <row r="179" spans="1:12" ht="15.75" x14ac:dyDescent="0.25">
      <c r="A179" s="1" t="s">
        <v>66</v>
      </c>
      <c r="B179" s="6" t="s">
        <v>219</v>
      </c>
      <c r="C179" s="12"/>
      <c r="D179" s="4"/>
      <c r="E179" s="4">
        <v>0</v>
      </c>
      <c r="F179" s="4" t="s">
        <v>71</v>
      </c>
      <c r="G179" s="4">
        <v>0</v>
      </c>
      <c r="H179" s="4">
        <v>0</v>
      </c>
      <c r="I179" s="4">
        <v>0</v>
      </c>
      <c r="J179" s="9" t="str">
        <f t="shared" si="2"/>
        <v>SC.2</v>
      </c>
      <c r="K179" s="10">
        <f>IF(D179="",17,IF(C179="",17,_xlfn.XLOOKUP(D179,refs!$A$2:$A$21,refs!$B$2:$B$21,"")))</f>
        <v>17</v>
      </c>
      <c r="L179" t="str">
        <f>"PASSTHROUGH|"&amp;A179&amp;"^^/ s /io.in."&amp;B179&amp;".mute="&amp;E179&amp;",mode="&amp;F179&amp;",icon="&amp;G179&amp;",pol="&amp;H179&amp;",vph="&amp;I179&amp;",name="&amp;J179&amp;",col="&amp;K179&amp;","</f>
        <v>PASSTHROUGH|WING1^^/ s /io.in.SC.2.mute=0,mode=M,icon=0,pol=0,vph=0,name=SC.2,col=17,</v>
      </c>
    </row>
    <row r="180" spans="1:12" ht="15.75" x14ac:dyDescent="0.25">
      <c r="A180" s="1" t="s">
        <v>66</v>
      </c>
      <c r="B180" s="6" t="s">
        <v>220</v>
      </c>
      <c r="C180" s="12"/>
      <c r="D180" s="4"/>
      <c r="E180" s="4">
        <v>0</v>
      </c>
      <c r="F180" s="4" t="s">
        <v>71</v>
      </c>
      <c r="G180" s="4">
        <v>0</v>
      </c>
      <c r="H180" s="4">
        <v>0</v>
      </c>
      <c r="I180" s="4">
        <v>0</v>
      </c>
      <c r="J180" s="9" t="str">
        <f t="shared" si="2"/>
        <v>SC.3</v>
      </c>
      <c r="K180" s="10">
        <f>IF(D180="",17,IF(C180="",17,_xlfn.XLOOKUP(D180,refs!$A$2:$A$21,refs!$B$2:$B$21,"")))</f>
        <v>17</v>
      </c>
      <c r="L180" t="str">
        <f>"PASSTHROUGH|"&amp;A180&amp;"^^/ s /io.in."&amp;B180&amp;".mute="&amp;E180&amp;",mode="&amp;F180&amp;",icon="&amp;G180&amp;",pol="&amp;H180&amp;",vph="&amp;I180&amp;",name="&amp;J180&amp;",col="&amp;K180&amp;","</f>
        <v>PASSTHROUGH|WING1^^/ s /io.in.SC.3.mute=0,mode=M,icon=0,pol=0,vph=0,name=SC.3,col=17,</v>
      </c>
    </row>
    <row r="181" spans="1:12" ht="15.75" x14ac:dyDescent="0.25">
      <c r="A181" s="1" t="s">
        <v>66</v>
      </c>
      <c r="B181" s="6" t="s">
        <v>221</v>
      </c>
      <c r="C181" s="12"/>
      <c r="D181" s="4"/>
      <c r="E181" s="4">
        <v>0</v>
      </c>
      <c r="F181" s="4" t="s">
        <v>71</v>
      </c>
      <c r="G181" s="4">
        <v>0</v>
      </c>
      <c r="H181" s="4">
        <v>0</v>
      </c>
      <c r="I181" s="4">
        <v>0</v>
      </c>
      <c r="J181" s="9" t="str">
        <f t="shared" si="2"/>
        <v>SC.4</v>
      </c>
      <c r="K181" s="10">
        <f>IF(D181="",17,IF(C181="",17,_xlfn.XLOOKUP(D181,refs!$A$2:$A$21,refs!$B$2:$B$21,"")))</f>
        <v>17</v>
      </c>
      <c r="L181" t="str">
        <f>"PASSTHROUGH|"&amp;A181&amp;"^^/ s /io.in."&amp;B181&amp;".mute="&amp;E181&amp;",mode="&amp;F181&amp;",icon="&amp;G181&amp;",pol="&amp;H181&amp;",vph="&amp;I181&amp;",name="&amp;J181&amp;",col="&amp;K181&amp;","</f>
        <v>PASSTHROUGH|WING1^^/ s /io.in.SC.4.mute=0,mode=M,icon=0,pol=0,vph=0,name=SC.4,col=17,</v>
      </c>
    </row>
    <row r="182" spans="1:12" ht="15.75" x14ac:dyDescent="0.25">
      <c r="A182" s="1" t="s">
        <v>66</v>
      </c>
      <c r="B182" s="6" t="s">
        <v>222</v>
      </c>
      <c r="C182" s="12"/>
      <c r="D182" s="4"/>
      <c r="E182" s="4">
        <v>0</v>
      </c>
      <c r="F182" s="4" t="s">
        <v>71</v>
      </c>
      <c r="G182" s="4">
        <v>0</v>
      </c>
      <c r="H182" s="4">
        <v>0</v>
      </c>
      <c r="I182" s="4">
        <v>0</v>
      </c>
      <c r="J182" s="9" t="str">
        <f t="shared" si="2"/>
        <v>SC.5</v>
      </c>
      <c r="K182" s="10">
        <f>IF(D182="",17,IF(C182="",17,_xlfn.XLOOKUP(D182,refs!$A$2:$A$21,refs!$B$2:$B$21,"")))</f>
        <v>17</v>
      </c>
      <c r="L182" t="str">
        <f>"PASSTHROUGH|"&amp;A182&amp;"^^/ s /io.in."&amp;B182&amp;".mute="&amp;E182&amp;",mode="&amp;F182&amp;",icon="&amp;G182&amp;",pol="&amp;H182&amp;",vph="&amp;I182&amp;",name="&amp;J182&amp;",col="&amp;K182&amp;","</f>
        <v>PASSTHROUGH|WING1^^/ s /io.in.SC.5.mute=0,mode=M,icon=0,pol=0,vph=0,name=SC.5,col=17,</v>
      </c>
    </row>
    <row r="183" spans="1:12" ht="15.75" x14ac:dyDescent="0.25">
      <c r="A183" s="1" t="s">
        <v>66</v>
      </c>
      <c r="B183" s="6" t="s">
        <v>223</v>
      </c>
      <c r="C183" s="12"/>
      <c r="D183" s="4"/>
      <c r="E183" s="4">
        <v>0</v>
      </c>
      <c r="F183" s="4" t="s">
        <v>71</v>
      </c>
      <c r="G183" s="4">
        <v>0</v>
      </c>
      <c r="H183" s="4">
        <v>0</v>
      </c>
      <c r="I183" s="4">
        <v>0</v>
      </c>
      <c r="J183" s="9" t="str">
        <f t="shared" si="2"/>
        <v>SC.6</v>
      </c>
      <c r="K183" s="10">
        <f>IF(D183="",17,IF(C183="",17,_xlfn.XLOOKUP(D183,refs!$A$2:$A$21,refs!$B$2:$B$21,"")))</f>
        <v>17</v>
      </c>
      <c r="L183" t="str">
        <f>"PASSTHROUGH|"&amp;A183&amp;"^^/ s /io.in."&amp;B183&amp;".mute="&amp;E183&amp;",mode="&amp;F183&amp;",icon="&amp;G183&amp;",pol="&amp;H183&amp;",vph="&amp;I183&amp;",name="&amp;J183&amp;",col="&amp;K183&amp;","</f>
        <v>PASSTHROUGH|WING1^^/ s /io.in.SC.6.mute=0,mode=M,icon=0,pol=0,vph=0,name=SC.6,col=17,</v>
      </c>
    </row>
    <row r="184" spans="1:12" ht="15.75" x14ac:dyDescent="0.25">
      <c r="A184" s="1" t="s">
        <v>66</v>
      </c>
      <c r="B184" s="6" t="s">
        <v>224</v>
      </c>
      <c r="C184" s="12"/>
      <c r="D184" s="4"/>
      <c r="E184" s="4">
        <v>0</v>
      </c>
      <c r="F184" s="4" t="s">
        <v>71</v>
      </c>
      <c r="G184" s="4">
        <v>0</v>
      </c>
      <c r="H184" s="4">
        <v>0</v>
      </c>
      <c r="I184" s="4">
        <v>0</v>
      </c>
      <c r="J184" s="9" t="str">
        <f t="shared" si="2"/>
        <v>SC.7</v>
      </c>
      <c r="K184" s="10">
        <f>IF(D184="",17,IF(C184="",17,_xlfn.XLOOKUP(D184,refs!$A$2:$A$21,refs!$B$2:$B$21,"")))</f>
        <v>17</v>
      </c>
      <c r="L184" t="str">
        <f>"PASSTHROUGH|"&amp;A184&amp;"^^/ s /io.in."&amp;B184&amp;".mute="&amp;E184&amp;",mode="&amp;F184&amp;",icon="&amp;G184&amp;",pol="&amp;H184&amp;",vph="&amp;I184&amp;",name="&amp;J184&amp;",col="&amp;K184&amp;","</f>
        <v>PASSTHROUGH|WING1^^/ s /io.in.SC.7.mute=0,mode=M,icon=0,pol=0,vph=0,name=SC.7,col=17,</v>
      </c>
    </row>
    <row r="185" spans="1:12" ht="15.75" x14ac:dyDescent="0.25">
      <c r="A185" s="1" t="s">
        <v>66</v>
      </c>
      <c r="B185" s="6" t="s">
        <v>225</v>
      </c>
      <c r="C185" s="12"/>
      <c r="D185" s="4"/>
      <c r="E185" s="4">
        <v>0</v>
      </c>
      <c r="F185" s="4" t="s">
        <v>71</v>
      </c>
      <c r="G185" s="4">
        <v>0</v>
      </c>
      <c r="H185" s="4">
        <v>0</v>
      </c>
      <c r="I185" s="4">
        <v>0</v>
      </c>
      <c r="J185" s="9" t="str">
        <f t="shared" si="2"/>
        <v>SC.8</v>
      </c>
      <c r="K185" s="10">
        <f>IF(D185="",17,IF(C185="",17,_xlfn.XLOOKUP(D185,refs!$A$2:$A$21,refs!$B$2:$B$21,"")))</f>
        <v>17</v>
      </c>
      <c r="L185" t="str">
        <f>"PASSTHROUGH|"&amp;A185&amp;"^^/ s /io.in."&amp;B185&amp;".mute="&amp;E185&amp;",mode="&amp;F185&amp;",icon="&amp;G185&amp;",pol="&amp;H185&amp;",vph="&amp;I185&amp;",name="&amp;J185&amp;",col="&amp;K185&amp;","</f>
        <v>PASSTHROUGH|WING1^^/ s /io.in.SC.8.mute=0,mode=M,icon=0,pol=0,vph=0,name=SC.8,col=17,</v>
      </c>
    </row>
    <row r="186" spans="1:12" ht="15.75" x14ac:dyDescent="0.25">
      <c r="A186" s="1" t="s">
        <v>66</v>
      </c>
      <c r="B186" s="6" t="s">
        <v>226</v>
      </c>
      <c r="C186" s="12"/>
      <c r="D186" s="4"/>
      <c r="E186" s="4">
        <v>0</v>
      </c>
      <c r="F186" s="4" t="s">
        <v>71</v>
      </c>
      <c r="G186" s="4">
        <v>0</v>
      </c>
      <c r="H186" s="4">
        <v>0</v>
      </c>
      <c r="I186" s="4">
        <v>0</v>
      </c>
      <c r="J186" s="9" t="str">
        <f t="shared" si="2"/>
        <v>SC.9</v>
      </c>
      <c r="K186" s="10">
        <f>IF(D186="",17,IF(C186="",17,_xlfn.XLOOKUP(D186,refs!$A$2:$A$21,refs!$B$2:$B$21,"")))</f>
        <v>17</v>
      </c>
      <c r="L186" t="str">
        <f>"PASSTHROUGH|"&amp;A186&amp;"^^/ s /io.in."&amp;B186&amp;".mute="&amp;E186&amp;",mode="&amp;F186&amp;",icon="&amp;G186&amp;",pol="&amp;H186&amp;",vph="&amp;I186&amp;",name="&amp;J186&amp;",col="&amp;K186&amp;","</f>
        <v>PASSTHROUGH|WING1^^/ s /io.in.SC.9.mute=0,mode=M,icon=0,pol=0,vph=0,name=SC.9,col=17,</v>
      </c>
    </row>
    <row r="187" spans="1:12" ht="15.75" x14ac:dyDescent="0.25">
      <c r="A187" s="1" t="s">
        <v>66</v>
      </c>
      <c r="B187" s="6" t="s">
        <v>227</v>
      </c>
      <c r="C187" s="12"/>
      <c r="D187" s="4"/>
      <c r="E187" s="4">
        <v>0</v>
      </c>
      <c r="F187" s="4" t="s">
        <v>71</v>
      </c>
      <c r="G187" s="4">
        <v>0</v>
      </c>
      <c r="H187" s="4">
        <v>0</v>
      </c>
      <c r="I187" s="4">
        <v>0</v>
      </c>
      <c r="J187" s="9" t="str">
        <f t="shared" si="2"/>
        <v>SC.10</v>
      </c>
      <c r="K187" s="10">
        <f>IF(D187="",17,IF(C187="",17,_xlfn.XLOOKUP(D187,refs!$A$2:$A$21,refs!$B$2:$B$21,"")))</f>
        <v>17</v>
      </c>
      <c r="L187" t="str">
        <f>"PASSTHROUGH|"&amp;A187&amp;"^^/ s /io.in."&amp;B187&amp;".mute="&amp;E187&amp;",mode="&amp;F187&amp;",icon="&amp;G187&amp;",pol="&amp;H187&amp;",vph="&amp;I187&amp;",name="&amp;J187&amp;",col="&amp;K187&amp;","</f>
        <v>PASSTHROUGH|WING1^^/ s /io.in.SC.10.mute=0,mode=M,icon=0,pol=0,vph=0,name=SC.10,col=17,</v>
      </c>
    </row>
    <row r="188" spans="1:12" ht="15.75" x14ac:dyDescent="0.25">
      <c r="A188" s="1" t="s">
        <v>66</v>
      </c>
      <c r="B188" s="6" t="s">
        <v>228</v>
      </c>
      <c r="C188" s="12"/>
      <c r="D188" s="4"/>
      <c r="E188" s="4">
        <v>0</v>
      </c>
      <c r="F188" s="4" t="s">
        <v>71</v>
      </c>
      <c r="G188" s="4">
        <v>0</v>
      </c>
      <c r="H188" s="4">
        <v>0</v>
      </c>
      <c r="I188" s="4">
        <v>0</v>
      </c>
      <c r="J188" s="9" t="str">
        <f t="shared" si="2"/>
        <v>SC.11</v>
      </c>
      <c r="K188" s="10">
        <f>IF(D188="",17,IF(C188="",17,_xlfn.XLOOKUP(D188,refs!$A$2:$A$21,refs!$B$2:$B$21,"")))</f>
        <v>17</v>
      </c>
      <c r="L188" t="str">
        <f>"PASSTHROUGH|"&amp;A188&amp;"^^/ s /io.in."&amp;B188&amp;".mute="&amp;E188&amp;",mode="&amp;F188&amp;",icon="&amp;G188&amp;",pol="&amp;H188&amp;",vph="&amp;I188&amp;",name="&amp;J188&amp;",col="&amp;K188&amp;","</f>
        <v>PASSTHROUGH|WING1^^/ s /io.in.SC.11.mute=0,mode=M,icon=0,pol=0,vph=0,name=SC.11,col=17,</v>
      </c>
    </row>
    <row r="189" spans="1:12" ht="15.75" x14ac:dyDescent="0.25">
      <c r="A189" s="1" t="s">
        <v>66</v>
      </c>
      <c r="B189" s="6" t="s">
        <v>229</v>
      </c>
      <c r="C189" s="12"/>
      <c r="D189" s="4"/>
      <c r="E189" s="4">
        <v>0</v>
      </c>
      <c r="F189" s="4" t="s">
        <v>71</v>
      </c>
      <c r="G189" s="4">
        <v>0</v>
      </c>
      <c r="H189" s="4">
        <v>0</v>
      </c>
      <c r="I189" s="4">
        <v>0</v>
      </c>
      <c r="J189" s="9" t="str">
        <f t="shared" si="2"/>
        <v>SC.12</v>
      </c>
      <c r="K189" s="10">
        <f>IF(D189="",17,IF(C189="",17,_xlfn.XLOOKUP(D189,refs!$A$2:$A$21,refs!$B$2:$B$21,"")))</f>
        <v>17</v>
      </c>
      <c r="L189" t="str">
        <f>"PASSTHROUGH|"&amp;A189&amp;"^^/ s /io.in."&amp;B189&amp;".mute="&amp;E189&amp;",mode="&amp;F189&amp;",icon="&amp;G189&amp;",pol="&amp;H189&amp;",vph="&amp;I189&amp;",name="&amp;J189&amp;",col="&amp;K189&amp;","</f>
        <v>PASSTHROUGH|WING1^^/ s /io.in.SC.12.mute=0,mode=M,icon=0,pol=0,vph=0,name=SC.12,col=17,</v>
      </c>
    </row>
    <row r="190" spans="1:12" ht="15.75" x14ac:dyDescent="0.25">
      <c r="A190" s="1" t="s">
        <v>66</v>
      </c>
      <c r="B190" s="6" t="s">
        <v>230</v>
      </c>
      <c r="C190" s="12"/>
      <c r="D190" s="4"/>
      <c r="E190" s="4">
        <v>0</v>
      </c>
      <c r="F190" s="4" t="s">
        <v>71</v>
      </c>
      <c r="G190" s="4">
        <v>0</v>
      </c>
      <c r="H190" s="4">
        <v>0</v>
      </c>
      <c r="I190" s="4">
        <v>0</v>
      </c>
      <c r="J190" s="9" t="str">
        <f t="shared" si="2"/>
        <v>SC.13</v>
      </c>
      <c r="K190" s="10">
        <f>IF(D190="",17,IF(C190="",17,_xlfn.XLOOKUP(D190,refs!$A$2:$A$21,refs!$B$2:$B$21,"")))</f>
        <v>17</v>
      </c>
      <c r="L190" t="str">
        <f>"PASSTHROUGH|"&amp;A190&amp;"^^/ s /io.in."&amp;B190&amp;".mute="&amp;E190&amp;",mode="&amp;F190&amp;",icon="&amp;G190&amp;",pol="&amp;H190&amp;",vph="&amp;I190&amp;",name="&amp;J190&amp;",col="&amp;K190&amp;","</f>
        <v>PASSTHROUGH|WING1^^/ s /io.in.SC.13.mute=0,mode=M,icon=0,pol=0,vph=0,name=SC.13,col=17,</v>
      </c>
    </row>
    <row r="191" spans="1:12" ht="15.75" x14ac:dyDescent="0.25">
      <c r="A191" s="1" t="s">
        <v>66</v>
      </c>
      <c r="B191" s="6" t="s">
        <v>231</v>
      </c>
      <c r="C191" s="12"/>
      <c r="D191" s="4"/>
      <c r="E191" s="4">
        <v>0</v>
      </c>
      <c r="F191" s="4" t="s">
        <v>71</v>
      </c>
      <c r="G191" s="4">
        <v>0</v>
      </c>
      <c r="H191" s="4">
        <v>0</v>
      </c>
      <c r="I191" s="4">
        <v>0</v>
      </c>
      <c r="J191" s="9" t="str">
        <f t="shared" si="2"/>
        <v>SC.14</v>
      </c>
      <c r="K191" s="10">
        <f>IF(D191="",17,IF(C191="",17,_xlfn.XLOOKUP(D191,refs!$A$2:$A$21,refs!$B$2:$B$21,"")))</f>
        <v>17</v>
      </c>
      <c r="L191" t="str">
        <f>"PASSTHROUGH|"&amp;A191&amp;"^^/ s /io.in."&amp;B191&amp;".mute="&amp;E191&amp;",mode="&amp;F191&amp;",icon="&amp;G191&amp;",pol="&amp;H191&amp;",vph="&amp;I191&amp;",name="&amp;J191&amp;",col="&amp;K191&amp;","</f>
        <v>PASSTHROUGH|WING1^^/ s /io.in.SC.14.mute=0,mode=M,icon=0,pol=0,vph=0,name=SC.14,col=17,</v>
      </c>
    </row>
    <row r="192" spans="1:12" ht="15.75" x14ac:dyDescent="0.25">
      <c r="A192" s="1" t="s">
        <v>66</v>
      </c>
      <c r="B192" s="6" t="s">
        <v>232</v>
      </c>
      <c r="C192" s="12"/>
      <c r="D192" s="4"/>
      <c r="E192" s="4">
        <v>0</v>
      </c>
      <c r="F192" s="4" t="s">
        <v>71</v>
      </c>
      <c r="G192" s="4">
        <v>0</v>
      </c>
      <c r="H192" s="4">
        <v>0</v>
      </c>
      <c r="I192" s="4">
        <v>0</v>
      </c>
      <c r="J192" s="9" t="str">
        <f t="shared" si="2"/>
        <v>SC.15</v>
      </c>
      <c r="K192" s="10">
        <f>IF(D192="",17,IF(C192="",17,_xlfn.XLOOKUP(D192,refs!$A$2:$A$21,refs!$B$2:$B$21,"")))</f>
        <v>17</v>
      </c>
      <c r="L192" t="str">
        <f>"PASSTHROUGH|"&amp;A192&amp;"^^/ s /io.in."&amp;B192&amp;".mute="&amp;E192&amp;",mode="&amp;F192&amp;",icon="&amp;G192&amp;",pol="&amp;H192&amp;",vph="&amp;I192&amp;",name="&amp;J192&amp;",col="&amp;K192&amp;","</f>
        <v>PASSTHROUGH|WING1^^/ s /io.in.SC.15.mute=0,mode=M,icon=0,pol=0,vph=0,name=SC.15,col=17,</v>
      </c>
    </row>
    <row r="193" spans="1:12" ht="15.75" x14ac:dyDescent="0.25">
      <c r="A193" s="1" t="s">
        <v>66</v>
      </c>
      <c r="B193" s="6" t="s">
        <v>233</v>
      </c>
      <c r="C193" s="12"/>
      <c r="D193" s="4"/>
      <c r="E193" s="4">
        <v>0</v>
      </c>
      <c r="F193" s="4" t="s">
        <v>71</v>
      </c>
      <c r="G193" s="4">
        <v>0</v>
      </c>
      <c r="H193" s="4">
        <v>0</v>
      </c>
      <c r="I193" s="4">
        <v>0</v>
      </c>
      <c r="J193" s="9" t="str">
        <f t="shared" si="2"/>
        <v>SC.16</v>
      </c>
      <c r="K193" s="10">
        <f>IF(D193="",17,IF(C193="",17,_xlfn.XLOOKUP(D193,refs!$A$2:$A$21,refs!$B$2:$B$21,"")))</f>
        <v>17</v>
      </c>
      <c r="L193" t="str">
        <f>"PASSTHROUGH|"&amp;A193&amp;"^^/ s /io.in."&amp;B193&amp;".mute="&amp;E193&amp;",mode="&amp;F193&amp;",icon="&amp;G193&amp;",pol="&amp;H193&amp;",vph="&amp;I193&amp;",name="&amp;J193&amp;",col="&amp;K193&amp;","</f>
        <v>PASSTHROUGH|WING1^^/ s /io.in.SC.16.mute=0,mode=M,icon=0,pol=0,vph=0,name=SC.16,col=17,</v>
      </c>
    </row>
    <row r="194" spans="1:12" ht="15.75" x14ac:dyDescent="0.25">
      <c r="A194" s="1" t="s">
        <v>66</v>
      </c>
      <c r="B194" s="6" t="s">
        <v>234</v>
      </c>
      <c r="C194" s="12"/>
      <c r="D194" s="4"/>
      <c r="E194" s="4">
        <v>0</v>
      </c>
      <c r="F194" s="4" t="s">
        <v>71</v>
      </c>
      <c r="G194" s="4">
        <v>0</v>
      </c>
      <c r="H194" s="4">
        <v>0</v>
      </c>
      <c r="I194" s="4">
        <v>0</v>
      </c>
      <c r="J194" s="9" t="str">
        <f t="shared" ref="J194:J257" si="3">IF(C194="",SUBSTITUTE(B194, "/", "."),LEFT(C194,16))</f>
        <v>SC.17</v>
      </c>
      <c r="K194" s="10">
        <f>IF(D194="",17,IF(C194="",17,_xlfn.XLOOKUP(D194,refs!$A$2:$A$21,refs!$B$2:$B$21,"")))</f>
        <v>17</v>
      </c>
      <c r="L194" t="str">
        <f>"PASSTHROUGH|"&amp;A194&amp;"^^/ s /io.in."&amp;B194&amp;".mute="&amp;E194&amp;",mode="&amp;F194&amp;",icon="&amp;G194&amp;",pol="&amp;H194&amp;",vph="&amp;I194&amp;",name="&amp;J194&amp;",col="&amp;K194&amp;","</f>
        <v>PASSTHROUGH|WING1^^/ s /io.in.SC.17.mute=0,mode=M,icon=0,pol=0,vph=0,name=SC.17,col=17,</v>
      </c>
    </row>
    <row r="195" spans="1:12" ht="15.75" x14ac:dyDescent="0.25">
      <c r="A195" s="1" t="s">
        <v>66</v>
      </c>
      <c r="B195" s="6" t="s">
        <v>235</v>
      </c>
      <c r="C195" s="12"/>
      <c r="D195" s="4"/>
      <c r="E195" s="4">
        <v>0</v>
      </c>
      <c r="F195" s="4" t="s">
        <v>71</v>
      </c>
      <c r="G195" s="4">
        <v>0</v>
      </c>
      <c r="H195" s="4">
        <v>0</v>
      </c>
      <c r="I195" s="4">
        <v>0</v>
      </c>
      <c r="J195" s="9" t="str">
        <f t="shared" si="3"/>
        <v>SC.18</v>
      </c>
      <c r="K195" s="10">
        <f>IF(D195="",17,IF(C195="",17,_xlfn.XLOOKUP(D195,refs!$A$2:$A$21,refs!$B$2:$B$21,"")))</f>
        <v>17</v>
      </c>
      <c r="L195" t="str">
        <f>"PASSTHROUGH|"&amp;A195&amp;"^^/ s /io.in."&amp;B195&amp;".mute="&amp;E195&amp;",mode="&amp;F195&amp;",icon="&amp;G195&amp;",pol="&amp;H195&amp;",vph="&amp;I195&amp;",name="&amp;J195&amp;",col="&amp;K195&amp;","</f>
        <v>PASSTHROUGH|WING1^^/ s /io.in.SC.18.mute=0,mode=M,icon=0,pol=0,vph=0,name=SC.18,col=17,</v>
      </c>
    </row>
    <row r="196" spans="1:12" ht="15.75" x14ac:dyDescent="0.25">
      <c r="A196" s="1" t="s">
        <v>66</v>
      </c>
      <c r="B196" s="6" t="s">
        <v>236</v>
      </c>
      <c r="C196" s="12"/>
      <c r="D196" s="4"/>
      <c r="E196" s="4">
        <v>0</v>
      </c>
      <c r="F196" s="4" t="s">
        <v>71</v>
      </c>
      <c r="G196" s="4">
        <v>0</v>
      </c>
      <c r="H196" s="4">
        <v>0</v>
      </c>
      <c r="I196" s="4">
        <v>0</v>
      </c>
      <c r="J196" s="9" t="str">
        <f t="shared" si="3"/>
        <v>SC.19</v>
      </c>
      <c r="K196" s="10">
        <f>IF(D196="",17,IF(C196="",17,_xlfn.XLOOKUP(D196,refs!$A$2:$A$21,refs!$B$2:$B$21,"")))</f>
        <v>17</v>
      </c>
      <c r="L196" t="str">
        <f>"PASSTHROUGH|"&amp;A196&amp;"^^/ s /io.in."&amp;B196&amp;".mute="&amp;E196&amp;",mode="&amp;F196&amp;",icon="&amp;G196&amp;",pol="&amp;H196&amp;",vph="&amp;I196&amp;",name="&amp;J196&amp;",col="&amp;K196&amp;","</f>
        <v>PASSTHROUGH|WING1^^/ s /io.in.SC.19.mute=0,mode=M,icon=0,pol=0,vph=0,name=SC.19,col=17,</v>
      </c>
    </row>
    <row r="197" spans="1:12" ht="15.75" x14ac:dyDescent="0.25">
      <c r="A197" s="1" t="s">
        <v>66</v>
      </c>
      <c r="B197" s="6" t="s">
        <v>237</v>
      </c>
      <c r="C197" s="12"/>
      <c r="D197" s="4"/>
      <c r="E197" s="4">
        <v>0</v>
      </c>
      <c r="F197" s="4" t="s">
        <v>71</v>
      </c>
      <c r="G197" s="4">
        <v>0</v>
      </c>
      <c r="H197" s="4">
        <v>0</v>
      </c>
      <c r="I197" s="4">
        <v>0</v>
      </c>
      <c r="J197" s="9" t="str">
        <f t="shared" si="3"/>
        <v>SC.20</v>
      </c>
      <c r="K197" s="10">
        <f>IF(D197="",17,IF(C197="",17,_xlfn.XLOOKUP(D197,refs!$A$2:$A$21,refs!$B$2:$B$21,"")))</f>
        <v>17</v>
      </c>
      <c r="L197" t="str">
        <f>"PASSTHROUGH|"&amp;A197&amp;"^^/ s /io.in."&amp;B197&amp;".mute="&amp;E197&amp;",mode="&amp;F197&amp;",icon="&amp;G197&amp;",pol="&amp;H197&amp;",vph="&amp;I197&amp;",name="&amp;J197&amp;",col="&amp;K197&amp;","</f>
        <v>PASSTHROUGH|WING1^^/ s /io.in.SC.20.mute=0,mode=M,icon=0,pol=0,vph=0,name=SC.20,col=17,</v>
      </c>
    </row>
    <row r="198" spans="1:12" ht="15.75" x14ac:dyDescent="0.25">
      <c r="A198" s="1" t="s">
        <v>66</v>
      </c>
      <c r="B198" s="6" t="s">
        <v>238</v>
      </c>
      <c r="C198" s="12"/>
      <c r="D198" s="4"/>
      <c r="E198" s="4">
        <v>0</v>
      </c>
      <c r="F198" s="4" t="s">
        <v>71</v>
      </c>
      <c r="G198" s="4">
        <v>0</v>
      </c>
      <c r="H198" s="4">
        <v>0</v>
      </c>
      <c r="I198" s="4">
        <v>0</v>
      </c>
      <c r="J198" s="9" t="str">
        <f t="shared" si="3"/>
        <v>SC.21</v>
      </c>
      <c r="K198" s="10">
        <f>IF(D198="",17,IF(C198="",17,_xlfn.XLOOKUP(D198,refs!$A$2:$A$21,refs!$B$2:$B$21,"")))</f>
        <v>17</v>
      </c>
      <c r="L198" t="str">
        <f>"PASSTHROUGH|"&amp;A198&amp;"^^/ s /io.in."&amp;B198&amp;".mute="&amp;E198&amp;",mode="&amp;F198&amp;",icon="&amp;G198&amp;",pol="&amp;H198&amp;",vph="&amp;I198&amp;",name="&amp;J198&amp;",col="&amp;K198&amp;","</f>
        <v>PASSTHROUGH|WING1^^/ s /io.in.SC.21.mute=0,mode=M,icon=0,pol=0,vph=0,name=SC.21,col=17,</v>
      </c>
    </row>
    <row r="199" spans="1:12" ht="15.75" x14ac:dyDescent="0.25">
      <c r="A199" s="1" t="s">
        <v>66</v>
      </c>
      <c r="B199" s="6" t="s">
        <v>239</v>
      </c>
      <c r="C199" s="12"/>
      <c r="D199" s="4"/>
      <c r="E199" s="4">
        <v>0</v>
      </c>
      <c r="F199" s="4" t="s">
        <v>71</v>
      </c>
      <c r="G199" s="4">
        <v>0</v>
      </c>
      <c r="H199" s="4">
        <v>0</v>
      </c>
      <c r="I199" s="4">
        <v>0</v>
      </c>
      <c r="J199" s="9" t="str">
        <f t="shared" si="3"/>
        <v>SC.22</v>
      </c>
      <c r="K199" s="10">
        <f>IF(D199="",17,IF(C199="",17,_xlfn.XLOOKUP(D199,refs!$A$2:$A$21,refs!$B$2:$B$21,"")))</f>
        <v>17</v>
      </c>
      <c r="L199" t="str">
        <f>"PASSTHROUGH|"&amp;A199&amp;"^^/ s /io.in."&amp;B199&amp;".mute="&amp;E199&amp;",mode="&amp;F199&amp;",icon="&amp;G199&amp;",pol="&amp;H199&amp;",vph="&amp;I199&amp;",name="&amp;J199&amp;",col="&amp;K199&amp;","</f>
        <v>PASSTHROUGH|WING1^^/ s /io.in.SC.22.mute=0,mode=M,icon=0,pol=0,vph=0,name=SC.22,col=17,</v>
      </c>
    </row>
    <row r="200" spans="1:12" ht="15.75" x14ac:dyDescent="0.25">
      <c r="A200" s="1" t="s">
        <v>66</v>
      </c>
      <c r="B200" s="6" t="s">
        <v>240</v>
      </c>
      <c r="C200" s="12"/>
      <c r="D200" s="4"/>
      <c r="E200" s="4">
        <v>0</v>
      </c>
      <c r="F200" s="4" t="s">
        <v>71</v>
      </c>
      <c r="G200" s="4">
        <v>0</v>
      </c>
      <c r="H200" s="4">
        <v>0</v>
      </c>
      <c r="I200" s="4">
        <v>0</v>
      </c>
      <c r="J200" s="9" t="str">
        <f t="shared" si="3"/>
        <v>SC.23</v>
      </c>
      <c r="K200" s="10">
        <f>IF(D200="",17,IF(C200="",17,_xlfn.XLOOKUP(D200,refs!$A$2:$A$21,refs!$B$2:$B$21,"")))</f>
        <v>17</v>
      </c>
      <c r="L200" t="str">
        <f>"PASSTHROUGH|"&amp;A200&amp;"^^/ s /io.in."&amp;B200&amp;".mute="&amp;E200&amp;",mode="&amp;F200&amp;",icon="&amp;G200&amp;",pol="&amp;H200&amp;",vph="&amp;I200&amp;",name="&amp;J200&amp;",col="&amp;K200&amp;","</f>
        <v>PASSTHROUGH|WING1^^/ s /io.in.SC.23.mute=0,mode=M,icon=0,pol=0,vph=0,name=SC.23,col=17,</v>
      </c>
    </row>
    <row r="201" spans="1:12" ht="15.75" x14ac:dyDescent="0.25">
      <c r="A201" s="1" t="s">
        <v>66</v>
      </c>
      <c r="B201" s="6" t="s">
        <v>241</v>
      </c>
      <c r="C201" s="12"/>
      <c r="D201" s="4"/>
      <c r="E201" s="4">
        <v>0</v>
      </c>
      <c r="F201" s="4" t="s">
        <v>71</v>
      </c>
      <c r="G201" s="4">
        <v>0</v>
      </c>
      <c r="H201" s="4">
        <v>0</v>
      </c>
      <c r="I201" s="4">
        <v>0</v>
      </c>
      <c r="J201" s="9" t="str">
        <f t="shared" si="3"/>
        <v>SC.24</v>
      </c>
      <c r="K201" s="10">
        <f>IF(D201="",17,IF(C201="",17,_xlfn.XLOOKUP(D201,refs!$A$2:$A$21,refs!$B$2:$B$21,"")))</f>
        <v>17</v>
      </c>
      <c r="L201" t="str">
        <f>"PASSTHROUGH|"&amp;A201&amp;"^^/ s /io.in."&amp;B201&amp;".mute="&amp;E201&amp;",mode="&amp;F201&amp;",icon="&amp;G201&amp;",pol="&amp;H201&amp;",vph="&amp;I201&amp;",name="&amp;J201&amp;",col="&amp;K201&amp;","</f>
        <v>PASSTHROUGH|WING1^^/ s /io.in.SC.24.mute=0,mode=M,icon=0,pol=0,vph=0,name=SC.24,col=17,</v>
      </c>
    </row>
    <row r="202" spans="1:12" ht="15.75" x14ac:dyDescent="0.25">
      <c r="A202" s="1" t="s">
        <v>66</v>
      </c>
      <c r="B202" s="6" t="s">
        <v>242</v>
      </c>
      <c r="C202" s="12"/>
      <c r="D202" s="4"/>
      <c r="E202" s="4">
        <v>0</v>
      </c>
      <c r="F202" s="4" t="s">
        <v>71</v>
      </c>
      <c r="G202" s="4">
        <v>0</v>
      </c>
      <c r="H202" s="4">
        <v>0</v>
      </c>
      <c r="I202" s="4">
        <v>0</v>
      </c>
      <c r="J202" s="9" t="str">
        <f t="shared" si="3"/>
        <v>SC.25</v>
      </c>
      <c r="K202" s="10">
        <f>IF(D202="",17,IF(C202="",17,_xlfn.XLOOKUP(D202,refs!$A$2:$A$21,refs!$B$2:$B$21,"")))</f>
        <v>17</v>
      </c>
      <c r="L202" t="str">
        <f>"PASSTHROUGH|"&amp;A202&amp;"^^/ s /io.in."&amp;B202&amp;".mute="&amp;E202&amp;",mode="&amp;F202&amp;",icon="&amp;G202&amp;",pol="&amp;H202&amp;",vph="&amp;I202&amp;",name="&amp;J202&amp;",col="&amp;K202&amp;","</f>
        <v>PASSTHROUGH|WING1^^/ s /io.in.SC.25.mute=0,mode=M,icon=0,pol=0,vph=0,name=SC.25,col=17,</v>
      </c>
    </row>
    <row r="203" spans="1:12" ht="15.75" x14ac:dyDescent="0.25">
      <c r="A203" s="1" t="s">
        <v>66</v>
      </c>
      <c r="B203" s="6" t="s">
        <v>243</v>
      </c>
      <c r="C203" s="12"/>
      <c r="D203" s="4"/>
      <c r="E203" s="4">
        <v>0</v>
      </c>
      <c r="F203" s="4" t="s">
        <v>71</v>
      </c>
      <c r="G203" s="4">
        <v>0</v>
      </c>
      <c r="H203" s="4">
        <v>0</v>
      </c>
      <c r="I203" s="4">
        <v>0</v>
      </c>
      <c r="J203" s="9" t="str">
        <f t="shared" si="3"/>
        <v>SC.26</v>
      </c>
      <c r="K203" s="10">
        <f>IF(D203="",17,IF(C203="",17,_xlfn.XLOOKUP(D203,refs!$A$2:$A$21,refs!$B$2:$B$21,"")))</f>
        <v>17</v>
      </c>
      <c r="L203" t="str">
        <f>"PASSTHROUGH|"&amp;A203&amp;"^^/ s /io.in."&amp;B203&amp;".mute="&amp;E203&amp;",mode="&amp;F203&amp;",icon="&amp;G203&amp;",pol="&amp;H203&amp;",vph="&amp;I203&amp;",name="&amp;J203&amp;",col="&amp;K203&amp;","</f>
        <v>PASSTHROUGH|WING1^^/ s /io.in.SC.26.mute=0,mode=M,icon=0,pol=0,vph=0,name=SC.26,col=17,</v>
      </c>
    </row>
    <row r="204" spans="1:12" ht="15.75" x14ac:dyDescent="0.25">
      <c r="A204" s="1" t="s">
        <v>66</v>
      </c>
      <c r="B204" s="6" t="s">
        <v>244</v>
      </c>
      <c r="C204" s="12"/>
      <c r="D204" s="4"/>
      <c r="E204" s="4">
        <v>0</v>
      </c>
      <c r="F204" s="4" t="s">
        <v>71</v>
      </c>
      <c r="G204" s="4">
        <v>0</v>
      </c>
      <c r="H204" s="4">
        <v>0</v>
      </c>
      <c r="I204" s="4">
        <v>0</v>
      </c>
      <c r="J204" s="9" t="str">
        <f t="shared" si="3"/>
        <v>SC.27</v>
      </c>
      <c r="K204" s="10">
        <f>IF(D204="",17,IF(C204="",17,_xlfn.XLOOKUP(D204,refs!$A$2:$A$21,refs!$B$2:$B$21,"")))</f>
        <v>17</v>
      </c>
      <c r="L204" t="str">
        <f>"PASSTHROUGH|"&amp;A204&amp;"^^/ s /io.in."&amp;B204&amp;".mute="&amp;E204&amp;",mode="&amp;F204&amp;",icon="&amp;G204&amp;",pol="&amp;H204&amp;",vph="&amp;I204&amp;",name="&amp;J204&amp;",col="&amp;K204&amp;","</f>
        <v>PASSTHROUGH|WING1^^/ s /io.in.SC.27.mute=0,mode=M,icon=0,pol=0,vph=0,name=SC.27,col=17,</v>
      </c>
    </row>
    <row r="205" spans="1:12" ht="15.75" x14ac:dyDescent="0.25">
      <c r="A205" s="1" t="s">
        <v>66</v>
      </c>
      <c r="B205" s="6" t="s">
        <v>245</v>
      </c>
      <c r="C205" s="12"/>
      <c r="D205" s="4"/>
      <c r="E205" s="4">
        <v>0</v>
      </c>
      <c r="F205" s="4" t="s">
        <v>71</v>
      </c>
      <c r="G205" s="4">
        <v>0</v>
      </c>
      <c r="H205" s="4">
        <v>0</v>
      </c>
      <c r="I205" s="4">
        <v>0</v>
      </c>
      <c r="J205" s="9" t="str">
        <f t="shared" si="3"/>
        <v>SC.28</v>
      </c>
      <c r="K205" s="10">
        <f>IF(D205="",17,IF(C205="",17,_xlfn.XLOOKUP(D205,refs!$A$2:$A$21,refs!$B$2:$B$21,"")))</f>
        <v>17</v>
      </c>
      <c r="L205" t="str">
        <f>"PASSTHROUGH|"&amp;A205&amp;"^^/ s /io.in."&amp;B205&amp;".mute="&amp;E205&amp;",mode="&amp;F205&amp;",icon="&amp;G205&amp;",pol="&amp;H205&amp;",vph="&amp;I205&amp;",name="&amp;J205&amp;",col="&amp;K205&amp;","</f>
        <v>PASSTHROUGH|WING1^^/ s /io.in.SC.28.mute=0,mode=M,icon=0,pol=0,vph=0,name=SC.28,col=17,</v>
      </c>
    </row>
    <row r="206" spans="1:12" ht="15.75" x14ac:dyDescent="0.25">
      <c r="A206" s="1" t="s">
        <v>66</v>
      </c>
      <c r="B206" s="6" t="s">
        <v>246</v>
      </c>
      <c r="C206" s="12"/>
      <c r="D206" s="4"/>
      <c r="E206" s="4">
        <v>0</v>
      </c>
      <c r="F206" s="4" t="s">
        <v>71</v>
      </c>
      <c r="G206" s="4">
        <v>0</v>
      </c>
      <c r="H206" s="4">
        <v>0</v>
      </c>
      <c r="I206" s="4">
        <v>0</v>
      </c>
      <c r="J206" s="9" t="str">
        <f t="shared" si="3"/>
        <v>SC.29</v>
      </c>
      <c r="K206" s="10">
        <f>IF(D206="",17,IF(C206="",17,_xlfn.XLOOKUP(D206,refs!$A$2:$A$21,refs!$B$2:$B$21,"")))</f>
        <v>17</v>
      </c>
      <c r="L206" t="str">
        <f>"PASSTHROUGH|"&amp;A206&amp;"^^/ s /io.in."&amp;B206&amp;".mute="&amp;E206&amp;",mode="&amp;F206&amp;",icon="&amp;G206&amp;",pol="&amp;H206&amp;",vph="&amp;I206&amp;",name="&amp;J206&amp;",col="&amp;K206&amp;","</f>
        <v>PASSTHROUGH|WING1^^/ s /io.in.SC.29.mute=0,mode=M,icon=0,pol=0,vph=0,name=SC.29,col=17,</v>
      </c>
    </row>
    <row r="207" spans="1:12" ht="15.75" x14ac:dyDescent="0.25">
      <c r="A207" s="1" t="s">
        <v>66</v>
      </c>
      <c r="B207" s="6" t="s">
        <v>247</v>
      </c>
      <c r="C207" s="12"/>
      <c r="D207" s="4"/>
      <c r="E207" s="4">
        <v>0</v>
      </c>
      <c r="F207" s="4" t="s">
        <v>71</v>
      </c>
      <c r="G207" s="4">
        <v>0</v>
      </c>
      <c r="H207" s="4">
        <v>0</v>
      </c>
      <c r="I207" s="4">
        <v>0</v>
      </c>
      <c r="J207" s="9" t="str">
        <f t="shared" si="3"/>
        <v>SC.30</v>
      </c>
      <c r="K207" s="10">
        <f>IF(D207="",17,IF(C207="",17,_xlfn.XLOOKUP(D207,refs!$A$2:$A$21,refs!$B$2:$B$21,"")))</f>
        <v>17</v>
      </c>
      <c r="L207" t="str">
        <f>"PASSTHROUGH|"&amp;A207&amp;"^^/ s /io.in."&amp;B207&amp;".mute="&amp;E207&amp;",mode="&amp;F207&amp;",icon="&amp;G207&amp;",pol="&amp;H207&amp;",vph="&amp;I207&amp;",name="&amp;J207&amp;",col="&amp;K207&amp;","</f>
        <v>PASSTHROUGH|WING1^^/ s /io.in.SC.30.mute=0,mode=M,icon=0,pol=0,vph=0,name=SC.30,col=17,</v>
      </c>
    </row>
    <row r="208" spans="1:12" ht="15.75" x14ac:dyDescent="0.25">
      <c r="A208" s="1" t="s">
        <v>66</v>
      </c>
      <c r="B208" s="6" t="s">
        <v>248</v>
      </c>
      <c r="C208" s="12"/>
      <c r="D208" s="4"/>
      <c r="E208" s="4">
        <v>0</v>
      </c>
      <c r="F208" s="4" t="s">
        <v>71</v>
      </c>
      <c r="G208" s="4">
        <v>0</v>
      </c>
      <c r="H208" s="4">
        <v>0</v>
      </c>
      <c r="I208" s="4">
        <v>0</v>
      </c>
      <c r="J208" s="9" t="str">
        <f t="shared" si="3"/>
        <v>SC.31</v>
      </c>
      <c r="K208" s="10">
        <f>IF(D208="",17,IF(C208="",17,_xlfn.XLOOKUP(D208,refs!$A$2:$A$21,refs!$B$2:$B$21,"")))</f>
        <v>17</v>
      </c>
      <c r="L208" t="str">
        <f>"PASSTHROUGH|"&amp;A208&amp;"^^/ s /io.in."&amp;B208&amp;".mute="&amp;E208&amp;",mode="&amp;F208&amp;",icon="&amp;G208&amp;",pol="&amp;H208&amp;",vph="&amp;I208&amp;",name="&amp;J208&amp;",col="&amp;K208&amp;","</f>
        <v>PASSTHROUGH|WING1^^/ s /io.in.SC.31.mute=0,mode=M,icon=0,pol=0,vph=0,name=SC.31,col=17,</v>
      </c>
    </row>
    <row r="209" spans="1:12" ht="15.75" x14ac:dyDescent="0.25">
      <c r="A209" s="1" t="s">
        <v>66</v>
      </c>
      <c r="B209" s="6" t="s">
        <v>249</v>
      </c>
      <c r="C209" s="12"/>
      <c r="D209" s="4"/>
      <c r="E209" s="4">
        <v>0</v>
      </c>
      <c r="F209" s="4" t="s">
        <v>71</v>
      </c>
      <c r="G209" s="4">
        <v>0</v>
      </c>
      <c r="H209" s="4">
        <v>0</v>
      </c>
      <c r="I209" s="4">
        <v>0</v>
      </c>
      <c r="J209" s="9" t="str">
        <f t="shared" si="3"/>
        <v>SC.32</v>
      </c>
      <c r="K209" s="10">
        <f>IF(D209="",17,IF(C209="",17,_xlfn.XLOOKUP(D209,refs!$A$2:$A$21,refs!$B$2:$B$21,"")))</f>
        <v>17</v>
      </c>
      <c r="L209" t="str">
        <f>"PASSTHROUGH|"&amp;A209&amp;"^^/ s /io.in."&amp;B209&amp;".mute="&amp;E209&amp;",mode="&amp;F209&amp;",icon="&amp;G209&amp;",pol="&amp;H209&amp;",vph="&amp;I209&amp;",name="&amp;J209&amp;",col="&amp;K209&amp;","</f>
        <v>PASSTHROUGH|WING1^^/ s /io.in.SC.32.mute=0,mode=M,icon=0,pol=0,vph=0,name=SC.32,col=17,</v>
      </c>
    </row>
    <row r="210" spans="1:12" ht="15.75" x14ac:dyDescent="0.25">
      <c r="A210" s="1" t="s">
        <v>66</v>
      </c>
      <c r="B210" s="6" t="s">
        <v>250</v>
      </c>
      <c r="C210" s="12"/>
      <c r="D210" s="4"/>
      <c r="E210" s="4">
        <v>0</v>
      </c>
      <c r="F210" s="4" t="s">
        <v>71</v>
      </c>
      <c r="G210" s="4">
        <v>0</v>
      </c>
      <c r="H210" s="4">
        <v>0</v>
      </c>
      <c r="I210" s="15"/>
      <c r="J210" s="9" t="str">
        <f t="shared" si="3"/>
        <v>USB.1</v>
      </c>
      <c r="K210" s="10">
        <f>IF(D210="",17,IF(C210="",17,_xlfn.XLOOKUP(D210,refs!$A$2:$A$21,refs!$B$2:$B$21,"")))</f>
        <v>17</v>
      </c>
      <c r="L210" t="str">
        <f>"PASSTHROUGH|"&amp;A210&amp;"^^/ s /io.in."&amp;B210&amp;".mute="&amp;E210&amp;",mode="&amp;F210&amp;",icon="&amp;G210&amp;",pol="&amp;H210&amp;",vph="&amp;I210&amp;",name="&amp;J210&amp;",col="&amp;K210&amp;","</f>
        <v>PASSTHROUGH|WING1^^/ s /io.in.USB.1.mute=0,mode=M,icon=0,pol=0,vph=,name=USB.1,col=17,</v>
      </c>
    </row>
    <row r="211" spans="1:12" ht="15.75" x14ac:dyDescent="0.25">
      <c r="A211" s="1" t="s">
        <v>66</v>
      </c>
      <c r="B211" s="6" t="s">
        <v>251</v>
      </c>
      <c r="C211" s="12"/>
      <c r="D211" s="4"/>
      <c r="E211" s="4">
        <v>0</v>
      </c>
      <c r="F211" s="4" t="s">
        <v>71</v>
      </c>
      <c r="G211" s="4">
        <v>0</v>
      </c>
      <c r="H211" s="4">
        <v>0</v>
      </c>
      <c r="I211" s="15"/>
      <c r="J211" s="9" t="str">
        <f t="shared" si="3"/>
        <v>USB.2</v>
      </c>
      <c r="K211" s="10">
        <f>IF(D211="",17,IF(C211="",17,_xlfn.XLOOKUP(D211,refs!$A$2:$A$21,refs!$B$2:$B$21,"")))</f>
        <v>17</v>
      </c>
      <c r="L211" t="str">
        <f>"PASSTHROUGH|"&amp;A211&amp;"^^/ s /io.in."&amp;B211&amp;".mute="&amp;E211&amp;",mode="&amp;F211&amp;",icon="&amp;G211&amp;",pol="&amp;H211&amp;",vph="&amp;I211&amp;",name="&amp;J211&amp;",col="&amp;K211&amp;","</f>
        <v>PASSTHROUGH|WING1^^/ s /io.in.USB.2.mute=0,mode=M,icon=0,pol=0,vph=,name=USB.2,col=17,</v>
      </c>
    </row>
    <row r="212" spans="1:12" ht="15.75" x14ac:dyDescent="0.25">
      <c r="A212" s="1" t="s">
        <v>66</v>
      </c>
      <c r="B212" s="6" t="s">
        <v>252</v>
      </c>
      <c r="C212" s="12"/>
      <c r="D212" s="4"/>
      <c r="E212" s="4">
        <v>0</v>
      </c>
      <c r="F212" s="4" t="s">
        <v>71</v>
      </c>
      <c r="G212" s="4">
        <v>0</v>
      </c>
      <c r="H212" s="4">
        <v>0</v>
      </c>
      <c r="I212" s="15"/>
      <c r="J212" s="9" t="str">
        <f t="shared" si="3"/>
        <v>USB.3</v>
      </c>
      <c r="K212" s="10">
        <f>IF(D212="",17,IF(C212="",17,_xlfn.XLOOKUP(D212,refs!$A$2:$A$21,refs!$B$2:$B$21,"")))</f>
        <v>17</v>
      </c>
      <c r="L212" t="str">
        <f>"PASSTHROUGH|"&amp;A212&amp;"^^/ s /io.in."&amp;B212&amp;".mute="&amp;E212&amp;",mode="&amp;F212&amp;",icon="&amp;G212&amp;",pol="&amp;H212&amp;",vph="&amp;I212&amp;",name="&amp;J212&amp;",col="&amp;K212&amp;","</f>
        <v>PASSTHROUGH|WING1^^/ s /io.in.USB.3.mute=0,mode=M,icon=0,pol=0,vph=,name=USB.3,col=17,</v>
      </c>
    </row>
    <row r="213" spans="1:12" ht="15.75" x14ac:dyDescent="0.25">
      <c r="A213" s="1" t="s">
        <v>66</v>
      </c>
      <c r="B213" s="6" t="s">
        <v>253</v>
      </c>
      <c r="C213" s="12"/>
      <c r="D213" s="4"/>
      <c r="E213" s="4">
        <v>0</v>
      </c>
      <c r="F213" s="4" t="s">
        <v>71</v>
      </c>
      <c r="G213" s="4">
        <v>0</v>
      </c>
      <c r="H213" s="4">
        <v>0</v>
      </c>
      <c r="I213" s="15"/>
      <c r="J213" s="9" t="str">
        <f t="shared" si="3"/>
        <v>USB.4</v>
      </c>
      <c r="K213" s="10">
        <f>IF(D213="",17,IF(C213="",17,_xlfn.XLOOKUP(D213,refs!$A$2:$A$21,refs!$B$2:$B$21,"")))</f>
        <v>17</v>
      </c>
      <c r="L213" t="str">
        <f>"PASSTHROUGH|"&amp;A213&amp;"^^/ s /io.in."&amp;B213&amp;".mute="&amp;E213&amp;",mode="&amp;F213&amp;",icon="&amp;G213&amp;",pol="&amp;H213&amp;",vph="&amp;I213&amp;",name="&amp;J213&amp;",col="&amp;K213&amp;","</f>
        <v>PASSTHROUGH|WING1^^/ s /io.in.USB.4.mute=0,mode=M,icon=0,pol=0,vph=,name=USB.4,col=17,</v>
      </c>
    </row>
    <row r="214" spans="1:12" ht="15.75" x14ac:dyDescent="0.25">
      <c r="A214" s="1" t="s">
        <v>66</v>
      </c>
      <c r="B214" s="6" t="s">
        <v>254</v>
      </c>
      <c r="C214" s="12"/>
      <c r="D214" s="4"/>
      <c r="E214" s="4">
        <v>0</v>
      </c>
      <c r="F214" s="4" t="s">
        <v>71</v>
      </c>
      <c r="G214" s="4">
        <v>0</v>
      </c>
      <c r="H214" s="4">
        <v>0</v>
      </c>
      <c r="I214" s="15"/>
      <c r="J214" s="9" t="str">
        <f t="shared" si="3"/>
        <v>USB.5</v>
      </c>
      <c r="K214" s="10">
        <f>IF(D214="",17,IF(C214="",17,_xlfn.XLOOKUP(D214,refs!$A$2:$A$21,refs!$B$2:$B$21,"")))</f>
        <v>17</v>
      </c>
      <c r="L214" t="str">
        <f>"PASSTHROUGH|"&amp;A214&amp;"^^/ s /io.in."&amp;B214&amp;".mute="&amp;E214&amp;",mode="&amp;F214&amp;",icon="&amp;G214&amp;",pol="&amp;H214&amp;",vph="&amp;I214&amp;",name="&amp;J214&amp;",col="&amp;K214&amp;","</f>
        <v>PASSTHROUGH|WING1^^/ s /io.in.USB.5.mute=0,mode=M,icon=0,pol=0,vph=,name=USB.5,col=17,</v>
      </c>
    </row>
    <row r="215" spans="1:12" ht="15.75" x14ac:dyDescent="0.25">
      <c r="A215" s="1" t="s">
        <v>66</v>
      </c>
      <c r="B215" s="6" t="s">
        <v>255</v>
      </c>
      <c r="C215" s="12"/>
      <c r="D215" s="4"/>
      <c r="E215" s="4">
        <v>0</v>
      </c>
      <c r="F215" s="4" t="s">
        <v>71</v>
      </c>
      <c r="G215" s="4">
        <v>0</v>
      </c>
      <c r="H215" s="4">
        <v>0</v>
      </c>
      <c r="I215" s="15"/>
      <c r="J215" s="9" t="str">
        <f t="shared" si="3"/>
        <v>USB.6</v>
      </c>
      <c r="K215" s="10">
        <f>IF(D215="",17,IF(C215="",17,_xlfn.XLOOKUP(D215,refs!$A$2:$A$21,refs!$B$2:$B$21,"")))</f>
        <v>17</v>
      </c>
      <c r="L215" t="str">
        <f>"PASSTHROUGH|"&amp;A215&amp;"^^/ s /io.in."&amp;B215&amp;".mute="&amp;E215&amp;",mode="&amp;F215&amp;",icon="&amp;G215&amp;",pol="&amp;H215&amp;",vph="&amp;I215&amp;",name="&amp;J215&amp;",col="&amp;K215&amp;","</f>
        <v>PASSTHROUGH|WING1^^/ s /io.in.USB.6.mute=0,mode=M,icon=0,pol=0,vph=,name=USB.6,col=17,</v>
      </c>
    </row>
    <row r="216" spans="1:12" ht="15.75" x14ac:dyDescent="0.25">
      <c r="A216" s="1" t="s">
        <v>66</v>
      </c>
      <c r="B216" s="6" t="s">
        <v>256</v>
      </c>
      <c r="C216" s="12"/>
      <c r="D216" s="4"/>
      <c r="E216" s="4">
        <v>0</v>
      </c>
      <c r="F216" s="4" t="s">
        <v>71</v>
      </c>
      <c r="G216" s="4">
        <v>0</v>
      </c>
      <c r="H216" s="4">
        <v>0</v>
      </c>
      <c r="I216" s="15"/>
      <c r="J216" s="9" t="str">
        <f t="shared" si="3"/>
        <v>USB.7</v>
      </c>
      <c r="K216" s="10">
        <f>IF(D216="",17,IF(C216="",17,_xlfn.XLOOKUP(D216,refs!$A$2:$A$21,refs!$B$2:$B$21,"")))</f>
        <v>17</v>
      </c>
      <c r="L216" t="str">
        <f>"PASSTHROUGH|"&amp;A216&amp;"^^/ s /io.in."&amp;B216&amp;".mute="&amp;E216&amp;",mode="&amp;F216&amp;",icon="&amp;G216&amp;",pol="&amp;H216&amp;",vph="&amp;I216&amp;",name="&amp;J216&amp;",col="&amp;K216&amp;","</f>
        <v>PASSTHROUGH|WING1^^/ s /io.in.USB.7.mute=0,mode=M,icon=0,pol=0,vph=,name=USB.7,col=17,</v>
      </c>
    </row>
    <row r="217" spans="1:12" ht="15.75" x14ac:dyDescent="0.25">
      <c r="A217" s="1" t="s">
        <v>66</v>
      </c>
      <c r="B217" s="6" t="s">
        <v>257</v>
      </c>
      <c r="C217" s="12"/>
      <c r="D217" s="4"/>
      <c r="E217" s="4">
        <v>0</v>
      </c>
      <c r="F217" s="4" t="s">
        <v>71</v>
      </c>
      <c r="G217" s="4">
        <v>0</v>
      </c>
      <c r="H217" s="4">
        <v>0</v>
      </c>
      <c r="I217" s="15"/>
      <c r="J217" s="9" t="str">
        <f t="shared" si="3"/>
        <v>USB.8</v>
      </c>
      <c r="K217" s="10">
        <f>IF(D217="",17,IF(C217="",17,_xlfn.XLOOKUP(D217,refs!$A$2:$A$21,refs!$B$2:$B$21,"")))</f>
        <v>17</v>
      </c>
      <c r="L217" t="str">
        <f>"PASSTHROUGH|"&amp;A217&amp;"^^/ s /io.in."&amp;B217&amp;".mute="&amp;E217&amp;",mode="&amp;F217&amp;",icon="&amp;G217&amp;",pol="&amp;H217&amp;",vph="&amp;I217&amp;",name="&amp;J217&amp;",col="&amp;K217&amp;","</f>
        <v>PASSTHROUGH|WING1^^/ s /io.in.USB.8.mute=0,mode=M,icon=0,pol=0,vph=,name=USB.8,col=17,</v>
      </c>
    </row>
    <row r="218" spans="1:12" ht="15.75" x14ac:dyDescent="0.25">
      <c r="A218" s="1" t="s">
        <v>66</v>
      </c>
      <c r="B218" s="6" t="s">
        <v>258</v>
      </c>
      <c r="C218" s="12"/>
      <c r="D218" s="4"/>
      <c r="E218" s="4">
        <v>0</v>
      </c>
      <c r="F218" s="4" t="s">
        <v>71</v>
      </c>
      <c r="G218" s="4">
        <v>0</v>
      </c>
      <c r="H218" s="4">
        <v>0</v>
      </c>
      <c r="I218" s="15"/>
      <c r="J218" s="9" t="str">
        <f t="shared" si="3"/>
        <v>USB.9</v>
      </c>
      <c r="K218" s="10">
        <f>IF(D218="",17,IF(C218="",17,_xlfn.XLOOKUP(D218,refs!$A$2:$A$21,refs!$B$2:$B$21,"")))</f>
        <v>17</v>
      </c>
      <c r="L218" t="str">
        <f>"PASSTHROUGH|"&amp;A218&amp;"^^/ s /io.in."&amp;B218&amp;".mute="&amp;E218&amp;",mode="&amp;F218&amp;",icon="&amp;G218&amp;",pol="&amp;H218&amp;",vph="&amp;I218&amp;",name="&amp;J218&amp;",col="&amp;K218&amp;","</f>
        <v>PASSTHROUGH|WING1^^/ s /io.in.USB.9.mute=0,mode=M,icon=0,pol=0,vph=,name=USB.9,col=17,</v>
      </c>
    </row>
    <row r="219" spans="1:12" ht="15.75" x14ac:dyDescent="0.25">
      <c r="A219" s="1" t="s">
        <v>66</v>
      </c>
      <c r="B219" s="6" t="s">
        <v>259</v>
      </c>
      <c r="C219" s="12"/>
      <c r="D219" s="4"/>
      <c r="E219" s="4">
        <v>0</v>
      </c>
      <c r="F219" s="4" t="s">
        <v>71</v>
      </c>
      <c r="G219" s="4">
        <v>0</v>
      </c>
      <c r="H219" s="4">
        <v>0</v>
      </c>
      <c r="I219" s="15"/>
      <c r="J219" s="9" t="str">
        <f t="shared" si="3"/>
        <v>USB.10</v>
      </c>
      <c r="K219" s="10">
        <f>IF(D219="",17,IF(C219="",17,_xlfn.XLOOKUP(D219,refs!$A$2:$A$21,refs!$B$2:$B$21,"")))</f>
        <v>17</v>
      </c>
      <c r="L219" t="str">
        <f>"PASSTHROUGH|"&amp;A219&amp;"^^/ s /io.in."&amp;B219&amp;".mute="&amp;E219&amp;",mode="&amp;F219&amp;",icon="&amp;G219&amp;",pol="&amp;H219&amp;",vph="&amp;I219&amp;",name="&amp;J219&amp;",col="&amp;K219&amp;","</f>
        <v>PASSTHROUGH|WING1^^/ s /io.in.USB.10.mute=0,mode=M,icon=0,pol=0,vph=,name=USB.10,col=17,</v>
      </c>
    </row>
    <row r="220" spans="1:12" ht="15.75" x14ac:dyDescent="0.25">
      <c r="A220" s="1" t="s">
        <v>66</v>
      </c>
      <c r="B220" s="6" t="s">
        <v>260</v>
      </c>
      <c r="C220" s="12"/>
      <c r="D220" s="4"/>
      <c r="E220" s="4">
        <v>0</v>
      </c>
      <c r="F220" s="4" t="s">
        <v>71</v>
      </c>
      <c r="G220" s="4">
        <v>0</v>
      </c>
      <c r="H220" s="4">
        <v>0</v>
      </c>
      <c r="I220" s="15"/>
      <c r="J220" s="9" t="str">
        <f t="shared" si="3"/>
        <v>USB.11</v>
      </c>
      <c r="K220" s="10">
        <f>IF(D220="",17,IF(C220="",17,_xlfn.XLOOKUP(D220,refs!$A$2:$A$21,refs!$B$2:$B$21,"")))</f>
        <v>17</v>
      </c>
      <c r="L220" t="str">
        <f>"PASSTHROUGH|"&amp;A220&amp;"^^/ s /io.in."&amp;B220&amp;".mute="&amp;E220&amp;",mode="&amp;F220&amp;",icon="&amp;G220&amp;",pol="&amp;H220&amp;",vph="&amp;I220&amp;",name="&amp;J220&amp;",col="&amp;K220&amp;","</f>
        <v>PASSTHROUGH|WING1^^/ s /io.in.USB.11.mute=0,mode=M,icon=0,pol=0,vph=,name=USB.11,col=17,</v>
      </c>
    </row>
    <row r="221" spans="1:12" ht="15.75" x14ac:dyDescent="0.25">
      <c r="A221" s="1" t="s">
        <v>66</v>
      </c>
      <c r="B221" s="6" t="s">
        <v>261</v>
      </c>
      <c r="C221" s="12"/>
      <c r="D221" s="4"/>
      <c r="E221" s="4">
        <v>0</v>
      </c>
      <c r="F221" s="4" t="s">
        <v>71</v>
      </c>
      <c r="G221" s="4">
        <v>0</v>
      </c>
      <c r="H221" s="4">
        <v>0</v>
      </c>
      <c r="I221" s="15"/>
      <c r="J221" s="9" t="str">
        <f t="shared" si="3"/>
        <v>USB.12</v>
      </c>
      <c r="K221" s="10">
        <f>IF(D221="",17,IF(C221="",17,_xlfn.XLOOKUP(D221,refs!$A$2:$A$21,refs!$B$2:$B$21,"")))</f>
        <v>17</v>
      </c>
      <c r="L221" t="str">
        <f>"PASSTHROUGH|"&amp;A221&amp;"^^/ s /io.in."&amp;B221&amp;".mute="&amp;E221&amp;",mode="&amp;F221&amp;",icon="&amp;G221&amp;",pol="&amp;H221&amp;",vph="&amp;I221&amp;",name="&amp;J221&amp;",col="&amp;K221&amp;","</f>
        <v>PASSTHROUGH|WING1^^/ s /io.in.USB.12.mute=0,mode=M,icon=0,pol=0,vph=,name=USB.12,col=17,</v>
      </c>
    </row>
    <row r="222" spans="1:12" ht="15.75" x14ac:dyDescent="0.25">
      <c r="A222" s="1" t="s">
        <v>66</v>
      </c>
      <c r="B222" s="6" t="s">
        <v>262</v>
      </c>
      <c r="C222" s="12"/>
      <c r="D222" s="4"/>
      <c r="E222" s="4">
        <v>0</v>
      </c>
      <c r="F222" s="4" t="s">
        <v>71</v>
      </c>
      <c r="G222" s="4">
        <v>0</v>
      </c>
      <c r="H222" s="4">
        <v>0</v>
      </c>
      <c r="I222" s="15"/>
      <c r="J222" s="9" t="str">
        <f t="shared" si="3"/>
        <v>USB.13</v>
      </c>
      <c r="K222" s="10">
        <f>IF(D222="",17,IF(C222="",17,_xlfn.XLOOKUP(D222,refs!$A$2:$A$21,refs!$B$2:$B$21,"")))</f>
        <v>17</v>
      </c>
      <c r="L222" t="str">
        <f>"PASSTHROUGH|"&amp;A222&amp;"^^/ s /io.in."&amp;B222&amp;".mute="&amp;E222&amp;",mode="&amp;F222&amp;",icon="&amp;G222&amp;",pol="&amp;H222&amp;",vph="&amp;I222&amp;",name="&amp;J222&amp;",col="&amp;K222&amp;","</f>
        <v>PASSTHROUGH|WING1^^/ s /io.in.USB.13.mute=0,mode=M,icon=0,pol=0,vph=,name=USB.13,col=17,</v>
      </c>
    </row>
    <row r="223" spans="1:12" ht="15.75" x14ac:dyDescent="0.25">
      <c r="A223" s="1" t="s">
        <v>66</v>
      </c>
      <c r="B223" s="6" t="s">
        <v>263</v>
      </c>
      <c r="C223" s="12"/>
      <c r="D223" s="4"/>
      <c r="E223" s="4">
        <v>0</v>
      </c>
      <c r="F223" s="4" t="s">
        <v>71</v>
      </c>
      <c r="G223" s="4">
        <v>0</v>
      </c>
      <c r="H223" s="4">
        <v>0</v>
      </c>
      <c r="I223" s="15"/>
      <c r="J223" s="9" t="str">
        <f t="shared" si="3"/>
        <v>USB.14</v>
      </c>
      <c r="K223" s="10">
        <f>IF(D223="",17,IF(C223="",17,_xlfn.XLOOKUP(D223,refs!$A$2:$A$21,refs!$B$2:$B$21,"")))</f>
        <v>17</v>
      </c>
      <c r="L223" t="str">
        <f>"PASSTHROUGH|"&amp;A223&amp;"^^/ s /io.in."&amp;B223&amp;".mute="&amp;E223&amp;",mode="&amp;F223&amp;",icon="&amp;G223&amp;",pol="&amp;H223&amp;",vph="&amp;I223&amp;",name="&amp;J223&amp;",col="&amp;K223&amp;","</f>
        <v>PASSTHROUGH|WING1^^/ s /io.in.USB.14.mute=0,mode=M,icon=0,pol=0,vph=,name=USB.14,col=17,</v>
      </c>
    </row>
    <row r="224" spans="1:12" ht="15.75" x14ac:dyDescent="0.25">
      <c r="A224" s="1" t="s">
        <v>66</v>
      </c>
      <c r="B224" s="6" t="s">
        <v>264</v>
      </c>
      <c r="C224" s="12"/>
      <c r="D224" s="4"/>
      <c r="E224" s="4">
        <v>0</v>
      </c>
      <c r="F224" s="4" t="s">
        <v>71</v>
      </c>
      <c r="G224" s="4">
        <v>0</v>
      </c>
      <c r="H224" s="4">
        <v>0</v>
      </c>
      <c r="I224" s="15"/>
      <c r="J224" s="9" t="str">
        <f t="shared" si="3"/>
        <v>USB.15</v>
      </c>
      <c r="K224" s="10">
        <f>IF(D224="",17,IF(C224="",17,_xlfn.XLOOKUP(D224,refs!$A$2:$A$21,refs!$B$2:$B$21,"")))</f>
        <v>17</v>
      </c>
      <c r="L224" t="str">
        <f>"PASSTHROUGH|"&amp;A224&amp;"^^/ s /io.in."&amp;B224&amp;".mute="&amp;E224&amp;",mode="&amp;F224&amp;",icon="&amp;G224&amp;",pol="&amp;H224&amp;",vph="&amp;I224&amp;",name="&amp;J224&amp;",col="&amp;K224&amp;","</f>
        <v>PASSTHROUGH|WING1^^/ s /io.in.USB.15.mute=0,mode=M,icon=0,pol=0,vph=,name=USB.15,col=17,</v>
      </c>
    </row>
    <row r="225" spans="1:12" ht="15.75" x14ac:dyDescent="0.25">
      <c r="A225" s="1" t="s">
        <v>66</v>
      </c>
      <c r="B225" s="6" t="s">
        <v>265</v>
      </c>
      <c r="C225" s="12"/>
      <c r="D225" s="4"/>
      <c r="E225" s="4">
        <v>0</v>
      </c>
      <c r="F225" s="4" t="s">
        <v>71</v>
      </c>
      <c r="G225" s="4">
        <v>0</v>
      </c>
      <c r="H225" s="4">
        <v>0</v>
      </c>
      <c r="I225" s="15"/>
      <c r="J225" s="9" t="str">
        <f t="shared" si="3"/>
        <v>USB.16</v>
      </c>
      <c r="K225" s="10">
        <f>IF(D225="",17,IF(C225="",17,_xlfn.XLOOKUP(D225,refs!$A$2:$A$21,refs!$B$2:$B$21,"")))</f>
        <v>17</v>
      </c>
      <c r="L225" t="str">
        <f>"PASSTHROUGH|"&amp;A225&amp;"^^/ s /io.in."&amp;B225&amp;".mute="&amp;E225&amp;",mode="&amp;F225&amp;",icon="&amp;G225&amp;",pol="&amp;H225&amp;",vph="&amp;I225&amp;",name="&amp;J225&amp;",col="&amp;K225&amp;","</f>
        <v>PASSTHROUGH|WING1^^/ s /io.in.USB.16.mute=0,mode=M,icon=0,pol=0,vph=,name=USB.16,col=17,</v>
      </c>
    </row>
    <row r="226" spans="1:12" ht="15.75" x14ac:dyDescent="0.25">
      <c r="A226" s="1" t="s">
        <v>66</v>
      </c>
      <c r="B226" s="6" t="s">
        <v>266</v>
      </c>
      <c r="C226" s="12"/>
      <c r="D226" s="4"/>
      <c r="E226" s="4">
        <v>0</v>
      </c>
      <c r="F226" s="4" t="s">
        <v>71</v>
      </c>
      <c r="G226" s="4">
        <v>0</v>
      </c>
      <c r="H226" s="4">
        <v>0</v>
      </c>
      <c r="I226" s="15"/>
      <c r="J226" s="9" t="str">
        <f t="shared" si="3"/>
        <v>USB.17</v>
      </c>
      <c r="K226" s="10">
        <f>IF(D226="",17,IF(C226="",17,_xlfn.XLOOKUP(D226,refs!$A$2:$A$21,refs!$B$2:$B$21,"")))</f>
        <v>17</v>
      </c>
      <c r="L226" t="str">
        <f>"PASSTHROUGH|"&amp;A226&amp;"^^/ s /io.in."&amp;B226&amp;".mute="&amp;E226&amp;",mode="&amp;F226&amp;",icon="&amp;G226&amp;",pol="&amp;H226&amp;",vph="&amp;I226&amp;",name="&amp;J226&amp;",col="&amp;K226&amp;","</f>
        <v>PASSTHROUGH|WING1^^/ s /io.in.USB.17.mute=0,mode=M,icon=0,pol=0,vph=,name=USB.17,col=17,</v>
      </c>
    </row>
    <row r="227" spans="1:12" ht="15.75" x14ac:dyDescent="0.25">
      <c r="A227" s="1" t="s">
        <v>66</v>
      </c>
      <c r="B227" s="6" t="s">
        <v>267</v>
      </c>
      <c r="C227" s="12"/>
      <c r="D227" s="4"/>
      <c r="E227" s="4">
        <v>0</v>
      </c>
      <c r="F227" s="4" t="s">
        <v>71</v>
      </c>
      <c r="G227" s="4">
        <v>0</v>
      </c>
      <c r="H227" s="4">
        <v>0</v>
      </c>
      <c r="I227" s="15"/>
      <c r="J227" s="9" t="str">
        <f t="shared" si="3"/>
        <v>USB.18</v>
      </c>
      <c r="K227" s="10">
        <f>IF(D227="",17,IF(C227="",17,_xlfn.XLOOKUP(D227,refs!$A$2:$A$21,refs!$B$2:$B$21,"")))</f>
        <v>17</v>
      </c>
      <c r="L227" t="str">
        <f>"PASSTHROUGH|"&amp;A227&amp;"^^/ s /io.in."&amp;B227&amp;".mute="&amp;E227&amp;",mode="&amp;F227&amp;",icon="&amp;G227&amp;",pol="&amp;H227&amp;",vph="&amp;I227&amp;",name="&amp;J227&amp;",col="&amp;K227&amp;","</f>
        <v>PASSTHROUGH|WING1^^/ s /io.in.USB.18.mute=0,mode=M,icon=0,pol=0,vph=,name=USB.18,col=17,</v>
      </c>
    </row>
    <row r="228" spans="1:12" ht="15.75" x14ac:dyDescent="0.25">
      <c r="A228" s="1" t="s">
        <v>66</v>
      </c>
      <c r="B228" s="6" t="s">
        <v>268</v>
      </c>
      <c r="C228" s="12"/>
      <c r="D228" s="4"/>
      <c r="E228" s="4">
        <v>0</v>
      </c>
      <c r="F228" s="4" t="s">
        <v>71</v>
      </c>
      <c r="G228" s="4">
        <v>0</v>
      </c>
      <c r="H228" s="4">
        <v>0</v>
      </c>
      <c r="I228" s="15"/>
      <c r="J228" s="9" t="str">
        <f t="shared" si="3"/>
        <v>USB.19</v>
      </c>
      <c r="K228" s="10">
        <f>IF(D228="",17,IF(C228="",17,_xlfn.XLOOKUP(D228,refs!$A$2:$A$21,refs!$B$2:$B$21,"")))</f>
        <v>17</v>
      </c>
      <c r="L228" t="str">
        <f>"PASSTHROUGH|"&amp;A228&amp;"^^/ s /io.in."&amp;B228&amp;".mute="&amp;E228&amp;",mode="&amp;F228&amp;",icon="&amp;G228&amp;",pol="&amp;H228&amp;",vph="&amp;I228&amp;",name="&amp;J228&amp;",col="&amp;K228&amp;","</f>
        <v>PASSTHROUGH|WING1^^/ s /io.in.USB.19.mute=0,mode=M,icon=0,pol=0,vph=,name=USB.19,col=17,</v>
      </c>
    </row>
    <row r="229" spans="1:12" ht="15.75" x14ac:dyDescent="0.25">
      <c r="A229" s="1" t="s">
        <v>66</v>
      </c>
      <c r="B229" s="6" t="s">
        <v>269</v>
      </c>
      <c r="C229" s="12"/>
      <c r="D229" s="4"/>
      <c r="E229" s="4">
        <v>0</v>
      </c>
      <c r="F229" s="4" t="s">
        <v>71</v>
      </c>
      <c r="G229" s="4">
        <v>0</v>
      </c>
      <c r="H229" s="4">
        <v>0</v>
      </c>
      <c r="I229" s="15"/>
      <c r="J229" s="9" t="str">
        <f t="shared" si="3"/>
        <v>USB.20</v>
      </c>
      <c r="K229" s="10">
        <f>IF(D229="",17,IF(C229="",17,_xlfn.XLOOKUP(D229,refs!$A$2:$A$21,refs!$B$2:$B$21,"")))</f>
        <v>17</v>
      </c>
      <c r="L229" t="str">
        <f>"PASSTHROUGH|"&amp;A229&amp;"^^/ s /io.in."&amp;B229&amp;".mute="&amp;E229&amp;",mode="&amp;F229&amp;",icon="&amp;G229&amp;",pol="&amp;H229&amp;",vph="&amp;I229&amp;",name="&amp;J229&amp;",col="&amp;K229&amp;","</f>
        <v>PASSTHROUGH|WING1^^/ s /io.in.USB.20.mute=0,mode=M,icon=0,pol=0,vph=,name=USB.20,col=17,</v>
      </c>
    </row>
    <row r="230" spans="1:12" ht="15.75" x14ac:dyDescent="0.25">
      <c r="A230" s="1" t="s">
        <v>66</v>
      </c>
      <c r="B230" s="6" t="s">
        <v>270</v>
      </c>
      <c r="C230" s="12"/>
      <c r="D230" s="4"/>
      <c r="E230" s="4">
        <v>0</v>
      </c>
      <c r="F230" s="4" t="s">
        <v>71</v>
      </c>
      <c r="G230" s="4">
        <v>0</v>
      </c>
      <c r="H230" s="4">
        <v>0</v>
      </c>
      <c r="I230" s="15"/>
      <c r="J230" s="9" t="str">
        <f t="shared" si="3"/>
        <v>USB.21</v>
      </c>
      <c r="K230" s="10">
        <f>IF(D230="",17,IF(C230="",17,_xlfn.XLOOKUP(D230,refs!$A$2:$A$21,refs!$B$2:$B$21,"")))</f>
        <v>17</v>
      </c>
      <c r="L230" t="str">
        <f>"PASSTHROUGH|"&amp;A230&amp;"^^/ s /io.in."&amp;B230&amp;".mute="&amp;E230&amp;",mode="&amp;F230&amp;",icon="&amp;G230&amp;",pol="&amp;H230&amp;",vph="&amp;I230&amp;",name="&amp;J230&amp;",col="&amp;K230&amp;","</f>
        <v>PASSTHROUGH|WING1^^/ s /io.in.USB.21.mute=0,mode=M,icon=0,pol=0,vph=,name=USB.21,col=17,</v>
      </c>
    </row>
    <row r="231" spans="1:12" ht="15.75" x14ac:dyDescent="0.25">
      <c r="A231" s="1" t="s">
        <v>66</v>
      </c>
      <c r="B231" s="6" t="s">
        <v>271</v>
      </c>
      <c r="C231" s="12"/>
      <c r="D231" s="4"/>
      <c r="E231" s="4">
        <v>0</v>
      </c>
      <c r="F231" s="4" t="s">
        <v>71</v>
      </c>
      <c r="G231" s="4">
        <v>0</v>
      </c>
      <c r="H231" s="4">
        <v>0</v>
      </c>
      <c r="I231" s="15"/>
      <c r="J231" s="9" t="str">
        <f t="shared" si="3"/>
        <v>USB.22</v>
      </c>
      <c r="K231" s="10">
        <f>IF(D231="",17,IF(C231="",17,_xlfn.XLOOKUP(D231,refs!$A$2:$A$21,refs!$B$2:$B$21,"")))</f>
        <v>17</v>
      </c>
      <c r="L231" t="str">
        <f>"PASSTHROUGH|"&amp;A231&amp;"^^/ s /io.in."&amp;B231&amp;".mute="&amp;E231&amp;",mode="&amp;F231&amp;",icon="&amp;G231&amp;",pol="&amp;H231&amp;",vph="&amp;I231&amp;",name="&amp;J231&amp;",col="&amp;K231&amp;","</f>
        <v>PASSTHROUGH|WING1^^/ s /io.in.USB.22.mute=0,mode=M,icon=0,pol=0,vph=,name=USB.22,col=17,</v>
      </c>
    </row>
    <row r="232" spans="1:12" ht="15.75" x14ac:dyDescent="0.25">
      <c r="A232" s="1" t="s">
        <v>66</v>
      </c>
      <c r="B232" s="6" t="s">
        <v>272</v>
      </c>
      <c r="C232" s="12"/>
      <c r="D232" s="4"/>
      <c r="E232" s="4">
        <v>0</v>
      </c>
      <c r="F232" s="4" t="s">
        <v>71</v>
      </c>
      <c r="G232" s="4">
        <v>0</v>
      </c>
      <c r="H232" s="4">
        <v>0</v>
      </c>
      <c r="I232" s="15"/>
      <c r="J232" s="9" t="str">
        <f t="shared" si="3"/>
        <v>USB.23</v>
      </c>
      <c r="K232" s="10">
        <f>IF(D232="",17,IF(C232="",17,_xlfn.XLOOKUP(D232,refs!$A$2:$A$21,refs!$B$2:$B$21,"")))</f>
        <v>17</v>
      </c>
      <c r="L232" t="str">
        <f>"PASSTHROUGH|"&amp;A232&amp;"^^/ s /io.in."&amp;B232&amp;".mute="&amp;E232&amp;",mode="&amp;F232&amp;",icon="&amp;G232&amp;",pol="&amp;H232&amp;",vph="&amp;I232&amp;",name="&amp;J232&amp;",col="&amp;K232&amp;","</f>
        <v>PASSTHROUGH|WING1^^/ s /io.in.USB.23.mute=0,mode=M,icon=0,pol=0,vph=,name=USB.23,col=17,</v>
      </c>
    </row>
    <row r="233" spans="1:12" ht="15.75" x14ac:dyDescent="0.25">
      <c r="A233" s="1" t="s">
        <v>66</v>
      </c>
      <c r="B233" s="6" t="s">
        <v>273</v>
      </c>
      <c r="C233" s="12"/>
      <c r="D233" s="4"/>
      <c r="E233" s="4">
        <v>0</v>
      </c>
      <c r="F233" s="4" t="s">
        <v>71</v>
      </c>
      <c r="G233" s="4">
        <v>0</v>
      </c>
      <c r="H233" s="4">
        <v>0</v>
      </c>
      <c r="I233" s="15"/>
      <c r="J233" s="9" t="str">
        <f t="shared" si="3"/>
        <v>USB.24</v>
      </c>
      <c r="K233" s="10">
        <f>IF(D233="",17,IF(C233="",17,_xlfn.XLOOKUP(D233,refs!$A$2:$A$21,refs!$B$2:$B$21,"")))</f>
        <v>17</v>
      </c>
      <c r="L233" t="str">
        <f>"PASSTHROUGH|"&amp;A233&amp;"^^/ s /io.in."&amp;B233&amp;".mute="&amp;E233&amp;",mode="&amp;F233&amp;",icon="&amp;G233&amp;",pol="&amp;H233&amp;",vph="&amp;I233&amp;",name="&amp;J233&amp;",col="&amp;K233&amp;","</f>
        <v>PASSTHROUGH|WING1^^/ s /io.in.USB.24.mute=0,mode=M,icon=0,pol=0,vph=,name=USB.24,col=17,</v>
      </c>
    </row>
    <row r="234" spans="1:12" ht="15.75" x14ac:dyDescent="0.25">
      <c r="A234" s="1" t="s">
        <v>66</v>
      </c>
      <c r="B234" s="6" t="s">
        <v>274</v>
      </c>
      <c r="C234" s="12"/>
      <c r="D234" s="4"/>
      <c r="E234" s="4">
        <v>0</v>
      </c>
      <c r="F234" s="4" t="s">
        <v>71</v>
      </c>
      <c r="G234" s="4">
        <v>0</v>
      </c>
      <c r="H234" s="4">
        <v>0</v>
      </c>
      <c r="I234" s="15"/>
      <c r="J234" s="9" t="str">
        <f t="shared" si="3"/>
        <v>USB.25</v>
      </c>
      <c r="K234" s="10">
        <f>IF(D234="",17,IF(C234="",17,_xlfn.XLOOKUP(D234,refs!$A$2:$A$21,refs!$B$2:$B$21,"")))</f>
        <v>17</v>
      </c>
      <c r="L234" t="str">
        <f>"PASSTHROUGH|"&amp;A234&amp;"^^/ s /io.in."&amp;B234&amp;".mute="&amp;E234&amp;",mode="&amp;F234&amp;",icon="&amp;G234&amp;",pol="&amp;H234&amp;",vph="&amp;I234&amp;",name="&amp;J234&amp;",col="&amp;K234&amp;","</f>
        <v>PASSTHROUGH|WING1^^/ s /io.in.USB.25.mute=0,mode=M,icon=0,pol=0,vph=,name=USB.25,col=17,</v>
      </c>
    </row>
    <row r="235" spans="1:12" ht="15.75" x14ac:dyDescent="0.25">
      <c r="A235" s="1" t="s">
        <v>66</v>
      </c>
      <c r="B235" s="6" t="s">
        <v>275</v>
      </c>
      <c r="C235" s="12"/>
      <c r="D235" s="4"/>
      <c r="E235" s="4">
        <v>0</v>
      </c>
      <c r="F235" s="4" t="s">
        <v>71</v>
      </c>
      <c r="G235" s="4">
        <v>0</v>
      </c>
      <c r="H235" s="4">
        <v>0</v>
      </c>
      <c r="I235" s="15"/>
      <c r="J235" s="9" t="str">
        <f t="shared" si="3"/>
        <v>USB.26</v>
      </c>
      <c r="K235" s="10">
        <f>IF(D235="",17,IF(C235="",17,_xlfn.XLOOKUP(D235,refs!$A$2:$A$21,refs!$B$2:$B$21,"")))</f>
        <v>17</v>
      </c>
      <c r="L235" t="str">
        <f>"PASSTHROUGH|"&amp;A235&amp;"^^/ s /io.in."&amp;B235&amp;".mute="&amp;E235&amp;",mode="&amp;F235&amp;",icon="&amp;G235&amp;",pol="&amp;H235&amp;",vph="&amp;I235&amp;",name="&amp;J235&amp;",col="&amp;K235&amp;","</f>
        <v>PASSTHROUGH|WING1^^/ s /io.in.USB.26.mute=0,mode=M,icon=0,pol=0,vph=,name=USB.26,col=17,</v>
      </c>
    </row>
    <row r="236" spans="1:12" ht="15.75" x14ac:dyDescent="0.25">
      <c r="A236" s="1" t="s">
        <v>66</v>
      </c>
      <c r="B236" s="6" t="s">
        <v>276</v>
      </c>
      <c r="C236" s="12"/>
      <c r="D236" s="4"/>
      <c r="E236" s="4">
        <v>0</v>
      </c>
      <c r="F236" s="4" t="s">
        <v>71</v>
      </c>
      <c r="G236" s="4">
        <v>0</v>
      </c>
      <c r="H236" s="4">
        <v>0</v>
      </c>
      <c r="I236" s="15"/>
      <c r="J236" s="9" t="str">
        <f t="shared" si="3"/>
        <v>USB.27</v>
      </c>
      <c r="K236" s="10">
        <f>IF(D236="",17,IF(C236="",17,_xlfn.XLOOKUP(D236,refs!$A$2:$A$21,refs!$B$2:$B$21,"")))</f>
        <v>17</v>
      </c>
      <c r="L236" t="str">
        <f>"PASSTHROUGH|"&amp;A236&amp;"^^/ s /io.in."&amp;B236&amp;".mute="&amp;E236&amp;",mode="&amp;F236&amp;",icon="&amp;G236&amp;",pol="&amp;H236&amp;",vph="&amp;I236&amp;",name="&amp;J236&amp;",col="&amp;K236&amp;","</f>
        <v>PASSTHROUGH|WING1^^/ s /io.in.USB.27.mute=0,mode=M,icon=0,pol=0,vph=,name=USB.27,col=17,</v>
      </c>
    </row>
    <row r="237" spans="1:12" ht="15.75" x14ac:dyDescent="0.25">
      <c r="A237" s="1" t="s">
        <v>66</v>
      </c>
      <c r="B237" s="6" t="s">
        <v>277</v>
      </c>
      <c r="C237" s="12"/>
      <c r="D237" s="4"/>
      <c r="E237" s="4">
        <v>0</v>
      </c>
      <c r="F237" s="4" t="s">
        <v>71</v>
      </c>
      <c r="G237" s="4">
        <v>0</v>
      </c>
      <c r="H237" s="4">
        <v>0</v>
      </c>
      <c r="I237" s="15"/>
      <c r="J237" s="9" t="str">
        <f t="shared" si="3"/>
        <v>USB.28</v>
      </c>
      <c r="K237" s="10">
        <f>IF(D237="",17,IF(C237="",17,_xlfn.XLOOKUP(D237,refs!$A$2:$A$21,refs!$B$2:$B$21,"")))</f>
        <v>17</v>
      </c>
      <c r="L237" t="str">
        <f>"PASSTHROUGH|"&amp;A237&amp;"^^/ s /io.in."&amp;B237&amp;".mute="&amp;E237&amp;",mode="&amp;F237&amp;",icon="&amp;G237&amp;",pol="&amp;H237&amp;",vph="&amp;I237&amp;",name="&amp;J237&amp;",col="&amp;K237&amp;","</f>
        <v>PASSTHROUGH|WING1^^/ s /io.in.USB.28.mute=0,mode=M,icon=0,pol=0,vph=,name=USB.28,col=17,</v>
      </c>
    </row>
    <row r="238" spans="1:12" ht="15.75" x14ac:dyDescent="0.25">
      <c r="A238" s="1" t="s">
        <v>66</v>
      </c>
      <c r="B238" s="6" t="s">
        <v>278</v>
      </c>
      <c r="C238" s="12"/>
      <c r="D238" s="4"/>
      <c r="E238" s="4">
        <v>0</v>
      </c>
      <c r="F238" s="4" t="s">
        <v>71</v>
      </c>
      <c r="G238" s="4">
        <v>0</v>
      </c>
      <c r="H238" s="4">
        <v>0</v>
      </c>
      <c r="I238" s="15"/>
      <c r="J238" s="9" t="str">
        <f t="shared" si="3"/>
        <v>USB.29</v>
      </c>
      <c r="K238" s="10">
        <f>IF(D238="",17,IF(C238="",17,_xlfn.XLOOKUP(D238,refs!$A$2:$A$21,refs!$B$2:$B$21,"")))</f>
        <v>17</v>
      </c>
      <c r="L238" t="str">
        <f>"PASSTHROUGH|"&amp;A238&amp;"^^/ s /io.in."&amp;B238&amp;".mute="&amp;E238&amp;",mode="&amp;F238&amp;",icon="&amp;G238&amp;",pol="&amp;H238&amp;",vph="&amp;I238&amp;",name="&amp;J238&amp;",col="&amp;K238&amp;","</f>
        <v>PASSTHROUGH|WING1^^/ s /io.in.USB.29.mute=0,mode=M,icon=0,pol=0,vph=,name=USB.29,col=17,</v>
      </c>
    </row>
    <row r="239" spans="1:12" ht="15.75" x14ac:dyDescent="0.25">
      <c r="A239" s="1" t="s">
        <v>66</v>
      </c>
      <c r="B239" s="6" t="s">
        <v>279</v>
      </c>
      <c r="C239" s="12"/>
      <c r="D239" s="4"/>
      <c r="E239" s="4">
        <v>0</v>
      </c>
      <c r="F239" s="4" t="s">
        <v>71</v>
      </c>
      <c r="G239" s="4">
        <v>0</v>
      </c>
      <c r="H239" s="4">
        <v>0</v>
      </c>
      <c r="I239" s="15"/>
      <c r="J239" s="9" t="str">
        <f t="shared" si="3"/>
        <v>USB.30</v>
      </c>
      <c r="K239" s="10">
        <f>IF(D239="",17,IF(C239="",17,_xlfn.XLOOKUP(D239,refs!$A$2:$A$21,refs!$B$2:$B$21,"")))</f>
        <v>17</v>
      </c>
      <c r="L239" t="str">
        <f>"PASSTHROUGH|"&amp;A239&amp;"^^/ s /io.in."&amp;B239&amp;".mute="&amp;E239&amp;",mode="&amp;F239&amp;",icon="&amp;G239&amp;",pol="&amp;H239&amp;",vph="&amp;I239&amp;",name="&amp;J239&amp;",col="&amp;K239&amp;","</f>
        <v>PASSTHROUGH|WING1^^/ s /io.in.USB.30.mute=0,mode=M,icon=0,pol=0,vph=,name=USB.30,col=17,</v>
      </c>
    </row>
    <row r="240" spans="1:12" ht="15.75" x14ac:dyDescent="0.25">
      <c r="A240" s="1" t="s">
        <v>66</v>
      </c>
      <c r="B240" s="6" t="s">
        <v>280</v>
      </c>
      <c r="C240" s="12"/>
      <c r="D240" s="4"/>
      <c r="E240" s="4">
        <v>0</v>
      </c>
      <c r="F240" s="4" t="s">
        <v>71</v>
      </c>
      <c r="G240" s="4">
        <v>0</v>
      </c>
      <c r="H240" s="4">
        <v>0</v>
      </c>
      <c r="I240" s="15"/>
      <c r="J240" s="9" t="str">
        <f t="shared" si="3"/>
        <v>USB.31</v>
      </c>
      <c r="K240" s="10">
        <f>IF(D240="",17,IF(C240="",17,_xlfn.XLOOKUP(D240,refs!$A$2:$A$21,refs!$B$2:$B$21,"")))</f>
        <v>17</v>
      </c>
      <c r="L240" t="str">
        <f>"PASSTHROUGH|"&amp;A240&amp;"^^/ s /io.in."&amp;B240&amp;".mute="&amp;E240&amp;",mode="&amp;F240&amp;",icon="&amp;G240&amp;",pol="&amp;H240&amp;",vph="&amp;I240&amp;",name="&amp;J240&amp;",col="&amp;K240&amp;","</f>
        <v>PASSTHROUGH|WING1^^/ s /io.in.USB.31.mute=0,mode=M,icon=0,pol=0,vph=,name=USB.31,col=17,</v>
      </c>
    </row>
    <row r="241" spans="1:12" ht="15.75" x14ac:dyDescent="0.25">
      <c r="A241" s="1" t="s">
        <v>66</v>
      </c>
      <c r="B241" s="6" t="s">
        <v>281</v>
      </c>
      <c r="C241" s="12"/>
      <c r="D241" s="4"/>
      <c r="E241" s="4">
        <v>0</v>
      </c>
      <c r="F241" s="4" t="s">
        <v>71</v>
      </c>
      <c r="G241" s="4">
        <v>0</v>
      </c>
      <c r="H241" s="4">
        <v>0</v>
      </c>
      <c r="I241" s="15"/>
      <c r="J241" s="9" t="str">
        <f t="shared" si="3"/>
        <v>USB.32</v>
      </c>
      <c r="K241" s="10">
        <f>IF(D241="",17,IF(C241="",17,_xlfn.XLOOKUP(D241,refs!$A$2:$A$21,refs!$B$2:$B$21,"")))</f>
        <v>17</v>
      </c>
      <c r="L241" t="str">
        <f>"PASSTHROUGH|"&amp;A241&amp;"^^/ s /io.in."&amp;B241&amp;".mute="&amp;E241&amp;",mode="&amp;F241&amp;",icon="&amp;G241&amp;",pol="&amp;H241&amp;",vph="&amp;I241&amp;",name="&amp;J241&amp;",col="&amp;K241&amp;","</f>
        <v>PASSTHROUGH|WING1^^/ s /io.in.USB.32.mute=0,mode=M,icon=0,pol=0,vph=,name=USB.32,col=17,</v>
      </c>
    </row>
    <row r="242" spans="1:12" ht="15.75" x14ac:dyDescent="0.25">
      <c r="A242" s="1" t="s">
        <v>66</v>
      </c>
      <c r="B242" s="6" t="s">
        <v>282</v>
      </c>
      <c r="C242" s="12"/>
      <c r="D242" s="4"/>
      <c r="E242" s="4">
        <v>0</v>
      </c>
      <c r="F242" s="4" t="s">
        <v>71</v>
      </c>
      <c r="G242" s="4">
        <v>0</v>
      </c>
      <c r="H242" s="4">
        <v>0</v>
      </c>
      <c r="I242" s="15"/>
      <c r="J242" s="9" t="str">
        <f t="shared" si="3"/>
        <v>USB.33</v>
      </c>
      <c r="K242" s="10">
        <f>IF(D242="",17,IF(C242="",17,_xlfn.XLOOKUP(D242,refs!$A$2:$A$21,refs!$B$2:$B$21,"")))</f>
        <v>17</v>
      </c>
      <c r="L242" t="str">
        <f>"PASSTHROUGH|"&amp;A242&amp;"^^/ s /io.in."&amp;B242&amp;".mute="&amp;E242&amp;",mode="&amp;F242&amp;",icon="&amp;G242&amp;",pol="&amp;H242&amp;",vph="&amp;I242&amp;",name="&amp;J242&amp;",col="&amp;K242&amp;","</f>
        <v>PASSTHROUGH|WING1^^/ s /io.in.USB.33.mute=0,mode=M,icon=0,pol=0,vph=,name=USB.33,col=17,</v>
      </c>
    </row>
    <row r="243" spans="1:12" ht="15.75" x14ac:dyDescent="0.25">
      <c r="A243" s="1" t="s">
        <v>66</v>
      </c>
      <c r="B243" s="6" t="s">
        <v>283</v>
      </c>
      <c r="C243" s="12"/>
      <c r="D243" s="4"/>
      <c r="E243" s="4">
        <v>0</v>
      </c>
      <c r="F243" s="4" t="s">
        <v>71</v>
      </c>
      <c r="G243" s="4">
        <v>0</v>
      </c>
      <c r="H243" s="4">
        <v>0</v>
      </c>
      <c r="I243" s="15"/>
      <c r="J243" s="9" t="str">
        <f t="shared" si="3"/>
        <v>USB.34</v>
      </c>
      <c r="K243" s="10">
        <f>IF(D243="",17,IF(C243="",17,_xlfn.XLOOKUP(D243,refs!$A$2:$A$21,refs!$B$2:$B$21,"")))</f>
        <v>17</v>
      </c>
      <c r="L243" t="str">
        <f>"PASSTHROUGH|"&amp;A243&amp;"^^/ s /io.in."&amp;B243&amp;".mute="&amp;E243&amp;",mode="&amp;F243&amp;",icon="&amp;G243&amp;",pol="&amp;H243&amp;",vph="&amp;I243&amp;",name="&amp;J243&amp;",col="&amp;K243&amp;","</f>
        <v>PASSTHROUGH|WING1^^/ s /io.in.USB.34.mute=0,mode=M,icon=0,pol=0,vph=,name=USB.34,col=17,</v>
      </c>
    </row>
    <row r="244" spans="1:12" ht="15.75" x14ac:dyDescent="0.25">
      <c r="A244" s="1" t="s">
        <v>66</v>
      </c>
      <c r="B244" s="6" t="s">
        <v>284</v>
      </c>
      <c r="C244" s="12"/>
      <c r="D244" s="4"/>
      <c r="E244" s="4">
        <v>0</v>
      </c>
      <c r="F244" s="4" t="s">
        <v>71</v>
      </c>
      <c r="G244" s="4">
        <v>0</v>
      </c>
      <c r="H244" s="4">
        <v>0</v>
      </c>
      <c r="I244" s="15"/>
      <c r="J244" s="9" t="str">
        <f t="shared" si="3"/>
        <v>USB.35</v>
      </c>
      <c r="K244" s="10">
        <f>IF(D244="",17,IF(C244="",17,_xlfn.XLOOKUP(D244,refs!$A$2:$A$21,refs!$B$2:$B$21,"")))</f>
        <v>17</v>
      </c>
      <c r="L244" t="str">
        <f>"PASSTHROUGH|"&amp;A244&amp;"^^/ s /io.in."&amp;B244&amp;".mute="&amp;E244&amp;",mode="&amp;F244&amp;",icon="&amp;G244&amp;",pol="&amp;H244&amp;",vph="&amp;I244&amp;",name="&amp;J244&amp;",col="&amp;K244&amp;","</f>
        <v>PASSTHROUGH|WING1^^/ s /io.in.USB.35.mute=0,mode=M,icon=0,pol=0,vph=,name=USB.35,col=17,</v>
      </c>
    </row>
    <row r="245" spans="1:12" ht="15.75" x14ac:dyDescent="0.25">
      <c r="A245" s="1" t="s">
        <v>66</v>
      </c>
      <c r="B245" s="6" t="s">
        <v>285</v>
      </c>
      <c r="C245" s="12"/>
      <c r="D245" s="4"/>
      <c r="E245" s="4">
        <v>0</v>
      </c>
      <c r="F245" s="4" t="s">
        <v>71</v>
      </c>
      <c r="G245" s="4">
        <v>0</v>
      </c>
      <c r="H245" s="4">
        <v>0</v>
      </c>
      <c r="I245" s="15"/>
      <c r="J245" s="9" t="str">
        <f t="shared" si="3"/>
        <v>USB.36</v>
      </c>
      <c r="K245" s="10">
        <f>IF(D245="",17,IF(C245="",17,_xlfn.XLOOKUP(D245,refs!$A$2:$A$21,refs!$B$2:$B$21,"")))</f>
        <v>17</v>
      </c>
      <c r="L245" t="str">
        <f>"PASSTHROUGH|"&amp;A245&amp;"^^/ s /io.in."&amp;B245&amp;".mute="&amp;E245&amp;",mode="&amp;F245&amp;",icon="&amp;G245&amp;",pol="&amp;H245&amp;",vph="&amp;I245&amp;",name="&amp;J245&amp;",col="&amp;K245&amp;","</f>
        <v>PASSTHROUGH|WING1^^/ s /io.in.USB.36.mute=0,mode=M,icon=0,pol=0,vph=,name=USB.36,col=17,</v>
      </c>
    </row>
    <row r="246" spans="1:12" ht="15.75" x14ac:dyDescent="0.25">
      <c r="A246" s="1" t="s">
        <v>66</v>
      </c>
      <c r="B246" s="6" t="s">
        <v>286</v>
      </c>
      <c r="C246" s="12"/>
      <c r="D246" s="4"/>
      <c r="E246" s="4">
        <v>0</v>
      </c>
      <c r="F246" s="4" t="s">
        <v>71</v>
      </c>
      <c r="G246" s="4">
        <v>0</v>
      </c>
      <c r="H246" s="4">
        <v>0</v>
      </c>
      <c r="I246" s="15"/>
      <c r="J246" s="9" t="str">
        <f t="shared" si="3"/>
        <v>USB.37</v>
      </c>
      <c r="K246" s="10">
        <f>IF(D246="",17,IF(C246="",17,_xlfn.XLOOKUP(D246,refs!$A$2:$A$21,refs!$B$2:$B$21,"")))</f>
        <v>17</v>
      </c>
      <c r="L246" t="str">
        <f>"PASSTHROUGH|"&amp;A246&amp;"^^/ s /io.in."&amp;B246&amp;".mute="&amp;E246&amp;",mode="&amp;F246&amp;",icon="&amp;G246&amp;",pol="&amp;H246&amp;",vph="&amp;I246&amp;",name="&amp;J246&amp;",col="&amp;K246&amp;","</f>
        <v>PASSTHROUGH|WING1^^/ s /io.in.USB.37.mute=0,mode=M,icon=0,pol=0,vph=,name=USB.37,col=17,</v>
      </c>
    </row>
    <row r="247" spans="1:12" ht="15.75" x14ac:dyDescent="0.25">
      <c r="A247" s="1" t="s">
        <v>66</v>
      </c>
      <c r="B247" s="6" t="s">
        <v>287</v>
      </c>
      <c r="C247" s="12"/>
      <c r="D247" s="4"/>
      <c r="E247" s="4">
        <v>0</v>
      </c>
      <c r="F247" s="4" t="s">
        <v>71</v>
      </c>
      <c r="G247" s="4">
        <v>0</v>
      </c>
      <c r="H247" s="4">
        <v>0</v>
      </c>
      <c r="I247" s="15"/>
      <c r="J247" s="9" t="str">
        <f t="shared" si="3"/>
        <v>USB.38</v>
      </c>
      <c r="K247" s="10">
        <f>IF(D247="",17,IF(C247="",17,_xlfn.XLOOKUP(D247,refs!$A$2:$A$21,refs!$B$2:$B$21,"")))</f>
        <v>17</v>
      </c>
      <c r="L247" t="str">
        <f>"PASSTHROUGH|"&amp;A247&amp;"^^/ s /io.in."&amp;B247&amp;".mute="&amp;E247&amp;",mode="&amp;F247&amp;",icon="&amp;G247&amp;",pol="&amp;H247&amp;",vph="&amp;I247&amp;",name="&amp;J247&amp;",col="&amp;K247&amp;","</f>
        <v>PASSTHROUGH|WING1^^/ s /io.in.USB.38.mute=0,mode=M,icon=0,pol=0,vph=,name=USB.38,col=17,</v>
      </c>
    </row>
    <row r="248" spans="1:12" ht="15.75" x14ac:dyDescent="0.25">
      <c r="A248" s="1" t="s">
        <v>66</v>
      </c>
      <c r="B248" s="6" t="s">
        <v>288</v>
      </c>
      <c r="C248" s="12"/>
      <c r="D248" s="4"/>
      <c r="E248" s="4">
        <v>0</v>
      </c>
      <c r="F248" s="4" t="s">
        <v>71</v>
      </c>
      <c r="G248" s="4">
        <v>0</v>
      </c>
      <c r="H248" s="4">
        <v>0</v>
      </c>
      <c r="I248" s="15"/>
      <c r="J248" s="9" t="str">
        <f t="shared" si="3"/>
        <v>USB.39</v>
      </c>
      <c r="K248" s="10">
        <f>IF(D248="",17,IF(C248="",17,_xlfn.XLOOKUP(D248,refs!$A$2:$A$21,refs!$B$2:$B$21,"")))</f>
        <v>17</v>
      </c>
      <c r="L248" t="str">
        <f>"PASSTHROUGH|"&amp;A248&amp;"^^/ s /io.in."&amp;B248&amp;".mute="&amp;E248&amp;",mode="&amp;F248&amp;",icon="&amp;G248&amp;",pol="&amp;H248&amp;",vph="&amp;I248&amp;",name="&amp;J248&amp;",col="&amp;K248&amp;","</f>
        <v>PASSTHROUGH|WING1^^/ s /io.in.USB.39.mute=0,mode=M,icon=0,pol=0,vph=,name=USB.39,col=17,</v>
      </c>
    </row>
    <row r="249" spans="1:12" ht="15.75" x14ac:dyDescent="0.25">
      <c r="A249" s="1" t="s">
        <v>66</v>
      </c>
      <c r="B249" s="6" t="s">
        <v>289</v>
      </c>
      <c r="C249" s="12"/>
      <c r="D249" s="4"/>
      <c r="E249" s="4">
        <v>0</v>
      </c>
      <c r="F249" s="4" t="s">
        <v>71</v>
      </c>
      <c r="G249" s="4">
        <v>0</v>
      </c>
      <c r="H249" s="4">
        <v>0</v>
      </c>
      <c r="I249" s="15"/>
      <c r="J249" s="9" t="str">
        <f t="shared" si="3"/>
        <v>USB.40</v>
      </c>
      <c r="K249" s="10">
        <f>IF(D249="",17,IF(C249="",17,_xlfn.XLOOKUP(D249,refs!$A$2:$A$21,refs!$B$2:$B$21,"")))</f>
        <v>17</v>
      </c>
      <c r="L249" t="str">
        <f>"PASSTHROUGH|"&amp;A249&amp;"^^/ s /io.in."&amp;B249&amp;".mute="&amp;E249&amp;",mode="&amp;F249&amp;",icon="&amp;G249&amp;",pol="&amp;H249&amp;",vph="&amp;I249&amp;",name="&amp;J249&amp;",col="&amp;K249&amp;","</f>
        <v>PASSTHROUGH|WING1^^/ s /io.in.USB.40.mute=0,mode=M,icon=0,pol=0,vph=,name=USB.40,col=17,</v>
      </c>
    </row>
    <row r="250" spans="1:12" ht="15.75" x14ac:dyDescent="0.25">
      <c r="A250" s="1" t="s">
        <v>66</v>
      </c>
      <c r="B250" s="6" t="s">
        <v>290</v>
      </c>
      <c r="C250" s="12"/>
      <c r="D250" s="4"/>
      <c r="E250" s="4">
        <v>0</v>
      </c>
      <c r="F250" s="4" t="s">
        <v>71</v>
      </c>
      <c r="G250" s="4">
        <v>0</v>
      </c>
      <c r="H250" s="4">
        <v>0</v>
      </c>
      <c r="I250" s="15"/>
      <c r="J250" s="9" t="str">
        <f t="shared" si="3"/>
        <v>USB.41</v>
      </c>
      <c r="K250" s="10">
        <f>IF(D250="",17,IF(C250="",17,_xlfn.XLOOKUP(D250,refs!$A$2:$A$21,refs!$B$2:$B$21,"")))</f>
        <v>17</v>
      </c>
      <c r="L250" t="str">
        <f>"PASSTHROUGH|"&amp;A250&amp;"^^/ s /io.in."&amp;B250&amp;".mute="&amp;E250&amp;",mode="&amp;F250&amp;",icon="&amp;G250&amp;",pol="&amp;H250&amp;",vph="&amp;I250&amp;",name="&amp;J250&amp;",col="&amp;K250&amp;","</f>
        <v>PASSTHROUGH|WING1^^/ s /io.in.USB.41.mute=0,mode=M,icon=0,pol=0,vph=,name=USB.41,col=17,</v>
      </c>
    </row>
    <row r="251" spans="1:12" ht="15.75" x14ac:dyDescent="0.25">
      <c r="A251" s="1" t="s">
        <v>66</v>
      </c>
      <c r="B251" s="6" t="s">
        <v>291</v>
      </c>
      <c r="C251" s="12"/>
      <c r="D251" s="4"/>
      <c r="E251" s="4">
        <v>0</v>
      </c>
      <c r="F251" s="4" t="s">
        <v>71</v>
      </c>
      <c r="G251" s="4">
        <v>0</v>
      </c>
      <c r="H251" s="4">
        <v>0</v>
      </c>
      <c r="I251" s="15"/>
      <c r="J251" s="9" t="str">
        <f t="shared" si="3"/>
        <v>USB.42</v>
      </c>
      <c r="K251" s="10">
        <f>IF(D251="",17,IF(C251="",17,_xlfn.XLOOKUP(D251,refs!$A$2:$A$21,refs!$B$2:$B$21,"")))</f>
        <v>17</v>
      </c>
      <c r="L251" t="str">
        <f>"PASSTHROUGH|"&amp;A251&amp;"^^/ s /io.in."&amp;B251&amp;".mute="&amp;E251&amp;",mode="&amp;F251&amp;",icon="&amp;G251&amp;",pol="&amp;H251&amp;",vph="&amp;I251&amp;",name="&amp;J251&amp;",col="&amp;K251&amp;","</f>
        <v>PASSTHROUGH|WING1^^/ s /io.in.USB.42.mute=0,mode=M,icon=0,pol=0,vph=,name=USB.42,col=17,</v>
      </c>
    </row>
    <row r="252" spans="1:12" ht="15.75" x14ac:dyDescent="0.25">
      <c r="A252" s="1" t="s">
        <v>66</v>
      </c>
      <c r="B252" s="6" t="s">
        <v>292</v>
      </c>
      <c r="C252" s="12"/>
      <c r="D252" s="4"/>
      <c r="E252" s="4">
        <v>0</v>
      </c>
      <c r="F252" s="4" t="s">
        <v>71</v>
      </c>
      <c r="G252" s="4">
        <v>0</v>
      </c>
      <c r="H252" s="4">
        <v>0</v>
      </c>
      <c r="I252" s="15"/>
      <c r="J252" s="9" t="str">
        <f t="shared" si="3"/>
        <v>USB.43</v>
      </c>
      <c r="K252" s="10">
        <f>IF(D252="",17,IF(C252="",17,_xlfn.XLOOKUP(D252,refs!$A$2:$A$21,refs!$B$2:$B$21,"")))</f>
        <v>17</v>
      </c>
      <c r="L252" t="str">
        <f>"PASSTHROUGH|"&amp;A252&amp;"^^/ s /io.in."&amp;B252&amp;".mute="&amp;E252&amp;",mode="&amp;F252&amp;",icon="&amp;G252&amp;",pol="&amp;H252&amp;",vph="&amp;I252&amp;",name="&amp;J252&amp;",col="&amp;K252&amp;","</f>
        <v>PASSTHROUGH|WING1^^/ s /io.in.USB.43.mute=0,mode=M,icon=0,pol=0,vph=,name=USB.43,col=17,</v>
      </c>
    </row>
    <row r="253" spans="1:12" ht="15.75" x14ac:dyDescent="0.25">
      <c r="A253" s="1" t="s">
        <v>66</v>
      </c>
      <c r="B253" s="6" t="s">
        <v>293</v>
      </c>
      <c r="C253" s="12"/>
      <c r="D253" s="4"/>
      <c r="E253" s="4">
        <v>0</v>
      </c>
      <c r="F253" s="4" t="s">
        <v>71</v>
      </c>
      <c r="G253" s="4">
        <v>0</v>
      </c>
      <c r="H253" s="4">
        <v>0</v>
      </c>
      <c r="I253" s="15"/>
      <c r="J253" s="9" t="str">
        <f t="shared" si="3"/>
        <v>USB.44</v>
      </c>
      <c r="K253" s="10">
        <f>IF(D253="",17,IF(C253="",17,_xlfn.XLOOKUP(D253,refs!$A$2:$A$21,refs!$B$2:$B$21,"")))</f>
        <v>17</v>
      </c>
      <c r="L253" t="str">
        <f>"PASSTHROUGH|"&amp;A253&amp;"^^/ s /io.in."&amp;B253&amp;".mute="&amp;E253&amp;",mode="&amp;F253&amp;",icon="&amp;G253&amp;",pol="&amp;H253&amp;",vph="&amp;I253&amp;",name="&amp;J253&amp;",col="&amp;K253&amp;","</f>
        <v>PASSTHROUGH|WING1^^/ s /io.in.USB.44.mute=0,mode=M,icon=0,pol=0,vph=,name=USB.44,col=17,</v>
      </c>
    </row>
    <row r="254" spans="1:12" ht="15.75" x14ac:dyDescent="0.25">
      <c r="A254" s="1" t="s">
        <v>66</v>
      </c>
      <c r="B254" s="6" t="s">
        <v>294</v>
      </c>
      <c r="C254" s="12"/>
      <c r="D254" s="4"/>
      <c r="E254" s="4">
        <v>0</v>
      </c>
      <c r="F254" s="4" t="s">
        <v>71</v>
      </c>
      <c r="G254" s="4">
        <v>0</v>
      </c>
      <c r="H254" s="4">
        <v>0</v>
      </c>
      <c r="I254" s="15"/>
      <c r="J254" s="9" t="str">
        <f t="shared" si="3"/>
        <v>USB.45</v>
      </c>
      <c r="K254" s="10">
        <f>IF(D254="",17,IF(C254="",17,_xlfn.XLOOKUP(D254,refs!$A$2:$A$21,refs!$B$2:$B$21,"")))</f>
        <v>17</v>
      </c>
      <c r="L254" t="str">
        <f>"PASSTHROUGH|"&amp;A254&amp;"^^/ s /io.in."&amp;B254&amp;".mute="&amp;E254&amp;",mode="&amp;F254&amp;",icon="&amp;G254&amp;",pol="&amp;H254&amp;",vph="&amp;I254&amp;",name="&amp;J254&amp;",col="&amp;K254&amp;","</f>
        <v>PASSTHROUGH|WING1^^/ s /io.in.USB.45.mute=0,mode=M,icon=0,pol=0,vph=,name=USB.45,col=17,</v>
      </c>
    </row>
    <row r="255" spans="1:12" ht="15.75" x14ac:dyDescent="0.25">
      <c r="A255" s="1" t="s">
        <v>66</v>
      </c>
      <c r="B255" s="6" t="s">
        <v>295</v>
      </c>
      <c r="C255" s="12"/>
      <c r="D255" s="4"/>
      <c r="E255" s="4">
        <v>0</v>
      </c>
      <c r="F255" s="4" t="s">
        <v>71</v>
      </c>
      <c r="G255" s="4">
        <v>0</v>
      </c>
      <c r="H255" s="4">
        <v>0</v>
      </c>
      <c r="I255" s="15"/>
      <c r="J255" s="9" t="str">
        <f t="shared" si="3"/>
        <v>USB.46</v>
      </c>
      <c r="K255" s="10">
        <f>IF(D255="",17,IF(C255="",17,_xlfn.XLOOKUP(D255,refs!$A$2:$A$21,refs!$B$2:$B$21,"")))</f>
        <v>17</v>
      </c>
      <c r="L255" t="str">
        <f>"PASSTHROUGH|"&amp;A255&amp;"^^/ s /io.in."&amp;B255&amp;".mute="&amp;E255&amp;",mode="&amp;F255&amp;",icon="&amp;G255&amp;",pol="&amp;H255&amp;",vph="&amp;I255&amp;",name="&amp;J255&amp;",col="&amp;K255&amp;","</f>
        <v>PASSTHROUGH|WING1^^/ s /io.in.USB.46.mute=0,mode=M,icon=0,pol=0,vph=,name=USB.46,col=17,</v>
      </c>
    </row>
    <row r="256" spans="1:12" ht="15.75" x14ac:dyDescent="0.25">
      <c r="A256" s="1" t="s">
        <v>66</v>
      </c>
      <c r="B256" s="6" t="s">
        <v>296</v>
      </c>
      <c r="C256" s="12"/>
      <c r="D256" s="4"/>
      <c r="E256" s="4">
        <v>0</v>
      </c>
      <c r="F256" s="4" t="s">
        <v>71</v>
      </c>
      <c r="G256" s="4">
        <v>0</v>
      </c>
      <c r="H256" s="4">
        <v>0</v>
      </c>
      <c r="I256" s="15"/>
      <c r="J256" s="9" t="str">
        <f t="shared" si="3"/>
        <v>USB.47</v>
      </c>
      <c r="K256" s="10">
        <f>IF(D256="",17,IF(C256="",17,_xlfn.XLOOKUP(D256,refs!$A$2:$A$21,refs!$B$2:$B$21,"")))</f>
        <v>17</v>
      </c>
      <c r="L256" t="str">
        <f>"PASSTHROUGH|"&amp;A256&amp;"^^/ s /io.in."&amp;B256&amp;".mute="&amp;E256&amp;",mode="&amp;F256&amp;",icon="&amp;G256&amp;",pol="&amp;H256&amp;",vph="&amp;I256&amp;",name="&amp;J256&amp;",col="&amp;K256&amp;","</f>
        <v>PASSTHROUGH|WING1^^/ s /io.in.USB.47.mute=0,mode=M,icon=0,pol=0,vph=,name=USB.47,col=17,</v>
      </c>
    </row>
    <row r="257" spans="1:12" ht="15.75" x14ac:dyDescent="0.25">
      <c r="A257" s="1" t="s">
        <v>66</v>
      </c>
      <c r="B257" s="6" t="s">
        <v>297</v>
      </c>
      <c r="C257" s="12"/>
      <c r="D257" s="4"/>
      <c r="E257" s="4">
        <v>0</v>
      </c>
      <c r="F257" s="4" t="s">
        <v>71</v>
      </c>
      <c r="G257" s="4">
        <v>0</v>
      </c>
      <c r="H257" s="4">
        <v>0</v>
      </c>
      <c r="I257" s="15"/>
      <c r="J257" s="9" t="str">
        <f t="shared" si="3"/>
        <v>USB.48</v>
      </c>
      <c r="K257" s="10">
        <f>IF(D257="",17,IF(C257="",17,_xlfn.XLOOKUP(D257,refs!$A$2:$A$21,refs!$B$2:$B$21,"")))</f>
        <v>17</v>
      </c>
      <c r="L257" t="str">
        <f>"PASSTHROUGH|"&amp;A257&amp;"^^/ s /io.in."&amp;B257&amp;".mute="&amp;E257&amp;",mode="&amp;F257&amp;",icon="&amp;G257&amp;",pol="&amp;H257&amp;",vph="&amp;I257&amp;",name="&amp;J257&amp;",col="&amp;K257&amp;","</f>
        <v>PASSTHROUGH|WING1^^/ s /io.in.USB.48.mute=0,mode=M,icon=0,pol=0,vph=,name=USB.48,col=17,</v>
      </c>
    </row>
    <row r="258" spans="1:12" ht="15.75" x14ac:dyDescent="0.25">
      <c r="A258" s="1" t="s">
        <v>66</v>
      </c>
      <c r="B258" s="6" t="s">
        <v>298</v>
      </c>
      <c r="C258" s="12"/>
      <c r="D258" s="4"/>
      <c r="E258" s="4">
        <v>0</v>
      </c>
      <c r="F258" s="4" t="s">
        <v>71</v>
      </c>
      <c r="G258" s="4">
        <v>0</v>
      </c>
      <c r="H258" s="4">
        <v>0</v>
      </c>
      <c r="I258" s="15"/>
      <c r="J258" s="9" t="str">
        <f t="shared" ref="J258:J321" si="4">IF(C258="",SUBSTITUTE(B258, "/", "."),LEFT(C258,16))</f>
        <v>CRD.1</v>
      </c>
      <c r="K258" s="10">
        <f>IF(D258="",17,IF(C258="",17,_xlfn.XLOOKUP(D258,refs!$A$2:$A$21,refs!$B$2:$B$21,"")))</f>
        <v>17</v>
      </c>
      <c r="L258" t="str">
        <f>"PASSTHROUGH|"&amp;A258&amp;"^^/ s /io.in."&amp;B258&amp;".mute="&amp;E258&amp;",mode="&amp;F258&amp;",icon="&amp;G258&amp;",pol="&amp;H258&amp;",vph="&amp;I258&amp;",name="&amp;J258&amp;",col="&amp;K258&amp;","</f>
        <v>PASSTHROUGH|WING1^^/ s /io.in.CRD.1.mute=0,mode=M,icon=0,pol=0,vph=,name=CRD.1,col=17,</v>
      </c>
    </row>
    <row r="259" spans="1:12" ht="15.75" x14ac:dyDescent="0.25">
      <c r="A259" s="1" t="s">
        <v>66</v>
      </c>
      <c r="B259" s="6" t="s">
        <v>299</v>
      </c>
      <c r="C259" s="12"/>
      <c r="D259" s="4"/>
      <c r="E259" s="4">
        <v>0</v>
      </c>
      <c r="F259" s="4" t="s">
        <v>71</v>
      </c>
      <c r="G259" s="4">
        <v>0</v>
      </c>
      <c r="H259" s="4">
        <v>0</v>
      </c>
      <c r="I259" s="15"/>
      <c r="J259" s="9" t="str">
        <f t="shared" si="4"/>
        <v>CRD.2</v>
      </c>
      <c r="K259" s="10">
        <f>IF(D259="",17,IF(C259="",17,_xlfn.XLOOKUP(D259,refs!$A$2:$A$21,refs!$B$2:$B$21,"")))</f>
        <v>17</v>
      </c>
      <c r="L259" t="str">
        <f>"PASSTHROUGH|"&amp;A259&amp;"^^/ s /io.in."&amp;B259&amp;".mute="&amp;E259&amp;",mode="&amp;F259&amp;",icon="&amp;G259&amp;",pol="&amp;H259&amp;",vph="&amp;I259&amp;",name="&amp;J259&amp;",col="&amp;K259&amp;","</f>
        <v>PASSTHROUGH|WING1^^/ s /io.in.CRD.2.mute=0,mode=M,icon=0,pol=0,vph=,name=CRD.2,col=17,</v>
      </c>
    </row>
    <row r="260" spans="1:12" ht="15.75" x14ac:dyDescent="0.25">
      <c r="A260" s="1" t="s">
        <v>66</v>
      </c>
      <c r="B260" s="6" t="s">
        <v>300</v>
      </c>
      <c r="C260" s="12"/>
      <c r="D260" s="4"/>
      <c r="E260" s="4">
        <v>0</v>
      </c>
      <c r="F260" s="4" t="s">
        <v>71</v>
      </c>
      <c r="G260" s="4">
        <v>0</v>
      </c>
      <c r="H260" s="4">
        <v>0</v>
      </c>
      <c r="I260" s="15"/>
      <c r="J260" s="9" t="str">
        <f t="shared" si="4"/>
        <v>CRD.3</v>
      </c>
      <c r="K260" s="10">
        <f>IF(D260="",17,IF(C260="",17,_xlfn.XLOOKUP(D260,refs!$A$2:$A$21,refs!$B$2:$B$21,"")))</f>
        <v>17</v>
      </c>
      <c r="L260" t="str">
        <f>"PASSTHROUGH|"&amp;A260&amp;"^^/ s /io.in."&amp;B260&amp;".mute="&amp;E260&amp;",mode="&amp;F260&amp;",icon="&amp;G260&amp;",pol="&amp;H260&amp;",vph="&amp;I260&amp;",name="&amp;J260&amp;",col="&amp;K260&amp;","</f>
        <v>PASSTHROUGH|WING1^^/ s /io.in.CRD.3.mute=0,mode=M,icon=0,pol=0,vph=,name=CRD.3,col=17,</v>
      </c>
    </row>
    <row r="261" spans="1:12" ht="15.75" x14ac:dyDescent="0.25">
      <c r="A261" s="1" t="s">
        <v>66</v>
      </c>
      <c r="B261" s="6" t="s">
        <v>301</v>
      </c>
      <c r="C261" s="12"/>
      <c r="D261" s="4"/>
      <c r="E261" s="4">
        <v>0</v>
      </c>
      <c r="F261" s="4" t="s">
        <v>71</v>
      </c>
      <c r="G261" s="4">
        <v>0</v>
      </c>
      <c r="H261" s="4">
        <v>0</v>
      </c>
      <c r="I261" s="15"/>
      <c r="J261" s="9" t="str">
        <f t="shared" si="4"/>
        <v>CRD.4</v>
      </c>
      <c r="K261" s="10">
        <f>IF(D261="",17,IF(C261="",17,_xlfn.XLOOKUP(D261,refs!$A$2:$A$21,refs!$B$2:$B$21,"")))</f>
        <v>17</v>
      </c>
      <c r="L261" t="str">
        <f>"PASSTHROUGH|"&amp;A261&amp;"^^/ s /io.in."&amp;B261&amp;".mute="&amp;E261&amp;",mode="&amp;F261&amp;",icon="&amp;G261&amp;",pol="&amp;H261&amp;",vph="&amp;I261&amp;",name="&amp;J261&amp;",col="&amp;K261&amp;","</f>
        <v>PASSTHROUGH|WING1^^/ s /io.in.CRD.4.mute=0,mode=M,icon=0,pol=0,vph=,name=CRD.4,col=17,</v>
      </c>
    </row>
    <row r="262" spans="1:12" ht="15.75" x14ac:dyDescent="0.25">
      <c r="A262" s="1" t="s">
        <v>66</v>
      </c>
      <c r="B262" s="6" t="s">
        <v>302</v>
      </c>
      <c r="C262" s="12"/>
      <c r="D262" s="4"/>
      <c r="E262" s="4">
        <v>0</v>
      </c>
      <c r="F262" s="4" t="s">
        <v>71</v>
      </c>
      <c r="G262" s="4">
        <v>0</v>
      </c>
      <c r="H262" s="4">
        <v>0</v>
      </c>
      <c r="I262" s="15"/>
      <c r="J262" s="9" t="str">
        <f t="shared" si="4"/>
        <v>CRD.5</v>
      </c>
      <c r="K262" s="10">
        <f>IF(D262="",17,IF(C262="",17,_xlfn.XLOOKUP(D262,refs!$A$2:$A$21,refs!$B$2:$B$21,"")))</f>
        <v>17</v>
      </c>
      <c r="L262" t="str">
        <f>"PASSTHROUGH|"&amp;A262&amp;"^^/ s /io.in."&amp;B262&amp;".mute="&amp;E262&amp;",mode="&amp;F262&amp;",icon="&amp;G262&amp;",pol="&amp;H262&amp;",vph="&amp;I262&amp;",name="&amp;J262&amp;",col="&amp;K262&amp;","</f>
        <v>PASSTHROUGH|WING1^^/ s /io.in.CRD.5.mute=0,mode=M,icon=0,pol=0,vph=,name=CRD.5,col=17,</v>
      </c>
    </row>
    <row r="263" spans="1:12" ht="15.75" x14ac:dyDescent="0.25">
      <c r="A263" s="1" t="s">
        <v>66</v>
      </c>
      <c r="B263" s="6" t="s">
        <v>303</v>
      </c>
      <c r="C263" s="12"/>
      <c r="D263" s="4"/>
      <c r="E263" s="4">
        <v>0</v>
      </c>
      <c r="F263" s="4" t="s">
        <v>71</v>
      </c>
      <c r="G263" s="4">
        <v>0</v>
      </c>
      <c r="H263" s="4">
        <v>0</v>
      </c>
      <c r="I263" s="15"/>
      <c r="J263" s="9" t="str">
        <f t="shared" si="4"/>
        <v>CRD.6</v>
      </c>
      <c r="K263" s="10">
        <f>IF(D263="",17,IF(C263="",17,_xlfn.XLOOKUP(D263,refs!$A$2:$A$21,refs!$B$2:$B$21,"")))</f>
        <v>17</v>
      </c>
      <c r="L263" t="str">
        <f>"PASSTHROUGH|"&amp;A263&amp;"^^/ s /io.in."&amp;B263&amp;".mute="&amp;E263&amp;",mode="&amp;F263&amp;",icon="&amp;G263&amp;",pol="&amp;H263&amp;",vph="&amp;I263&amp;",name="&amp;J263&amp;",col="&amp;K263&amp;","</f>
        <v>PASSTHROUGH|WING1^^/ s /io.in.CRD.6.mute=0,mode=M,icon=0,pol=0,vph=,name=CRD.6,col=17,</v>
      </c>
    </row>
    <row r="264" spans="1:12" ht="15.75" x14ac:dyDescent="0.25">
      <c r="A264" s="1" t="s">
        <v>66</v>
      </c>
      <c r="B264" s="6" t="s">
        <v>304</v>
      </c>
      <c r="C264" s="12"/>
      <c r="D264" s="4"/>
      <c r="E264" s="4">
        <v>0</v>
      </c>
      <c r="F264" s="4" t="s">
        <v>71</v>
      </c>
      <c r="G264" s="4">
        <v>0</v>
      </c>
      <c r="H264" s="4">
        <v>0</v>
      </c>
      <c r="I264" s="15"/>
      <c r="J264" s="9" t="str">
        <f t="shared" si="4"/>
        <v>CRD.7</v>
      </c>
      <c r="K264" s="10">
        <f>IF(D264="",17,IF(C264="",17,_xlfn.XLOOKUP(D264,refs!$A$2:$A$21,refs!$B$2:$B$21,"")))</f>
        <v>17</v>
      </c>
      <c r="L264" t="str">
        <f>"PASSTHROUGH|"&amp;A264&amp;"^^/ s /io.in."&amp;B264&amp;".mute="&amp;E264&amp;",mode="&amp;F264&amp;",icon="&amp;G264&amp;",pol="&amp;H264&amp;",vph="&amp;I264&amp;",name="&amp;J264&amp;",col="&amp;K264&amp;","</f>
        <v>PASSTHROUGH|WING1^^/ s /io.in.CRD.7.mute=0,mode=M,icon=0,pol=0,vph=,name=CRD.7,col=17,</v>
      </c>
    </row>
    <row r="265" spans="1:12" ht="15.75" x14ac:dyDescent="0.25">
      <c r="A265" s="1" t="s">
        <v>66</v>
      </c>
      <c r="B265" s="6" t="s">
        <v>305</v>
      </c>
      <c r="C265" s="12"/>
      <c r="D265" s="4"/>
      <c r="E265" s="4">
        <v>0</v>
      </c>
      <c r="F265" s="4" t="s">
        <v>71</v>
      </c>
      <c r="G265" s="4">
        <v>0</v>
      </c>
      <c r="H265" s="4">
        <v>0</v>
      </c>
      <c r="I265" s="15"/>
      <c r="J265" s="9" t="str">
        <f t="shared" si="4"/>
        <v>CRD.8</v>
      </c>
      <c r="K265" s="10">
        <f>IF(D265="",17,IF(C265="",17,_xlfn.XLOOKUP(D265,refs!$A$2:$A$21,refs!$B$2:$B$21,"")))</f>
        <v>17</v>
      </c>
      <c r="L265" t="str">
        <f>"PASSTHROUGH|"&amp;A265&amp;"^^/ s /io.in."&amp;B265&amp;".mute="&amp;E265&amp;",mode="&amp;F265&amp;",icon="&amp;G265&amp;",pol="&amp;H265&amp;",vph="&amp;I265&amp;",name="&amp;J265&amp;",col="&amp;K265&amp;","</f>
        <v>PASSTHROUGH|WING1^^/ s /io.in.CRD.8.mute=0,mode=M,icon=0,pol=0,vph=,name=CRD.8,col=17,</v>
      </c>
    </row>
    <row r="266" spans="1:12" ht="15.75" x14ac:dyDescent="0.25">
      <c r="A266" s="1" t="s">
        <v>66</v>
      </c>
      <c r="B266" s="6" t="s">
        <v>306</v>
      </c>
      <c r="C266" s="12"/>
      <c r="D266" s="4"/>
      <c r="E266" s="4">
        <v>0</v>
      </c>
      <c r="F266" s="4" t="s">
        <v>71</v>
      </c>
      <c r="G266" s="4">
        <v>0</v>
      </c>
      <c r="H266" s="4">
        <v>0</v>
      </c>
      <c r="I266" s="15"/>
      <c r="J266" s="9" t="str">
        <f t="shared" si="4"/>
        <v>CRD.9</v>
      </c>
      <c r="K266" s="10">
        <f>IF(D266="",17,IF(C266="",17,_xlfn.XLOOKUP(D266,refs!$A$2:$A$21,refs!$B$2:$B$21,"")))</f>
        <v>17</v>
      </c>
      <c r="L266" t="str">
        <f>"PASSTHROUGH|"&amp;A266&amp;"^^/ s /io.in."&amp;B266&amp;".mute="&amp;E266&amp;",mode="&amp;F266&amp;",icon="&amp;G266&amp;",pol="&amp;H266&amp;",vph="&amp;I266&amp;",name="&amp;J266&amp;",col="&amp;K266&amp;","</f>
        <v>PASSTHROUGH|WING1^^/ s /io.in.CRD.9.mute=0,mode=M,icon=0,pol=0,vph=,name=CRD.9,col=17,</v>
      </c>
    </row>
    <row r="267" spans="1:12" ht="15.75" x14ac:dyDescent="0.25">
      <c r="A267" s="1" t="s">
        <v>66</v>
      </c>
      <c r="B267" s="6" t="s">
        <v>307</v>
      </c>
      <c r="C267" s="12"/>
      <c r="D267" s="4"/>
      <c r="E267" s="4">
        <v>0</v>
      </c>
      <c r="F267" s="4" t="s">
        <v>71</v>
      </c>
      <c r="G267" s="4">
        <v>0</v>
      </c>
      <c r="H267" s="4">
        <v>0</v>
      </c>
      <c r="I267" s="15"/>
      <c r="J267" s="9" t="str">
        <f t="shared" si="4"/>
        <v>CRD.10</v>
      </c>
      <c r="K267" s="10">
        <f>IF(D267="",17,IF(C267="",17,_xlfn.XLOOKUP(D267,refs!$A$2:$A$21,refs!$B$2:$B$21,"")))</f>
        <v>17</v>
      </c>
      <c r="L267" t="str">
        <f>"PASSTHROUGH|"&amp;A267&amp;"^^/ s /io.in."&amp;B267&amp;".mute="&amp;E267&amp;",mode="&amp;F267&amp;",icon="&amp;G267&amp;",pol="&amp;H267&amp;",vph="&amp;I267&amp;",name="&amp;J267&amp;",col="&amp;K267&amp;","</f>
        <v>PASSTHROUGH|WING1^^/ s /io.in.CRD.10.mute=0,mode=M,icon=0,pol=0,vph=,name=CRD.10,col=17,</v>
      </c>
    </row>
    <row r="268" spans="1:12" ht="15.75" x14ac:dyDescent="0.25">
      <c r="A268" s="1" t="s">
        <v>66</v>
      </c>
      <c r="B268" s="6" t="s">
        <v>308</v>
      </c>
      <c r="C268" s="12"/>
      <c r="D268" s="4"/>
      <c r="E268" s="4">
        <v>0</v>
      </c>
      <c r="F268" s="4" t="s">
        <v>71</v>
      </c>
      <c r="G268" s="4">
        <v>0</v>
      </c>
      <c r="H268" s="4">
        <v>0</v>
      </c>
      <c r="I268" s="15"/>
      <c r="J268" s="9" t="str">
        <f t="shared" si="4"/>
        <v>CRD.11</v>
      </c>
      <c r="K268" s="10">
        <f>IF(D268="",17,IF(C268="",17,_xlfn.XLOOKUP(D268,refs!$A$2:$A$21,refs!$B$2:$B$21,"")))</f>
        <v>17</v>
      </c>
      <c r="L268" t="str">
        <f>"PASSTHROUGH|"&amp;A268&amp;"^^/ s /io.in."&amp;B268&amp;".mute="&amp;E268&amp;",mode="&amp;F268&amp;",icon="&amp;G268&amp;",pol="&amp;H268&amp;",vph="&amp;I268&amp;",name="&amp;J268&amp;",col="&amp;K268&amp;","</f>
        <v>PASSTHROUGH|WING1^^/ s /io.in.CRD.11.mute=0,mode=M,icon=0,pol=0,vph=,name=CRD.11,col=17,</v>
      </c>
    </row>
    <row r="269" spans="1:12" ht="15.75" x14ac:dyDescent="0.25">
      <c r="A269" s="1" t="s">
        <v>66</v>
      </c>
      <c r="B269" s="6" t="s">
        <v>309</v>
      </c>
      <c r="C269" s="12"/>
      <c r="D269" s="4"/>
      <c r="E269" s="4">
        <v>0</v>
      </c>
      <c r="F269" s="4" t="s">
        <v>71</v>
      </c>
      <c r="G269" s="4">
        <v>0</v>
      </c>
      <c r="H269" s="4">
        <v>0</v>
      </c>
      <c r="I269" s="15"/>
      <c r="J269" s="9" t="str">
        <f t="shared" si="4"/>
        <v>CRD.12</v>
      </c>
      <c r="K269" s="10">
        <f>IF(D269="",17,IF(C269="",17,_xlfn.XLOOKUP(D269,refs!$A$2:$A$21,refs!$B$2:$B$21,"")))</f>
        <v>17</v>
      </c>
      <c r="L269" t="str">
        <f>"PASSTHROUGH|"&amp;A269&amp;"^^/ s /io.in."&amp;B269&amp;".mute="&amp;E269&amp;",mode="&amp;F269&amp;",icon="&amp;G269&amp;",pol="&amp;H269&amp;",vph="&amp;I269&amp;",name="&amp;J269&amp;",col="&amp;K269&amp;","</f>
        <v>PASSTHROUGH|WING1^^/ s /io.in.CRD.12.mute=0,mode=M,icon=0,pol=0,vph=,name=CRD.12,col=17,</v>
      </c>
    </row>
    <row r="270" spans="1:12" ht="15.75" x14ac:dyDescent="0.25">
      <c r="A270" s="1" t="s">
        <v>66</v>
      </c>
      <c r="B270" s="6" t="s">
        <v>310</v>
      </c>
      <c r="C270" s="12"/>
      <c r="D270" s="4"/>
      <c r="E270" s="4">
        <v>0</v>
      </c>
      <c r="F270" s="4" t="s">
        <v>71</v>
      </c>
      <c r="G270" s="4">
        <v>0</v>
      </c>
      <c r="H270" s="4">
        <v>0</v>
      </c>
      <c r="I270" s="15"/>
      <c r="J270" s="9" t="str">
        <f t="shared" si="4"/>
        <v>CRD.13</v>
      </c>
      <c r="K270" s="10">
        <f>IF(D270="",17,IF(C270="",17,_xlfn.XLOOKUP(D270,refs!$A$2:$A$21,refs!$B$2:$B$21,"")))</f>
        <v>17</v>
      </c>
      <c r="L270" t="str">
        <f>"PASSTHROUGH|"&amp;A270&amp;"^^/ s /io.in."&amp;B270&amp;".mute="&amp;E270&amp;",mode="&amp;F270&amp;",icon="&amp;G270&amp;",pol="&amp;H270&amp;",vph="&amp;I270&amp;",name="&amp;J270&amp;",col="&amp;K270&amp;","</f>
        <v>PASSTHROUGH|WING1^^/ s /io.in.CRD.13.mute=0,mode=M,icon=0,pol=0,vph=,name=CRD.13,col=17,</v>
      </c>
    </row>
    <row r="271" spans="1:12" ht="15.75" x14ac:dyDescent="0.25">
      <c r="A271" s="1" t="s">
        <v>66</v>
      </c>
      <c r="B271" s="6" t="s">
        <v>311</v>
      </c>
      <c r="C271" s="12"/>
      <c r="D271" s="4"/>
      <c r="E271" s="4">
        <v>0</v>
      </c>
      <c r="F271" s="4" t="s">
        <v>71</v>
      </c>
      <c r="G271" s="4">
        <v>0</v>
      </c>
      <c r="H271" s="4">
        <v>0</v>
      </c>
      <c r="I271" s="15"/>
      <c r="J271" s="9" t="str">
        <f t="shared" si="4"/>
        <v>CRD.14</v>
      </c>
      <c r="K271" s="10">
        <f>IF(D271="",17,IF(C271="",17,_xlfn.XLOOKUP(D271,refs!$A$2:$A$21,refs!$B$2:$B$21,"")))</f>
        <v>17</v>
      </c>
      <c r="L271" t="str">
        <f>"PASSTHROUGH|"&amp;A271&amp;"^^/ s /io.in."&amp;B271&amp;".mute="&amp;E271&amp;",mode="&amp;F271&amp;",icon="&amp;G271&amp;",pol="&amp;H271&amp;",vph="&amp;I271&amp;",name="&amp;J271&amp;",col="&amp;K271&amp;","</f>
        <v>PASSTHROUGH|WING1^^/ s /io.in.CRD.14.mute=0,mode=M,icon=0,pol=0,vph=,name=CRD.14,col=17,</v>
      </c>
    </row>
    <row r="272" spans="1:12" ht="15.75" x14ac:dyDescent="0.25">
      <c r="A272" s="1" t="s">
        <v>66</v>
      </c>
      <c r="B272" s="6" t="s">
        <v>312</v>
      </c>
      <c r="C272" s="12"/>
      <c r="D272" s="4"/>
      <c r="E272" s="4">
        <v>0</v>
      </c>
      <c r="F272" s="4" t="s">
        <v>71</v>
      </c>
      <c r="G272" s="4">
        <v>0</v>
      </c>
      <c r="H272" s="4">
        <v>0</v>
      </c>
      <c r="I272" s="15"/>
      <c r="J272" s="9" t="str">
        <f t="shared" si="4"/>
        <v>CRD.15</v>
      </c>
      <c r="K272" s="10">
        <f>IF(D272="",17,IF(C272="",17,_xlfn.XLOOKUP(D272,refs!$A$2:$A$21,refs!$B$2:$B$21,"")))</f>
        <v>17</v>
      </c>
      <c r="L272" t="str">
        <f>"PASSTHROUGH|"&amp;A272&amp;"^^/ s /io.in."&amp;B272&amp;".mute="&amp;E272&amp;",mode="&amp;F272&amp;",icon="&amp;G272&amp;",pol="&amp;H272&amp;",vph="&amp;I272&amp;",name="&amp;J272&amp;",col="&amp;K272&amp;","</f>
        <v>PASSTHROUGH|WING1^^/ s /io.in.CRD.15.mute=0,mode=M,icon=0,pol=0,vph=,name=CRD.15,col=17,</v>
      </c>
    </row>
    <row r="273" spans="1:12" ht="15.75" x14ac:dyDescent="0.25">
      <c r="A273" s="1" t="s">
        <v>66</v>
      </c>
      <c r="B273" s="6" t="s">
        <v>313</v>
      </c>
      <c r="C273" s="12"/>
      <c r="D273" s="4"/>
      <c r="E273" s="4">
        <v>0</v>
      </c>
      <c r="F273" s="4" t="s">
        <v>71</v>
      </c>
      <c r="G273" s="4">
        <v>0</v>
      </c>
      <c r="H273" s="4">
        <v>0</v>
      </c>
      <c r="I273" s="15"/>
      <c r="J273" s="9" t="str">
        <f t="shared" si="4"/>
        <v>CRD.16</v>
      </c>
      <c r="K273" s="10">
        <f>IF(D273="",17,IF(C273="",17,_xlfn.XLOOKUP(D273,refs!$A$2:$A$21,refs!$B$2:$B$21,"")))</f>
        <v>17</v>
      </c>
      <c r="L273" t="str">
        <f>"PASSTHROUGH|"&amp;A273&amp;"^^/ s /io.in."&amp;B273&amp;".mute="&amp;E273&amp;",mode="&amp;F273&amp;",icon="&amp;G273&amp;",pol="&amp;H273&amp;",vph="&amp;I273&amp;",name="&amp;J273&amp;",col="&amp;K273&amp;","</f>
        <v>PASSTHROUGH|WING1^^/ s /io.in.CRD.16.mute=0,mode=M,icon=0,pol=0,vph=,name=CRD.16,col=17,</v>
      </c>
    </row>
    <row r="274" spans="1:12" ht="15.75" x14ac:dyDescent="0.25">
      <c r="A274" s="1" t="s">
        <v>66</v>
      </c>
      <c r="B274" s="6" t="s">
        <v>314</v>
      </c>
      <c r="C274" s="12"/>
      <c r="D274" s="4"/>
      <c r="E274" s="4">
        <v>0</v>
      </c>
      <c r="F274" s="4" t="s">
        <v>71</v>
      </c>
      <c r="G274" s="4">
        <v>0</v>
      </c>
      <c r="H274" s="4">
        <v>0</v>
      </c>
      <c r="I274" s="15"/>
      <c r="J274" s="9" t="str">
        <f t="shared" si="4"/>
        <v>CRD.17</v>
      </c>
      <c r="K274" s="10">
        <f>IF(D274="",17,IF(C274="",17,_xlfn.XLOOKUP(D274,refs!$A$2:$A$21,refs!$B$2:$B$21,"")))</f>
        <v>17</v>
      </c>
      <c r="L274" t="str">
        <f>"PASSTHROUGH|"&amp;A274&amp;"^^/ s /io.in."&amp;B274&amp;".mute="&amp;E274&amp;",mode="&amp;F274&amp;",icon="&amp;G274&amp;",pol="&amp;H274&amp;",vph="&amp;I274&amp;",name="&amp;J274&amp;",col="&amp;K274&amp;","</f>
        <v>PASSTHROUGH|WING1^^/ s /io.in.CRD.17.mute=0,mode=M,icon=0,pol=0,vph=,name=CRD.17,col=17,</v>
      </c>
    </row>
    <row r="275" spans="1:12" ht="15.75" x14ac:dyDescent="0.25">
      <c r="A275" s="1" t="s">
        <v>66</v>
      </c>
      <c r="B275" s="6" t="s">
        <v>315</v>
      </c>
      <c r="C275" s="12"/>
      <c r="D275" s="4"/>
      <c r="E275" s="4">
        <v>0</v>
      </c>
      <c r="F275" s="4" t="s">
        <v>71</v>
      </c>
      <c r="G275" s="4">
        <v>0</v>
      </c>
      <c r="H275" s="4">
        <v>0</v>
      </c>
      <c r="I275" s="15"/>
      <c r="J275" s="9" t="str">
        <f t="shared" si="4"/>
        <v>CRD.18</v>
      </c>
      <c r="K275" s="10">
        <f>IF(D275="",17,IF(C275="",17,_xlfn.XLOOKUP(D275,refs!$A$2:$A$21,refs!$B$2:$B$21,"")))</f>
        <v>17</v>
      </c>
      <c r="L275" t="str">
        <f>"PASSTHROUGH|"&amp;A275&amp;"^^/ s /io.in."&amp;B275&amp;".mute="&amp;E275&amp;",mode="&amp;F275&amp;",icon="&amp;G275&amp;",pol="&amp;H275&amp;",vph="&amp;I275&amp;",name="&amp;J275&amp;",col="&amp;K275&amp;","</f>
        <v>PASSTHROUGH|WING1^^/ s /io.in.CRD.18.mute=0,mode=M,icon=0,pol=0,vph=,name=CRD.18,col=17,</v>
      </c>
    </row>
    <row r="276" spans="1:12" ht="15.75" x14ac:dyDescent="0.25">
      <c r="A276" s="1" t="s">
        <v>66</v>
      </c>
      <c r="B276" s="6" t="s">
        <v>316</v>
      </c>
      <c r="C276" s="12"/>
      <c r="D276" s="4"/>
      <c r="E276" s="4">
        <v>0</v>
      </c>
      <c r="F276" s="4" t="s">
        <v>71</v>
      </c>
      <c r="G276" s="4">
        <v>0</v>
      </c>
      <c r="H276" s="4">
        <v>0</v>
      </c>
      <c r="I276" s="15"/>
      <c r="J276" s="9" t="str">
        <f t="shared" si="4"/>
        <v>CRD.19</v>
      </c>
      <c r="K276" s="10">
        <f>IF(D276="",17,IF(C276="",17,_xlfn.XLOOKUP(D276,refs!$A$2:$A$21,refs!$B$2:$B$21,"")))</f>
        <v>17</v>
      </c>
      <c r="L276" t="str">
        <f>"PASSTHROUGH|"&amp;A276&amp;"^^/ s /io.in."&amp;B276&amp;".mute="&amp;E276&amp;",mode="&amp;F276&amp;",icon="&amp;G276&amp;",pol="&amp;H276&amp;",vph="&amp;I276&amp;",name="&amp;J276&amp;",col="&amp;K276&amp;","</f>
        <v>PASSTHROUGH|WING1^^/ s /io.in.CRD.19.mute=0,mode=M,icon=0,pol=0,vph=,name=CRD.19,col=17,</v>
      </c>
    </row>
    <row r="277" spans="1:12" ht="15.75" x14ac:dyDescent="0.25">
      <c r="A277" s="1" t="s">
        <v>66</v>
      </c>
      <c r="B277" s="6" t="s">
        <v>317</v>
      </c>
      <c r="C277" s="12"/>
      <c r="D277" s="4"/>
      <c r="E277" s="4">
        <v>0</v>
      </c>
      <c r="F277" s="4" t="s">
        <v>71</v>
      </c>
      <c r="G277" s="4">
        <v>0</v>
      </c>
      <c r="H277" s="4">
        <v>0</v>
      </c>
      <c r="I277" s="15"/>
      <c r="J277" s="9" t="str">
        <f t="shared" si="4"/>
        <v>CRD.20</v>
      </c>
      <c r="K277" s="10">
        <f>IF(D277="",17,IF(C277="",17,_xlfn.XLOOKUP(D277,refs!$A$2:$A$21,refs!$B$2:$B$21,"")))</f>
        <v>17</v>
      </c>
      <c r="L277" t="str">
        <f>"PASSTHROUGH|"&amp;A277&amp;"^^/ s /io.in."&amp;B277&amp;".mute="&amp;E277&amp;",mode="&amp;F277&amp;",icon="&amp;G277&amp;",pol="&amp;H277&amp;",vph="&amp;I277&amp;",name="&amp;J277&amp;",col="&amp;K277&amp;","</f>
        <v>PASSTHROUGH|WING1^^/ s /io.in.CRD.20.mute=0,mode=M,icon=0,pol=0,vph=,name=CRD.20,col=17,</v>
      </c>
    </row>
    <row r="278" spans="1:12" ht="15.75" x14ac:dyDescent="0.25">
      <c r="A278" s="1" t="s">
        <v>66</v>
      </c>
      <c r="B278" s="6" t="s">
        <v>318</v>
      </c>
      <c r="C278" s="12"/>
      <c r="D278" s="4"/>
      <c r="E278" s="4">
        <v>0</v>
      </c>
      <c r="F278" s="4" t="s">
        <v>71</v>
      </c>
      <c r="G278" s="4">
        <v>0</v>
      </c>
      <c r="H278" s="4">
        <v>0</v>
      </c>
      <c r="I278" s="15"/>
      <c r="J278" s="9" t="str">
        <f t="shared" si="4"/>
        <v>CRD.21</v>
      </c>
      <c r="K278" s="10">
        <f>IF(D278="",17,IF(C278="",17,_xlfn.XLOOKUP(D278,refs!$A$2:$A$21,refs!$B$2:$B$21,"")))</f>
        <v>17</v>
      </c>
      <c r="L278" t="str">
        <f>"PASSTHROUGH|"&amp;A278&amp;"^^/ s /io.in."&amp;B278&amp;".mute="&amp;E278&amp;",mode="&amp;F278&amp;",icon="&amp;G278&amp;",pol="&amp;H278&amp;",vph="&amp;I278&amp;",name="&amp;J278&amp;",col="&amp;K278&amp;","</f>
        <v>PASSTHROUGH|WING1^^/ s /io.in.CRD.21.mute=0,mode=M,icon=0,pol=0,vph=,name=CRD.21,col=17,</v>
      </c>
    </row>
    <row r="279" spans="1:12" ht="15.75" x14ac:dyDescent="0.25">
      <c r="A279" s="1" t="s">
        <v>66</v>
      </c>
      <c r="B279" s="6" t="s">
        <v>319</v>
      </c>
      <c r="C279" s="12"/>
      <c r="D279" s="4"/>
      <c r="E279" s="4">
        <v>0</v>
      </c>
      <c r="F279" s="4" t="s">
        <v>71</v>
      </c>
      <c r="G279" s="4">
        <v>0</v>
      </c>
      <c r="H279" s="4">
        <v>0</v>
      </c>
      <c r="I279" s="15"/>
      <c r="J279" s="9" t="str">
        <f t="shared" si="4"/>
        <v>CRD.22</v>
      </c>
      <c r="K279" s="10">
        <f>IF(D279="",17,IF(C279="",17,_xlfn.XLOOKUP(D279,refs!$A$2:$A$21,refs!$B$2:$B$21,"")))</f>
        <v>17</v>
      </c>
      <c r="L279" t="str">
        <f>"PASSTHROUGH|"&amp;A279&amp;"^^/ s /io.in."&amp;B279&amp;".mute="&amp;E279&amp;",mode="&amp;F279&amp;",icon="&amp;G279&amp;",pol="&amp;H279&amp;",vph="&amp;I279&amp;",name="&amp;J279&amp;",col="&amp;K279&amp;","</f>
        <v>PASSTHROUGH|WING1^^/ s /io.in.CRD.22.mute=0,mode=M,icon=0,pol=0,vph=,name=CRD.22,col=17,</v>
      </c>
    </row>
    <row r="280" spans="1:12" ht="15.75" x14ac:dyDescent="0.25">
      <c r="A280" s="1" t="s">
        <v>66</v>
      </c>
      <c r="B280" s="6" t="s">
        <v>320</v>
      </c>
      <c r="C280" s="12"/>
      <c r="D280" s="4"/>
      <c r="E280" s="4">
        <v>0</v>
      </c>
      <c r="F280" s="4" t="s">
        <v>71</v>
      </c>
      <c r="G280" s="4">
        <v>0</v>
      </c>
      <c r="H280" s="4">
        <v>0</v>
      </c>
      <c r="I280" s="15"/>
      <c r="J280" s="9" t="str">
        <f t="shared" si="4"/>
        <v>CRD.23</v>
      </c>
      <c r="K280" s="10">
        <f>IF(D280="",17,IF(C280="",17,_xlfn.XLOOKUP(D280,refs!$A$2:$A$21,refs!$B$2:$B$21,"")))</f>
        <v>17</v>
      </c>
      <c r="L280" t="str">
        <f>"PASSTHROUGH|"&amp;A280&amp;"^^/ s /io.in."&amp;B280&amp;".mute="&amp;E280&amp;",mode="&amp;F280&amp;",icon="&amp;G280&amp;",pol="&amp;H280&amp;",vph="&amp;I280&amp;",name="&amp;J280&amp;",col="&amp;K280&amp;","</f>
        <v>PASSTHROUGH|WING1^^/ s /io.in.CRD.23.mute=0,mode=M,icon=0,pol=0,vph=,name=CRD.23,col=17,</v>
      </c>
    </row>
    <row r="281" spans="1:12" ht="15.75" x14ac:dyDescent="0.25">
      <c r="A281" s="1" t="s">
        <v>66</v>
      </c>
      <c r="B281" s="6" t="s">
        <v>321</v>
      </c>
      <c r="C281" s="12"/>
      <c r="D281" s="4"/>
      <c r="E281" s="4">
        <v>0</v>
      </c>
      <c r="F281" s="4" t="s">
        <v>71</v>
      </c>
      <c r="G281" s="4">
        <v>0</v>
      </c>
      <c r="H281" s="4">
        <v>0</v>
      </c>
      <c r="I281" s="15"/>
      <c r="J281" s="9" t="str">
        <f t="shared" si="4"/>
        <v>CRD.24</v>
      </c>
      <c r="K281" s="10">
        <f>IF(D281="",17,IF(C281="",17,_xlfn.XLOOKUP(D281,refs!$A$2:$A$21,refs!$B$2:$B$21,"")))</f>
        <v>17</v>
      </c>
      <c r="L281" t="str">
        <f>"PASSTHROUGH|"&amp;A281&amp;"^^/ s /io.in."&amp;B281&amp;".mute="&amp;E281&amp;",mode="&amp;F281&amp;",icon="&amp;G281&amp;",pol="&amp;H281&amp;",vph="&amp;I281&amp;",name="&amp;J281&amp;",col="&amp;K281&amp;","</f>
        <v>PASSTHROUGH|WING1^^/ s /io.in.CRD.24.mute=0,mode=M,icon=0,pol=0,vph=,name=CRD.24,col=17,</v>
      </c>
    </row>
    <row r="282" spans="1:12" ht="15.75" x14ac:dyDescent="0.25">
      <c r="A282" s="1" t="s">
        <v>66</v>
      </c>
      <c r="B282" s="6" t="s">
        <v>322</v>
      </c>
      <c r="C282" s="12"/>
      <c r="D282" s="4"/>
      <c r="E282" s="4">
        <v>0</v>
      </c>
      <c r="F282" s="4" t="s">
        <v>71</v>
      </c>
      <c r="G282" s="4">
        <v>0</v>
      </c>
      <c r="H282" s="4">
        <v>0</v>
      </c>
      <c r="I282" s="15"/>
      <c r="J282" s="9" t="str">
        <f t="shared" si="4"/>
        <v>CRD.25</v>
      </c>
      <c r="K282" s="10">
        <f>IF(D282="",17,IF(C282="",17,_xlfn.XLOOKUP(D282,refs!$A$2:$A$21,refs!$B$2:$B$21,"")))</f>
        <v>17</v>
      </c>
      <c r="L282" t="str">
        <f>"PASSTHROUGH|"&amp;A282&amp;"^^/ s /io.in."&amp;B282&amp;".mute="&amp;E282&amp;",mode="&amp;F282&amp;",icon="&amp;G282&amp;",pol="&amp;H282&amp;",vph="&amp;I282&amp;",name="&amp;J282&amp;",col="&amp;K282&amp;","</f>
        <v>PASSTHROUGH|WING1^^/ s /io.in.CRD.25.mute=0,mode=M,icon=0,pol=0,vph=,name=CRD.25,col=17,</v>
      </c>
    </row>
    <row r="283" spans="1:12" ht="15.75" x14ac:dyDescent="0.25">
      <c r="A283" s="1" t="s">
        <v>66</v>
      </c>
      <c r="B283" s="6" t="s">
        <v>323</v>
      </c>
      <c r="C283" s="12"/>
      <c r="D283" s="4"/>
      <c r="E283" s="4">
        <v>0</v>
      </c>
      <c r="F283" s="4" t="s">
        <v>71</v>
      </c>
      <c r="G283" s="4">
        <v>0</v>
      </c>
      <c r="H283" s="4">
        <v>0</v>
      </c>
      <c r="I283" s="15"/>
      <c r="J283" s="9" t="str">
        <f t="shared" si="4"/>
        <v>CRD.26</v>
      </c>
      <c r="K283" s="10">
        <f>IF(D283="",17,IF(C283="",17,_xlfn.XLOOKUP(D283,refs!$A$2:$A$21,refs!$B$2:$B$21,"")))</f>
        <v>17</v>
      </c>
      <c r="L283" t="str">
        <f>"PASSTHROUGH|"&amp;A283&amp;"^^/ s /io.in."&amp;B283&amp;".mute="&amp;E283&amp;",mode="&amp;F283&amp;",icon="&amp;G283&amp;",pol="&amp;H283&amp;",vph="&amp;I283&amp;",name="&amp;J283&amp;",col="&amp;K283&amp;","</f>
        <v>PASSTHROUGH|WING1^^/ s /io.in.CRD.26.mute=0,mode=M,icon=0,pol=0,vph=,name=CRD.26,col=17,</v>
      </c>
    </row>
    <row r="284" spans="1:12" ht="15.75" x14ac:dyDescent="0.25">
      <c r="A284" s="1" t="s">
        <v>66</v>
      </c>
      <c r="B284" s="6" t="s">
        <v>324</v>
      </c>
      <c r="C284" s="12"/>
      <c r="D284" s="4"/>
      <c r="E284" s="4">
        <v>0</v>
      </c>
      <c r="F284" s="4" t="s">
        <v>71</v>
      </c>
      <c r="G284" s="4">
        <v>0</v>
      </c>
      <c r="H284" s="4">
        <v>0</v>
      </c>
      <c r="I284" s="15"/>
      <c r="J284" s="9" t="str">
        <f t="shared" si="4"/>
        <v>CRD.27</v>
      </c>
      <c r="K284" s="10">
        <f>IF(D284="",17,IF(C284="",17,_xlfn.XLOOKUP(D284,refs!$A$2:$A$21,refs!$B$2:$B$21,"")))</f>
        <v>17</v>
      </c>
      <c r="L284" t="str">
        <f>"PASSTHROUGH|"&amp;A284&amp;"^^/ s /io.in."&amp;B284&amp;".mute="&amp;E284&amp;",mode="&amp;F284&amp;",icon="&amp;G284&amp;",pol="&amp;H284&amp;",vph="&amp;I284&amp;",name="&amp;J284&amp;",col="&amp;K284&amp;","</f>
        <v>PASSTHROUGH|WING1^^/ s /io.in.CRD.27.mute=0,mode=M,icon=0,pol=0,vph=,name=CRD.27,col=17,</v>
      </c>
    </row>
    <row r="285" spans="1:12" ht="15.75" x14ac:dyDescent="0.25">
      <c r="A285" s="1" t="s">
        <v>66</v>
      </c>
      <c r="B285" s="6" t="s">
        <v>325</v>
      </c>
      <c r="C285" s="12"/>
      <c r="D285" s="4"/>
      <c r="E285" s="4">
        <v>0</v>
      </c>
      <c r="F285" s="4" t="s">
        <v>71</v>
      </c>
      <c r="G285" s="4">
        <v>0</v>
      </c>
      <c r="H285" s="4">
        <v>0</v>
      </c>
      <c r="I285" s="15"/>
      <c r="J285" s="9" t="str">
        <f t="shared" si="4"/>
        <v>CRD.28</v>
      </c>
      <c r="K285" s="10">
        <f>IF(D285="",17,IF(C285="",17,_xlfn.XLOOKUP(D285,refs!$A$2:$A$21,refs!$B$2:$B$21,"")))</f>
        <v>17</v>
      </c>
      <c r="L285" t="str">
        <f>"PASSTHROUGH|"&amp;A285&amp;"^^/ s /io.in."&amp;B285&amp;".mute="&amp;E285&amp;",mode="&amp;F285&amp;",icon="&amp;G285&amp;",pol="&amp;H285&amp;",vph="&amp;I285&amp;",name="&amp;J285&amp;",col="&amp;K285&amp;","</f>
        <v>PASSTHROUGH|WING1^^/ s /io.in.CRD.28.mute=0,mode=M,icon=0,pol=0,vph=,name=CRD.28,col=17,</v>
      </c>
    </row>
    <row r="286" spans="1:12" ht="15.75" x14ac:dyDescent="0.25">
      <c r="A286" s="1" t="s">
        <v>66</v>
      </c>
      <c r="B286" s="6" t="s">
        <v>326</v>
      </c>
      <c r="C286" s="12"/>
      <c r="D286" s="4"/>
      <c r="E286" s="4">
        <v>0</v>
      </c>
      <c r="F286" s="4" t="s">
        <v>71</v>
      </c>
      <c r="G286" s="4">
        <v>0</v>
      </c>
      <c r="H286" s="4">
        <v>0</v>
      </c>
      <c r="I286" s="15"/>
      <c r="J286" s="9" t="str">
        <f t="shared" si="4"/>
        <v>CRD.29</v>
      </c>
      <c r="K286" s="10">
        <f>IF(D286="",17,IF(C286="",17,_xlfn.XLOOKUP(D286,refs!$A$2:$A$21,refs!$B$2:$B$21,"")))</f>
        <v>17</v>
      </c>
      <c r="L286" t="str">
        <f>"PASSTHROUGH|"&amp;A286&amp;"^^/ s /io.in."&amp;B286&amp;".mute="&amp;E286&amp;",mode="&amp;F286&amp;",icon="&amp;G286&amp;",pol="&amp;H286&amp;",vph="&amp;I286&amp;",name="&amp;J286&amp;",col="&amp;K286&amp;","</f>
        <v>PASSTHROUGH|WING1^^/ s /io.in.CRD.29.mute=0,mode=M,icon=0,pol=0,vph=,name=CRD.29,col=17,</v>
      </c>
    </row>
    <row r="287" spans="1:12" ht="15.75" x14ac:dyDescent="0.25">
      <c r="A287" s="1" t="s">
        <v>66</v>
      </c>
      <c r="B287" s="6" t="s">
        <v>327</v>
      </c>
      <c r="C287" s="12"/>
      <c r="D287" s="4"/>
      <c r="E287" s="4">
        <v>0</v>
      </c>
      <c r="F287" s="4" t="s">
        <v>71</v>
      </c>
      <c r="G287" s="4">
        <v>0</v>
      </c>
      <c r="H287" s="4">
        <v>0</v>
      </c>
      <c r="I287" s="15"/>
      <c r="J287" s="9" t="str">
        <f t="shared" si="4"/>
        <v>CRD.30</v>
      </c>
      <c r="K287" s="10">
        <f>IF(D287="",17,IF(C287="",17,_xlfn.XLOOKUP(D287,refs!$A$2:$A$21,refs!$B$2:$B$21,"")))</f>
        <v>17</v>
      </c>
      <c r="L287" t="str">
        <f>"PASSTHROUGH|"&amp;A287&amp;"^^/ s /io.in."&amp;B287&amp;".mute="&amp;E287&amp;",mode="&amp;F287&amp;",icon="&amp;G287&amp;",pol="&amp;H287&amp;",vph="&amp;I287&amp;",name="&amp;J287&amp;",col="&amp;K287&amp;","</f>
        <v>PASSTHROUGH|WING1^^/ s /io.in.CRD.30.mute=0,mode=M,icon=0,pol=0,vph=,name=CRD.30,col=17,</v>
      </c>
    </row>
    <row r="288" spans="1:12" ht="15.75" x14ac:dyDescent="0.25">
      <c r="A288" s="1" t="s">
        <v>66</v>
      </c>
      <c r="B288" s="6" t="s">
        <v>328</v>
      </c>
      <c r="C288" s="12"/>
      <c r="D288" s="4"/>
      <c r="E288" s="4">
        <v>0</v>
      </c>
      <c r="F288" s="4" t="s">
        <v>71</v>
      </c>
      <c r="G288" s="4">
        <v>0</v>
      </c>
      <c r="H288" s="4">
        <v>0</v>
      </c>
      <c r="I288" s="15"/>
      <c r="J288" s="9" t="str">
        <f t="shared" si="4"/>
        <v>CRD.31</v>
      </c>
      <c r="K288" s="10">
        <f>IF(D288="",17,IF(C288="",17,_xlfn.XLOOKUP(D288,refs!$A$2:$A$21,refs!$B$2:$B$21,"")))</f>
        <v>17</v>
      </c>
      <c r="L288" t="str">
        <f>"PASSTHROUGH|"&amp;A288&amp;"^^/ s /io.in."&amp;B288&amp;".mute="&amp;E288&amp;",mode="&amp;F288&amp;",icon="&amp;G288&amp;",pol="&amp;H288&amp;",vph="&amp;I288&amp;",name="&amp;J288&amp;",col="&amp;K288&amp;","</f>
        <v>PASSTHROUGH|WING1^^/ s /io.in.CRD.31.mute=0,mode=M,icon=0,pol=0,vph=,name=CRD.31,col=17,</v>
      </c>
    </row>
    <row r="289" spans="1:12" ht="15.75" x14ac:dyDescent="0.25">
      <c r="A289" s="1" t="s">
        <v>66</v>
      </c>
      <c r="B289" s="6" t="s">
        <v>329</v>
      </c>
      <c r="C289" s="12"/>
      <c r="D289" s="4"/>
      <c r="E289" s="4">
        <v>0</v>
      </c>
      <c r="F289" s="4" t="s">
        <v>71</v>
      </c>
      <c r="G289" s="4">
        <v>0</v>
      </c>
      <c r="H289" s="4">
        <v>0</v>
      </c>
      <c r="I289" s="15"/>
      <c r="J289" s="9" t="str">
        <f t="shared" si="4"/>
        <v>CRD.32</v>
      </c>
      <c r="K289" s="10">
        <f>IF(D289="",17,IF(C289="",17,_xlfn.XLOOKUP(D289,refs!$A$2:$A$21,refs!$B$2:$B$21,"")))</f>
        <v>17</v>
      </c>
      <c r="L289" t="str">
        <f>"PASSTHROUGH|"&amp;A289&amp;"^^/ s /io.in."&amp;B289&amp;".mute="&amp;E289&amp;",mode="&amp;F289&amp;",icon="&amp;G289&amp;",pol="&amp;H289&amp;",vph="&amp;I289&amp;",name="&amp;J289&amp;",col="&amp;K289&amp;","</f>
        <v>PASSTHROUGH|WING1^^/ s /io.in.CRD.32.mute=0,mode=M,icon=0,pol=0,vph=,name=CRD.32,col=17,</v>
      </c>
    </row>
    <row r="290" spans="1:12" ht="15.75" x14ac:dyDescent="0.25">
      <c r="A290" s="1" t="s">
        <v>66</v>
      </c>
      <c r="B290" s="6" t="s">
        <v>330</v>
      </c>
      <c r="C290" s="12"/>
      <c r="D290" s="4"/>
      <c r="E290" s="4">
        <v>0</v>
      </c>
      <c r="F290" s="4" t="s">
        <v>71</v>
      </c>
      <c r="G290" s="4">
        <v>0</v>
      </c>
      <c r="H290" s="4">
        <v>0</v>
      </c>
      <c r="I290" s="15"/>
      <c r="J290" s="9" t="str">
        <f t="shared" si="4"/>
        <v>CRD.33</v>
      </c>
      <c r="K290" s="10">
        <f>IF(D290="",17,IF(C290="",17,_xlfn.XLOOKUP(D290,refs!$A$2:$A$21,refs!$B$2:$B$21,"")))</f>
        <v>17</v>
      </c>
      <c r="L290" t="str">
        <f>"PASSTHROUGH|"&amp;A290&amp;"^^/ s /io.in."&amp;B290&amp;".mute="&amp;E290&amp;",mode="&amp;F290&amp;",icon="&amp;G290&amp;",pol="&amp;H290&amp;",vph="&amp;I290&amp;",name="&amp;J290&amp;",col="&amp;K290&amp;","</f>
        <v>PASSTHROUGH|WING1^^/ s /io.in.CRD.33.mute=0,mode=M,icon=0,pol=0,vph=,name=CRD.33,col=17,</v>
      </c>
    </row>
    <row r="291" spans="1:12" ht="15.75" x14ac:dyDescent="0.25">
      <c r="A291" s="1" t="s">
        <v>66</v>
      </c>
      <c r="B291" s="6" t="s">
        <v>331</v>
      </c>
      <c r="C291" s="12"/>
      <c r="D291" s="4"/>
      <c r="E291" s="4">
        <v>0</v>
      </c>
      <c r="F291" s="4" t="s">
        <v>71</v>
      </c>
      <c r="G291" s="4">
        <v>0</v>
      </c>
      <c r="H291" s="4">
        <v>0</v>
      </c>
      <c r="I291" s="15"/>
      <c r="J291" s="9" t="str">
        <f t="shared" si="4"/>
        <v>CRD.34</v>
      </c>
      <c r="K291" s="10">
        <f>IF(D291="",17,IF(C291="",17,_xlfn.XLOOKUP(D291,refs!$A$2:$A$21,refs!$B$2:$B$21,"")))</f>
        <v>17</v>
      </c>
      <c r="L291" t="str">
        <f>"PASSTHROUGH|"&amp;A291&amp;"^^/ s /io.in."&amp;B291&amp;".mute="&amp;E291&amp;",mode="&amp;F291&amp;",icon="&amp;G291&amp;",pol="&amp;H291&amp;",vph="&amp;I291&amp;",name="&amp;J291&amp;",col="&amp;K291&amp;","</f>
        <v>PASSTHROUGH|WING1^^/ s /io.in.CRD.34.mute=0,mode=M,icon=0,pol=0,vph=,name=CRD.34,col=17,</v>
      </c>
    </row>
    <row r="292" spans="1:12" ht="15.75" x14ac:dyDescent="0.25">
      <c r="A292" s="1" t="s">
        <v>66</v>
      </c>
      <c r="B292" s="6" t="s">
        <v>332</v>
      </c>
      <c r="C292" s="12"/>
      <c r="D292" s="4"/>
      <c r="E292" s="4">
        <v>0</v>
      </c>
      <c r="F292" s="4" t="s">
        <v>71</v>
      </c>
      <c r="G292" s="4">
        <v>0</v>
      </c>
      <c r="H292" s="4">
        <v>0</v>
      </c>
      <c r="I292" s="15"/>
      <c r="J292" s="9" t="str">
        <f t="shared" si="4"/>
        <v>CRD.35</v>
      </c>
      <c r="K292" s="10">
        <f>IF(D292="",17,IF(C292="",17,_xlfn.XLOOKUP(D292,refs!$A$2:$A$21,refs!$B$2:$B$21,"")))</f>
        <v>17</v>
      </c>
      <c r="L292" t="str">
        <f>"PASSTHROUGH|"&amp;A292&amp;"^^/ s /io.in."&amp;B292&amp;".mute="&amp;E292&amp;",mode="&amp;F292&amp;",icon="&amp;G292&amp;",pol="&amp;H292&amp;",vph="&amp;I292&amp;",name="&amp;J292&amp;",col="&amp;K292&amp;","</f>
        <v>PASSTHROUGH|WING1^^/ s /io.in.CRD.35.mute=0,mode=M,icon=0,pol=0,vph=,name=CRD.35,col=17,</v>
      </c>
    </row>
    <row r="293" spans="1:12" ht="15.75" x14ac:dyDescent="0.25">
      <c r="A293" s="1" t="s">
        <v>66</v>
      </c>
      <c r="B293" s="6" t="s">
        <v>333</v>
      </c>
      <c r="C293" s="12"/>
      <c r="D293" s="4"/>
      <c r="E293" s="4">
        <v>0</v>
      </c>
      <c r="F293" s="4" t="s">
        <v>71</v>
      </c>
      <c r="G293" s="4">
        <v>0</v>
      </c>
      <c r="H293" s="4">
        <v>0</v>
      </c>
      <c r="I293" s="15"/>
      <c r="J293" s="9" t="str">
        <f t="shared" si="4"/>
        <v>CRD.36</v>
      </c>
      <c r="K293" s="10">
        <f>IF(D293="",17,IF(C293="",17,_xlfn.XLOOKUP(D293,refs!$A$2:$A$21,refs!$B$2:$B$21,"")))</f>
        <v>17</v>
      </c>
      <c r="L293" t="str">
        <f>"PASSTHROUGH|"&amp;A293&amp;"^^/ s /io.in."&amp;B293&amp;".mute="&amp;E293&amp;",mode="&amp;F293&amp;",icon="&amp;G293&amp;",pol="&amp;H293&amp;",vph="&amp;I293&amp;",name="&amp;J293&amp;",col="&amp;K293&amp;","</f>
        <v>PASSTHROUGH|WING1^^/ s /io.in.CRD.36.mute=0,mode=M,icon=0,pol=0,vph=,name=CRD.36,col=17,</v>
      </c>
    </row>
    <row r="294" spans="1:12" ht="15.75" x14ac:dyDescent="0.25">
      <c r="A294" s="1" t="s">
        <v>66</v>
      </c>
      <c r="B294" s="6" t="s">
        <v>334</v>
      </c>
      <c r="C294" s="12"/>
      <c r="D294" s="4"/>
      <c r="E294" s="4">
        <v>0</v>
      </c>
      <c r="F294" s="4" t="s">
        <v>71</v>
      </c>
      <c r="G294" s="4">
        <v>0</v>
      </c>
      <c r="H294" s="4">
        <v>0</v>
      </c>
      <c r="I294" s="15"/>
      <c r="J294" s="9" t="str">
        <f t="shared" si="4"/>
        <v>CRD.37</v>
      </c>
      <c r="K294" s="10">
        <f>IF(D294="",17,IF(C294="",17,_xlfn.XLOOKUP(D294,refs!$A$2:$A$21,refs!$B$2:$B$21,"")))</f>
        <v>17</v>
      </c>
      <c r="L294" t="str">
        <f>"PASSTHROUGH|"&amp;A294&amp;"^^/ s /io.in."&amp;B294&amp;".mute="&amp;E294&amp;",mode="&amp;F294&amp;",icon="&amp;G294&amp;",pol="&amp;H294&amp;",vph="&amp;I294&amp;",name="&amp;J294&amp;",col="&amp;K294&amp;","</f>
        <v>PASSTHROUGH|WING1^^/ s /io.in.CRD.37.mute=0,mode=M,icon=0,pol=0,vph=,name=CRD.37,col=17,</v>
      </c>
    </row>
    <row r="295" spans="1:12" ht="15.75" x14ac:dyDescent="0.25">
      <c r="A295" s="1" t="s">
        <v>66</v>
      </c>
      <c r="B295" s="6" t="s">
        <v>335</v>
      </c>
      <c r="C295" s="12"/>
      <c r="D295" s="4"/>
      <c r="E295" s="4">
        <v>0</v>
      </c>
      <c r="F295" s="4" t="s">
        <v>71</v>
      </c>
      <c r="G295" s="4">
        <v>0</v>
      </c>
      <c r="H295" s="4">
        <v>0</v>
      </c>
      <c r="I295" s="15"/>
      <c r="J295" s="9" t="str">
        <f t="shared" si="4"/>
        <v>CRD.38</v>
      </c>
      <c r="K295" s="10">
        <f>IF(D295="",17,IF(C295="",17,_xlfn.XLOOKUP(D295,refs!$A$2:$A$21,refs!$B$2:$B$21,"")))</f>
        <v>17</v>
      </c>
      <c r="L295" t="str">
        <f>"PASSTHROUGH|"&amp;A295&amp;"^^/ s /io.in."&amp;B295&amp;".mute="&amp;E295&amp;",mode="&amp;F295&amp;",icon="&amp;G295&amp;",pol="&amp;H295&amp;",vph="&amp;I295&amp;",name="&amp;J295&amp;",col="&amp;K295&amp;","</f>
        <v>PASSTHROUGH|WING1^^/ s /io.in.CRD.38.mute=0,mode=M,icon=0,pol=0,vph=,name=CRD.38,col=17,</v>
      </c>
    </row>
    <row r="296" spans="1:12" ht="15.75" x14ac:dyDescent="0.25">
      <c r="A296" s="1" t="s">
        <v>66</v>
      </c>
      <c r="B296" s="6" t="s">
        <v>336</v>
      </c>
      <c r="C296" s="12"/>
      <c r="D296" s="4"/>
      <c r="E296" s="4">
        <v>0</v>
      </c>
      <c r="F296" s="4" t="s">
        <v>71</v>
      </c>
      <c r="G296" s="4">
        <v>0</v>
      </c>
      <c r="H296" s="4">
        <v>0</v>
      </c>
      <c r="I296" s="15"/>
      <c r="J296" s="9" t="str">
        <f t="shared" si="4"/>
        <v>CRD.39</v>
      </c>
      <c r="K296" s="10">
        <f>IF(D296="",17,IF(C296="",17,_xlfn.XLOOKUP(D296,refs!$A$2:$A$21,refs!$B$2:$B$21,"")))</f>
        <v>17</v>
      </c>
      <c r="L296" t="str">
        <f>"PASSTHROUGH|"&amp;A296&amp;"^^/ s /io.in."&amp;B296&amp;".mute="&amp;E296&amp;",mode="&amp;F296&amp;",icon="&amp;G296&amp;",pol="&amp;H296&amp;",vph="&amp;I296&amp;",name="&amp;J296&amp;",col="&amp;K296&amp;","</f>
        <v>PASSTHROUGH|WING1^^/ s /io.in.CRD.39.mute=0,mode=M,icon=0,pol=0,vph=,name=CRD.39,col=17,</v>
      </c>
    </row>
    <row r="297" spans="1:12" ht="15.75" x14ac:dyDescent="0.25">
      <c r="A297" s="1" t="s">
        <v>66</v>
      </c>
      <c r="B297" s="6" t="s">
        <v>337</v>
      </c>
      <c r="C297" s="12"/>
      <c r="D297" s="4"/>
      <c r="E297" s="4">
        <v>0</v>
      </c>
      <c r="F297" s="4" t="s">
        <v>71</v>
      </c>
      <c r="G297" s="4">
        <v>0</v>
      </c>
      <c r="H297" s="4">
        <v>0</v>
      </c>
      <c r="I297" s="15"/>
      <c r="J297" s="9" t="str">
        <f t="shared" si="4"/>
        <v>CRD.40</v>
      </c>
      <c r="K297" s="10">
        <f>IF(D297="",17,IF(C297="",17,_xlfn.XLOOKUP(D297,refs!$A$2:$A$21,refs!$B$2:$B$21,"")))</f>
        <v>17</v>
      </c>
      <c r="L297" t="str">
        <f>"PASSTHROUGH|"&amp;A297&amp;"^^/ s /io.in."&amp;B297&amp;".mute="&amp;E297&amp;",mode="&amp;F297&amp;",icon="&amp;G297&amp;",pol="&amp;H297&amp;",vph="&amp;I297&amp;",name="&amp;J297&amp;",col="&amp;K297&amp;","</f>
        <v>PASSTHROUGH|WING1^^/ s /io.in.CRD.40.mute=0,mode=M,icon=0,pol=0,vph=,name=CRD.40,col=17,</v>
      </c>
    </row>
    <row r="298" spans="1:12" ht="15.75" x14ac:dyDescent="0.25">
      <c r="A298" s="1" t="s">
        <v>66</v>
      </c>
      <c r="B298" s="6" t="s">
        <v>338</v>
      </c>
      <c r="C298" s="12"/>
      <c r="D298" s="4"/>
      <c r="E298" s="4">
        <v>0</v>
      </c>
      <c r="F298" s="4" t="s">
        <v>71</v>
      </c>
      <c r="G298" s="4">
        <v>0</v>
      </c>
      <c r="H298" s="4">
        <v>0</v>
      </c>
      <c r="I298" s="15"/>
      <c r="J298" s="9" t="str">
        <f t="shared" si="4"/>
        <v>CRD.41</v>
      </c>
      <c r="K298" s="10">
        <f>IF(D298="",17,IF(C298="",17,_xlfn.XLOOKUP(D298,refs!$A$2:$A$21,refs!$B$2:$B$21,"")))</f>
        <v>17</v>
      </c>
      <c r="L298" t="str">
        <f>"PASSTHROUGH|"&amp;A298&amp;"^^/ s /io.in."&amp;B298&amp;".mute="&amp;E298&amp;",mode="&amp;F298&amp;",icon="&amp;G298&amp;",pol="&amp;H298&amp;",vph="&amp;I298&amp;",name="&amp;J298&amp;",col="&amp;K298&amp;","</f>
        <v>PASSTHROUGH|WING1^^/ s /io.in.CRD.41.mute=0,mode=M,icon=0,pol=0,vph=,name=CRD.41,col=17,</v>
      </c>
    </row>
    <row r="299" spans="1:12" ht="15.75" x14ac:dyDescent="0.25">
      <c r="A299" s="1" t="s">
        <v>66</v>
      </c>
      <c r="B299" s="6" t="s">
        <v>339</v>
      </c>
      <c r="C299" s="12"/>
      <c r="D299" s="4"/>
      <c r="E299" s="4">
        <v>0</v>
      </c>
      <c r="F299" s="4" t="s">
        <v>71</v>
      </c>
      <c r="G299" s="4">
        <v>0</v>
      </c>
      <c r="H299" s="4">
        <v>0</v>
      </c>
      <c r="I299" s="15"/>
      <c r="J299" s="9" t="str">
        <f t="shared" si="4"/>
        <v>CRD.42</v>
      </c>
      <c r="K299" s="10">
        <f>IF(D299="",17,IF(C299="",17,_xlfn.XLOOKUP(D299,refs!$A$2:$A$21,refs!$B$2:$B$21,"")))</f>
        <v>17</v>
      </c>
      <c r="L299" t="str">
        <f>"PASSTHROUGH|"&amp;A299&amp;"^^/ s /io.in."&amp;B299&amp;".mute="&amp;E299&amp;",mode="&amp;F299&amp;",icon="&amp;G299&amp;",pol="&amp;H299&amp;",vph="&amp;I299&amp;",name="&amp;J299&amp;",col="&amp;K299&amp;","</f>
        <v>PASSTHROUGH|WING1^^/ s /io.in.CRD.42.mute=0,mode=M,icon=0,pol=0,vph=,name=CRD.42,col=17,</v>
      </c>
    </row>
    <row r="300" spans="1:12" ht="15.75" x14ac:dyDescent="0.25">
      <c r="A300" s="1" t="s">
        <v>66</v>
      </c>
      <c r="B300" s="6" t="s">
        <v>340</v>
      </c>
      <c r="C300" s="12"/>
      <c r="D300" s="4"/>
      <c r="E300" s="4">
        <v>0</v>
      </c>
      <c r="F300" s="4" t="s">
        <v>71</v>
      </c>
      <c r="G300" s="4">
        <v>0</v>
      </c>
      <c r="H300" s="4">
        <v>0</v>
      </c>
      <c r="I300" s="15"/>
      <c r="J300" s="9" t="str">
        <f t="shared" si="4"/>
        <v>CRD.43</v>
      </c>
      <c r="K300" s="10">
        <f>IF(D300="",17,IF(C300="",17,_xlfn.XLOOKUP(D300,refs!$A$2:$A$21,refs!$B$2:$B$21,"")))</f>
        <v>17</v>
      </c>
      <c r="L300" t="str">
        <f>"PASSTHROUGH|"&amp;A300&amp;"^^/ s /io.in."&amp;B300&amp;".mute="&amp;E300&amp;",mode="&amp;F300&amp;",icon="&amp;G300&amp;",pol="&amp;H300&amp;",vph="&amp;I300&amp;",name="&amp;J300&amp;",col="&amp;K300&amp;","</f>
        <v>PASSTHROUGH|WING1^^/ s /io.in.CRD.43.mute=0,mode=M,icon=0,pol=0,vph=,name=CRD.43,col=17,</v>
      </c>
    </row>
    <row r="301" spans="1:12" ht="15.75" x14ac:dyDescent="0.25">
      <c r="A301" s="1" t="s">
        <v>66</v>
      </c>
      <c r="B301" s="6" t="s">
        <v>341</v>
      </c>
      <c r="C301" s="12"/>
      <c r="D301" s="4"/>
      <c r="E301" s="4">
        <v>0</v>
      </c>
      <c r="F301" s="4" t="s">
        <v>71</v>
      </c>
      <c r="G301" s="4">
        <v>0</v>
      </c>
      <c r="H301" s="4">
        <v>0</v>
      </c>
      <c r="I301" s="15"/>
      <c r="J301" s="9" t="str">
        <f t="shared" si="4"/>
        <v>CRD.44</v>
      </c>
      <c r="K301" s="10">
        <f>IF(D301="",17,IF(C301="",17,_xlfn.XLOOKUP(D301,refs!$A$2:$A$21,refs!$B$2:$B$21,"")))</f>
        <v>17</v>
      </c>
      <c r="L301" t="str">
        <f>"PASSTHROUGH|"&amp;A301&amp;"^^/ s /io.in."&amp;B301&amp;".mute="&amp;E301&amp;",mode="&amp;F301&amp;",icon="&amp;G301&amp;",pol="&amp;H301&amp;",vph="&amp;I301&amp;",name="&amp;J301&amp;",col="&amp;K301&amp;","</f>
        <v>PASSTHROUGH|WING1^^/ s /io.in.CRD.44.mute=0,mode=M,icon=0,pol=0,vph=,name=CRD.44,col=17,</v>
      </c>
    </row>
    <row r="302" spans="1:12" ht="15.75" x14ac:dyDescent="0.25">
      <c r="A302" s="1" t="s">
        <v>66</v>
      </c>
      <c r="B302" s="6" t="s">
        <v>342</v>
      </c>
      <c r="C302" s="12"/>
      <c r="D302" s="4"/>
      <c r="E302" s="4">
        <v>0</v>
      </c>
      <c r="F302" s="4" t="s">
        <v>71</v>
      </c>
      <c r="G302" s="4">
        <v>0</v>
      </c>
      <c r="H302" s="4">
        <v>0</v>
      </c>
      <c r="I302" s="15"/>
      <c r="J302" s="9" t="str">
        <f t="shared" si="4"/>
        <v>CRD.45</v>
      </c>
      <c r="K302" s="10">
        <f>IF(D302="",17,IF(C302="",17,_xlfn.XLOOKUP(D302,refs!$A$2:$A$21,refs!$B$2:$B$21,"")))</f>
        <v>17</v>
      </c>
      <c r="L302" t="str">
        <f>"PASSTHROUGH|"&amp;A302&amp;"^^/ s /io.in."&amp;B302&amp;".mute="&amp;E302&amp;",mode="&amp;F302&amp;",icon="&amp;G302&amp;",pol="&amp;H302&amp;",vph="&amp;I302&amp;",name="&amp;J302&amp;",col="&amp;K302&amp;","</f>
        <v>PASSTHROUGH|WING1^^/ s /io.in.CRD.45.mute=0,mode=M,icon=0,pol=0,vph=,name=CRD.45,col=17,</v>
      </c>
    </row>
    <row r="303" spans="1:12" ht="15.75" x14ac:dyDescent="0.25">
      <c r="A303" s="1" t="s">
        <v>66</v>
      </c>
      <c r="B303" s="6" t="s">
        <v>343</v>
      </c>
      <c r="C303" s="12"/>
      <c r="D303" s="4"/>
      <c r="E303" s="4">
        <v>0</v>
      </c>
      <c r="F303" s="4" t="s">
        <v>71</v>
      </c>
      <c r="G303" s="4">
        <v>0</v>
      </c>
      <c r="H303" s="4">
        <v>0</v>
      </c>
      <c r="I303" s="15"/>
      <c r="J303" s="9" t="str">
        <f t="shared" si="4"/>
        <v>CRD.46</v>
      </c>
      <c r="K303" s="10">
        <f>IF(D303="",17,IF(C303="",17,_xlfn.XLOOKUP(D303,refs!$A$2:$A$21,refs!$B$2:$B$21,"")))</f>
        <v>17</v>
      </c>
      <c r="L303" t="str">
        <f>"PASSTHROUGH|"&amp;A303&amp;"^^/ s /io.in."&amp;B303&amp;".mute="&amp;E303&amp;",mode="&amp;F303&amp;",icon="&amp;G303&amp;",pol="&amp;H303&amp;",vph="&amp;I303&amp;",name="&amp;J303&amp;",col="&amp;K303&amp;","</f>
        <v>PASSTHROUGH|WING1^^/ s /io.in.CRD.46.mute=0,mode=M,icon=0,pol=0,vph=,name=CRD.46,col=17,</v>
      </c>
    </row>
    <row r="304" spans="1:12" ht="15.75" x14ac:dyDescent="0.25">
      <c r="A304" s="1" t="s">
        <v>66</v>
      </c>
      <c r="B304" s="6" t="s">
        <v>344</v>
      </c>
      <c r="C304" s="12"/>
      <c r="D304" s="4"/>
      <c r="E304" s="4">
        <v>0</v>
      </c>
      <c r="F304" s="4" t="s">
        <v>71</v>
      </c>
      <c r="G304" s="4">
        <v>0</v>
      </c>
      <c r="H304" s="4">
        <v>0</v>
      </c>
      <c r="I304" s="15"/>
      <c r="J304" s="9" t="str">
        <f t="shared" si="4"/>
        <v>CRD.47</v>
      </c>
      <c r="K304" s="10">
        <f>IF(D304="",17,IF(C304="",17,_xlfn.XLOOKUP(D304,refs!$A$2:$A$21,refs!$B$2:$B$21,"")))</f>
        <v>17</v>
      </c>
      <c r="L304" t="str">
        <f>"PASSTHROUGH|"&amp;A304&amp;"^^/ s /io.in."&amp;B304&amp;".mute="&amp;E304&amp;",mode="&amp;F304&amp;",icon="&amp;G304&amp;",pol="&amp;H304&amp;",vph="&amp;I304&amp;",name="&amp;J304&amp;",col="&amp;K304&amp;","</f>
        <v>PASSTHROUGH|WING1^^/ s /io.in.CRD.47.mute=0,mode=M,icon=0,pol=0,vph=,name=CRD.47,col=17,</v>
      </c>
    </row>
    <row r="305" spans="1:12" ht="15.75" x14ac:dyDescent="0.25">
      <c r="A305" s="1" t="s">
        <v>66</v>
      </c>
      <c r="B305" s="6" t="s">
        <v>345</v>
      </c>
      <c r="C305" s="12"/>
      <c r="D305" s="4"/>
      <c r="E305" s="4">
        <v>0</v>
      </c>
      <c r="F305" s="4" t="s">
        <v>71</v>
      </c>
      <c r="G305" s="4">
        <v>0</v>
      </c>
      <c r="H305" s="4">
        <v>0</v>
      </c>
      <c r="I305" s="15"/>
      <c r="J305" s="9" t="str">
        <f t="shared" si="4"/>
        <v>CRD.48</v>
      </c>
      <c r="K305" s="10">
        <f>IF(D305="",17,IF(C305="",17,_xlfn.XLOOKUP(D305,refs!$A$2:$A$21,refs!$B$2:$B$21,"")))</f>
        <v>17</v>
      </c>
      <c r="L305" t="str">
        <f>"PASSTHROUGH|"&amp;A305&amp;"^^/ s /io.in."&amp;B305&amp;".mute="&amp;E305&amp;",mode="&amp;F305&amp;",icon="&amp;G305&amp;",pol="&amp;H305&amp;",vph="&amp;I305&amp;",name="&amp;J305&amp;",col="&amp;K305&amp;","</f>
        <v>PASSTHROUGH|WING1^^/ s /io.in.CRD.48.mute=0,mode=M,icon=0,pol=0,vph=,name=CRD.48,col=17,</v>
      </c>
    </row>
    <row r="306" spans="1:12" ht="15.75" x14ac:dyDescent="0.25">
      <c r="A306" s="1" t="s">
        <v>66</v>
      </c>
      <c r="B306" s="6" t="s">
        <v>346</v>
      </c>
      <c r="C306" s="12"/>
      <c r="D306" s="4"/>
      <c r="E306" s="4">
        <v>0</v>
      </c>
      <c r="F306" s="4" t="s">
        <v>71</v>
      </c>
      <c r="G306" s="4">
        <v>0</v>
      </c>
      <c r="H306" s="4">
        <v>0</v>
      </c>
      <c r="I306" s="15"/>
      <c r="J306" s="9" t="str">
        <f t="shared" si="4"/>
        <v>CRD.49</v>
      </c>
      <c r="K306" s="10">
        <f>IF(D306="",17,IF(C306="",17,_xlfn.XLOOKUP(D306,refs!$A$2:$A$21,refs!$B$2:$B$21,"")))</f>
        <v>17</v>
      </c>
      <c r="L306" t="str">
        <f>"PASSTHROUGH|"&amp;A306&amp;"^^/ s /io.in."&amp;B306&amp;".mute="&amp;E306&amp;",mode="&amp;F306&amp;",icon="&amp;G306&amp;",pol="&amp;H306&amp;",vph="&amp;I306&amp;",name="&amp;J306&amp;",col="&amp;K306&amp;","</f>
        <v>PASSTHROUGH|WING1^^/ s /io.in.CRD.49.mute=0,mode=M,icon=0,pol=0,vph=,name=CRD.49,col=17,</v>
      </c>
    </row>
    <row r="307" spans="1:12" ht="15.75" x14ac:dyDescent="0.25">
      <c r="A307" s="1" t="s">
        <v>66</v>
      </c>
      <c r="B307" s="6" t="s">
        <v>347</v>
      </c>
      <c r="C307" s="12"/>
      <c r="D307" s="4"/>
      <c r="E307" s="4">
        <v>0</v>
      </c>
      <c r="F307" s="4" t="s">
        <v>71</v>
      </c>
      <c r="G307" s="4">
        <v>0</v>
      </c>
      <c r="H307" s="4">
        <v>0</v>
      </c>
      <c r="I307" s="15"/>
      <c r="J307" s="9" t="str">
        <f t="shared" si="4"/>
        <v>CRD.50</v>
      </c>
      <c r="K307" s="10">
        <f>IF(D307="",17,IF(C307="",17,_xlfn.XLOOKUP(D307,refs!$A$2:$A$21,refs!$B$2:$B$21,"")))</f>
        <v>17</v>
      </c>
      <c r="L307" t="str">
        <f>"PASSTHROUGH|"&amp;A307&amp;"^^/ s /io.in."&amp;B307&amp;".mute="&amp;E307&amp;",mode="&amp;F307&amp;",icon="&amp;G307&amp;",pol="&amp;H307&amp;",vph="&amp;I307&amp;",name="&amp;J307&amp;",col="&amp;K307&amp;","</f>
        <v>PASSTHROUGH|WING1^^/ s /io.in.CRD.50.mute=0,mode=M,icon=0,pol=0,vph=,name=CRD.50,col=17,</v>
      </c>
    </row>
    <row r="308" spans="1:12" ht="15.75" x14ac:dyDescent="0.25">
      <c r="A308" s="1" t="s">
        <v>66</v>
      </c>
      <c r="B308" s="6" t="s">
        <v>348</v>
      </c>
      <c r="C308" s="12"/>
      <c r="D308" s="4"/>
      <c r="E308" s="4">
        <v>0</v>
      </c>
      <c r="F308" s="4" t="s">
        <v>71</v>
      </c>
      <c r="G308" s="4">
        <v>0</v>
      </c>
      <c r="H308" s="4">
        <v>0</v>
      </c>
      <c r="I308" s="15"/>
      <c r="J308" s="9" t="str">
        <f t="shared" si="4"/>
        <v>CRD.51</v>
      </c>
      <c r="K308" s="10">
        <f>IF(D308="",17,IF(C308="",17,_xlfn.XLOOKUP(D308,refs!$A$2:$A$21,refs!$B$2:$B$21,"")))</f>
        <v>17</v>
      </c>
      <c r="L308" t="str">
        <f>"PASSTHROUGH|"&amp;A308&amp;"^^/ s /io.in."&amp;B308&amp;".mute="&amp;E308&amp;",mode="&amp;F308&amp;",icon="&amp;G308&amp;",pol="&amp;H308&amp;",vph="&amp;I308&amp;",name="&amp;J308&amp;",col="&amp;K308&amp;","</f>
        <v>PASSTHROUGH|WING1^^/ s /io.in.CRD.51.mute=0,mode=M,icon=0,pol=0,vph=,name=CRD.51,col=17,</v>
      </c>
    </row>
    <row r="309" spans="1:12" ht="15.75" x14ac:dyDescent="0.25">
      <c r="A309" s="1" t="s">
        <v>66</v>
      </c>
      <c r="B309" s="6" t="s">
        <v>349</v>
      </c>
      <c r="C309" s="12"/>
      <c r="D309" s="4"/>
      <c r="E309" s="4">
        <v>0</v>
      </c>
      <c r="F309" s="4" t="s">
        <v>71</v>
      </c>
      <c r="G309" s="4">
        <v>0</v>
      </c>
      <c r="H309" s="4">
        <v>0</v>
      </c>
      <c r="I309" s="15"/>
      <c r="J309" s="9" t="str">
        <f t="shared" si="4"/>
        <v>CRD.52</v>
      </c>
      <c r="K309" s="10">
        <f>IF(D309="",17,IF(C309="",17,_xlfn.XLOOKUP(D309,refs!$A$2:$A$21,refs!$B$2:$B$21,"")))</f>
        <v>17</v>
      </c>
      <c r="L309" t="str">
        <f>"PASSTHROUGH|"&amp;A309&amp;"^^/ s /io.in."&amp;B309&amp;".mute="&amp;E309&amp;",mode="&amp;F309&amp;",icon="&amp;G309&amp;",pol="&amp;H309&amp;",vph="&amp;I309&amp;",name="&amp;J309&amp;",col="&amp;K309&amp;","</f>
        <v>PASSTHROUGH|WING1^^/ s /io.in.CRD.52.mute=0,mode=M,icon=0,pol=0,vph=,name=CRD.52,col=17,</v>
      </c>
    </row>
    <row r="310" spans="1:12" ht="15.75" x14ac:dyDescent="0.25">
      <c r="A310" s="1" t="s">
        <v>66</v>
      </c>
      <c r="B310" s="6" t="s">
        <v>350</v>
      </c>
      <c r="C310" s="12"/>
      <c r="D310" s="4"/>
      <c r="E310" s="4">
        <v>0</v>
      </c>
      <c r="F310" s="4" t="s">
        <v>71</v>
      </c>
      <c r="G310" s="4">
        <v>0</v>
      </c>
      <c r="H310" s="4">
        <v>0</v>
      </c>
      <c r="I310" s="15"/>
      <c r="J310" s="9" t="str">
        <f t="shared" si="4"/>
        <v>CRD.53</v>
      </c>
      <c r="K310" s="10">
        <f>IF(D310="",17,IF(C310="",17,_xlfn.XLOOKUP(D310,refs!$A$2:$A$21,refs!$B$2:$B$21,"")))</f>
        <v>17</v>
      </c>
      <c r="L310" t="str">
        <f>"PASSTHROUGH|"&amp;A310&amp;"^^/ s /io.in."&amp;B310&amp;".mute="&amp;E310&amp;",mode="&amp;F310&amp;",icon="&amp;G310&amp;",pol="&amp;H310&amp;",vph="&amp;I310&amp;",name="&amp;J310&amp;",col="&amp;K310&amp;","</f>
        <v>PASSTHROUGH|WING1^^/ s /io.in.CRD.53.mute=0,mode=M,icon=0,pol=0,vph=,name=CRD.53,col=17,</v>
      </c>
    </row>
    <row r="311" spans="1:12" ht="15.75" x14ac:dyDescent="0.25">
      <c r="A311" s="1" t="s">
        <v>66</v>
      </c>
      <c r="B311" s="6" t="s">
        <v>351</v>
      </c>
      <c r="C311" s="12"/>
      <c r="D311" s="4"/>
      <c r="E311" s="4">
        <v>0</v>
      </c>
      <c r="F311" s="4" t="s">
        <v>71</v>
      </c>
      <c r="G311" s="4">
        <v>0</v>
      </c>
      <c r="H311" s="4">
        <v>0</v>
      </c>
      <c r="I311" s="15"/>
      <c r="J311" s="9" t="str">
        <f t="shared" si="4"/>
        <v>CRD.54</v>
      </c>
      <c r="K311" s="10">
        <f>IF(D311="",17,IF(C311="",17,_xlfn.XLOOKUP(D311,refs!$A$2:$A$21,refs!$B$2:$B$21,"")))</f>
        <v>17</v>
      </c>
      <c r="L311" t="str">
        <f>"PASSTHROUGH|"&amp;A311&amp;"^^/ s /io.in."&amp;B311&amp;".mute="&amp;E311&amp;",mode="&amp;F311&amp;",icon="&amp;G311&amp;",pol="&amp;H311&amp;",vph="&amp;I311&amp;",name="&amp;J311&amp;",col="&amp;K311&amp;","</f>
        <v>PASSTHROUGH|WING1^^/ s /io.in.CRD.54.mute=0,mode=M,icon=0,pol=0,vph=,name=CRD.54,col=17,</v>
      </c>
    </row>
    <row r="312" spans="1:12" ht="15.75" x14ac:dyDescent="0.25">
      <c r="A312" s="1" t="s">
        <v>66</v>
      </c>
      <c r="B312" s="6" t="s">
        <v>352</v>
      </c>
      <c r="C312" s="12"/>
      <c r="D312" s="4"/>
      <c r="E312" s="4">
        <v>0</v>
      </c>
      <c r="F312" s="4" t="s">
        <v>71</v>
      </c>
      <c r="G312" s="4">
        <v>0</v>
      </c>
      <c r="H312" s="4">
        <v>0</v>
      </c>
      <c r="I312" s="15"/>
      <c r="J312" s="9" t="str">
        <f t="shared" si="4"/>
        <v>CRD.55</v>
      </c>
      <c r="K312" s="10">
        <f>IF(D312="",17,IF(C312="",17,_xlfn.XLOOKUP(D312,refs!$A$2:$A$21,refs!$B$2:$B$21,"")))</f>
        <v>17</v>
      </c>
      <c r="L312" t="str">
        <f>"PASSTHROUGH|"&amp;A312&amp;"^^/ s /io.in."&amp;B312&amp;".mute="&amp;E312&amp;",mode="&amp;F312&amp;",icon="&amp;G312&amp;",pol="&amp;H312&amp;",vph="&amp;I312&amp;",name="&amp;J312&amp;",col="&amp;K312&amp;","</f>
        <v>PASSTHROUGH|WING1^^/ s /io.in.CRD.55.mute=0,mode=M,icon=0,pol=0,vph=,name=CRD.55,col=17,</v>
      </c>
    </row>
    <row r="313" spans="1:12" ht="15.75" x14ac:dyDescent="0.25">
      <c r="A313" s="1" t="s">
        <v>66</v>
      </c>
      <c r="B313" s="6" t="s">
        <v>353</v>
      </c>
      <c r="C313" s="12"/>
      <c r="D313" s="4"/>
      <c r="E313" s="4">
        <v>0</v>
      </c>
      <c r="F313" s="4" t="s">
        <v>71</v>
      </c>
      <c r="G313" s="4">
        <v>0</v>
      </c>
      <c r="H313" s="4">
        <v>0</v>
      </c>
      <c r="I313" s="15"/>
      <c r="J313" s="9" t="str">
        <f t="shared" si="4"/>
        <v>CRD.56</v>
      </c>
      <c r="K313" s="10">
        <f>IF(D313="",17,IF(C313="",17,_xlfn.XLOOKUP(D313,refs!$A$2:$A$21,refs!$B$2:$B$21,"")))</f>
        <v>17</v>
      </c>
      <c r="L313" t="str">
        <f>"PASSTHROUGH|"&amp;A313&amp;"^^/ s /io.in."&amp;B313&amp;".mute="&amp;E313&amp;",mode="&amp;F313&amp;",icon="&amp;G313&amp;",pol="&amp;H313&amp;",vph="&amp;I313&amp;",name="&amp;J313&amp;",col="&amp;K313&amp;","</f>
        <v>PASSTHROUGH|WING1^^/ s /io.in.CRD.56.mute=0,mode=M,icon=0,pol=0,vph=,name=CRD.56,col=17,</v>
      </c>
    </row>
    <row r="314" spans="1:12" ht="15.75" x14ac:dyDescent="0.25">
      <c r="A314" s="1" t="s">
        <v>66</v>
      </c>
      <c r="B314" s="6" t="s">
        <v>354</v>
      </c>
      <c r="C314" s="12"/>
      <c r="D314" s="4"/>
      <c r="E314" s="4">
        <v>0</v>
      </c>
      <c r="F314" s="4" t="s">
        <v>71</v>
      </c>
      <c r="G314" s="4">
        <v>0</v>
      </c>
      <c r="H314" s="4">
        <v>0</v>
      </c>
      <c r="I314" s="15"/>
      <c r="J314" s="9" t="str">
        <f t="shared" si="4"/>
        <v>CRD.57</v>
      </c>
      <c r="K314" s="10">
        <f>IF(D314="",17,IF(C314="",17,_xlfn.XLOOKUP(D314,refs!$A$2:$A$21,refs!$B$2:$B$21,"")))</f>
        <v>17</v>
      </c>
      <c r="L314" t="str">
        <f>"PASSTHROUGH|"&amp;A314&amp;"^^/ s /io.in."&amp;B314&amp;".mute="&amp;E314&amp;",mode="&amp;F314&amp;",icon="&amp;G314&amp;",pol="&amp;H314&amp;",vph="&amp;I314&amp;",name="&amp;J314&amp;",col="&amp;K314&amp;","</f>
        <v>PASSTHROUGH|WING1^^/ s /io.in.CRD.57.mute=0,mode=M,icon=0,pol=0,vph=,name=CRD.57,col=17,</v>
      </c>
    </row>
    <row r="315" spans="1:12" ht="15.75" x14ac:dyDescent="0.25">
      <c r="A315" s="1" t="s">
        <v>66</v>
      </c>
      <c r="B315" s="6" t="s">
        <v>355</v>
      </c>
      <c r="C315" s="12"/>
      <c r="D315" s="4"/>
      <c r="E315" s="4">
        <v>0</v>
      </c>
      <c r="F315" s="4" t="s">
        <v>71</v>
      </c>
      <c r="G315" s="4">
        <v>0</v>
      </c>
      <c r="H315" s="4">
        <v>0</v>
      </c>
      <c r="I315" s="15"/>
      <c r="J315" s="9" t="str">
        <f t="shared" si="4"/>
        <v>CRD.58</v>
      </c>
      <c r="K315" s="10">
        <f>IF(D315="",17,IF(C315="",17,_xlfn.XLOOKUP(D315,refs!$A$2:$A$21,refs!$B$2:$B$21,"")))</f>
        <v>17</v>
      </c>
      <c r="L315" t="str">
        <f>"PASSTHROUGH|"&amp;A315&amp;"^^/ s /io.in."&amp;B315&amp;".mute="&amp;E315&amp;",mode="&amp;F315&amp;",icon="&amp;G315&amp;",pol="&amp;H315&amp;",vph="&amp;I315&amp;",name="&amp;J315&amp;",col="&amp;K315&amp;","</f>
        <v>PASSTHROUGH|WING1^^/ s /io.in.CRD.58.mute=0,mode=M,icon=0,pol=0,vph=,name=CRD.58,col=17,</v>
      </c>
    </row>
    <row r="316" spans="1:12" ht="15.75" x14ac:dyDescent="0.25">
      <c r="A316" s="1" t="s">
        <v>66</v>
      </c>
      <c r="B316" s="6" t="s">
        <v>356</v>
      </c>
      <c r="C316" s="12"/>
      <c r="D316" s="4"/>
      <c r="E316" s="4">
        <v>0</v>
      </c>
      <c r="F316" s="4" t="s">
        <v>71</v>
      </c>
      <c r="G316" s="4">
        <v>0</v>
      </c>
      <c r="H316" s="4">
        <v>0</v>
      </c>
      <c r="I316" s="15"/>
      <c r="J316" s="9" t="str">
        <f t="shared" si="4"/>
        <v>CRD.59</v>
      </c>
      <c r="K316" s="10">
        <f>IF(D316="",17,IF(C316="",17,_xlfn.XLOOKUP(D316,refs!$A$2:$A$21,refs!$B$2:$B$21,"")))</f>
        <v>17</v>
      </c>
      <c r="L316" t="str">
        <f>"PASSTHROUGH|"&amp;A316&amp;"^^/ s /io.in."&amp;B316&amp;".mute="&amp;E316&amp;",mode="&amp;F316&amp;",icon="&amp;G316&amp;",pol="&amp;H316&amp;",vph="&amp;I316&amp;",name="&amp;J316&amp;",col="&amp;K316&amp;","</f>
        <v>PASSTHROUGH|WING1^^/ s /io.in.CRD.59.mute=0,mode=M,icon=0,pol=0,vph=,name=CRD.59,col=17,</v>
      </c>
    </row>
    <row r="317" spans="1:12" ht="15.75" x14ac:dyDescent="0.25">
      <c r="A317" s="1" t="s">
        <v>66</v>
      </c>
      <c r="B317" s="6" t="s">
        <v>357</v>
      </c>
      <c r="C317" s="12"/>
      <c r="D317" s="4"/>
      <c r="E317" s="4">
        <v>0</v>
      </c>
      <c r="F317" s="4" t="s">
        <v>71</v>
      </c>
      <c r="G317" s="4">
        <v>0</v>
      </c>
      <c r="H317" s="4">
        <v>0</v>
      </c>
      <c r="I317" s="15"/>
      <c r="J317" s="9" t="str">
        <f t="shared" si="4"/>
        <v>CRD.60</v>
      </c>
      <c r="K317" s="10">
        <f>IF(D317="",17,IF(C317="",17,_xlfn.XLOOKUP(D317,refs!$A$2:$A$21,refs!$B$2:$B$21,"")))</f>
        <v>17</v>
      </c>
      <c r="L317" t="str">
        <f>"PASSTHROUGH|"&amp;A317&amp;"^^/ s /io.in."&amp;B317&amp;".mute="&amp;E317&amp;",mode="&amp;F317&amp;",icon="&amp;G317&amp;",pol="&amp;H317&amp;",vph="&amp;I317&amp;",name="&amp;J317&amp;",col="&amp;K317&amp;","</f>
        <v>PASSTHROUGH|WING1^^/ s /io.in.CRD.60.mute=0,mode=M,icon=0,pol=0,vph=,name=CRD.60,col=17,</v>
      </c>
    </row>
    <row r="318" spans="1:12" ht="15.75" x14ac:dyDescent="0.25">
      <c r="A318" s="1" t="s">
        <v>66</v>
      </c>
      <c r="B318" s="6" t="s">
        <v>358</v>
      </c>
      <c r="C318" s="12"/>
      <c r="D318" s="4"/>
      <c r="E318" s="4">
        <v>0</v>
      </c>
      <c r="F318" s="4" t="s">
        <v>71</v>
      </c>
      <c r="G318" s="4">
        <v>0</v>
      </c>
      <c r="H318" s="4">
        <v>0</v>
      </c>
      <c r="I318" s="15"/>
      <c r="J318" s="9" t="str">
        <f t="shared" si="4"/>
        <v>CRD.61</v>
      </c>
      <c r="K318" s="10">
        <f>IF(D318="",17,IF(C318="",17,_xlfn.XLOOKUP(D318,refs!$A$2:$A$21,refs!$B$2:$B$21,"")))</f>
        <v>17</v>
      </c>
      <c r="L318" t="str">
        <f>"PASSTHROUGH|"&amp;A318&amp;"^^/ s /io.in."&amp;B318&amp;".mute="&amp;E318&amp;",mode="&amp;F318&amp;",icon="&amp;G318&amp;",pol="&amp;H318&amp;",vph="&amp;I318&amp;",name="&amp;J318&amp;",col="&amp;K318&amp;","</f>
        <v>PASSTHROUGH|WING1^^/ s /io.in.CRD.61.mute=0,mode=M,icon=0,pol=0,vph=,name=CRD.61,col=17,</v>
      </c>
    </row>
    <row r="319" spans="1:12" ht="15.75" x14ac:dyDescent="0.25">
      <c r="A319" s="1" t="s">
        <v>66</v>
      </c>
      <c r="B319" s="6" t="s">
        <v>359</v>
      </c>
      <c r="C319" s="12"/>
      <c r="D319" s="4"/>
      <c r="E319" s="4">
        <v>0</v>
      </c>
      <c r="F319" s="4" t="s">
        <v>71</v>
      </c>
      <c r="G319" s="4">
        <v>0</v>
      </c>
      <c r="H319" s="4">
        <v>0</v>
      </c>
      <c r="I319" s="15"/>
      <c r="J319" s="9" t="str">
        <f t="shared" si="4"/>
        <v>CRD.62</v>
      </c>
      <c r="K319" s="10">
        <f>IF(D319="",17,IF(C319="",17,_xlfn.XLOOKUP(D319,refs!$A$2:$A$21,refs!$B$2:$B$21,"")))</f>
        <v>17</v>
      </c>
      <c r="L319" t="str">
        <f>"PASSTHROUGH|"&amp;A319&amp;"^^/ s /io.in."&amp;B319&amp;".mute="&amp;E319&amp;",mode="&amp;F319&amp;",icon="&amp;G319&amp;",pol="&amp;H319&amp;",vph="&amp;I319&amp;",name="&amp;J319&amp;",col="&amp;K319&amp;","</f>
        <v>PASSTHROUGH|WING1^^/ s /io.in.CRD.62.mute=0,mode=M,icon=0,pol=0,vph=,name=CRD.62,col=17,</v>
      </c>
    </row>
    <row r="320" spans="1:12" ht="15.75" x14ac:dyDescent="0.25">
      <c r="A320" s="1" t="s">
        <v>66</v>
      </c>
      <c r="B320" s="6" t="s">
        <v>360</v>
      </c>
      <c r="C320" s="12"/>
      <c r="D320" s="4"/>
      <c r="E320" s="4">
        <v>0</v>
      </c>
      <c r="F320" s="4" t="s">
        <v>71</v>
      </c>
      <c r="G320" s="4">
        <v>0</v>
      </c>
      <c r="H320" s="4">
        <v>0</v>
      </c>
      <c r="I320" s="15"/>
      <c r="J320" s="9" t="str">
        <f t="shared" si="4"/>
        <v>CRD.63</v>
      </c>
      <c r="K320" s="10">
        <f>IF(D320="",17,IF(C320="",17,_xlfn.XLOOKUP(D320,refs!$A$2:$A$21,refs!$B$2:$B$21,"")))</f>
        <v>17</v>
      </c>
      <c r="L320" t="str">
        <f>"PASSTHROUGH|"&amp;A320&amp;"^^/ s /io.in."&amp;B320&amp;".mute="&amp;E320&amp;",mode="&amp;F320&amp;",icon="&amp;G320&amp;",pol="&amp;H320&amp;",vph="&amp;I320&amp;",name="&amp;J320&amp;",col="&amp;K320&amp;","</f>
        <v>PASSTHROUGH|WING1^^/ s /io.in.CRD.63.mute=0,mode=M,icon=0,pol=0,vph=,name=CRD.63,col=17,</v>
      </c>
    </row>
    <row r="321" spans="1:12" ht="15.75" x14ac:dyDescent="0.25">
      <c r="A321" s="1" t="s">
        <v>66</v>
      </c>
      <c r="B321" s="6" t="s">
        <v>361</v>
      </c>
      <c r="C321" s="12"/>
      <c r="D321" s="4"/>
      <c r="E321" s="4">
        <v>0</v>
      </c>
      <c r="F321" s="4" t="s">
        <v>71</v>
      </c>
      <c r="G321" s="4">
        <v>0</v>
      </c>
      <c r="H321" s="4">
        <v>0</v>
      </c>
      <c r="I321" s="15"/>
      <c r="J321" s="9" t="str">
        <f t="shared" si="4"/>
        <v>CRD.64</v>
      </c>
      <c r="K321" s="10">
        <f>IF(D321="",17,IF(C321="",17,_xlfn.XLOOKUP(D321,refs!$A$2:$A$21,refs!$B$2:$B$21,"")))</f>
        <v>17</v>
      </c>
      <c r="L321" t="str">
        <f>"PASSTHROUGH|"&amp;A321&amp;"^^/ s /io.in."&amp;B321&amp;".mute="&amp;E321&amp;",mode="&amp;F321&amp;",icon="&amp;G321&amp;",pol="&amp;H321&amp;",vph="&amp;I321&amp;",name="&amp;J321&amp;",col="&amp;K321&amp;","</f>
        <v>PASSTHROUGH|WING1^^/ s /io.in.CRD.64.mute=0,mode=M,icon=0,pol=0,vph=,name=CRD.64,col=17,</v>
      </c>
    </row>
    <row r="322" spans="1:12" ht="15.75" x14ac:dyDescent="0.25">
      <c r="A322" s="1" t="s">
        <v>66</v>
      </c>
      <c r="B322" s="6" t="s">
        <v>362</v>
      </c>
      <c r="C322" s="12"/>
      <c r="D322" s="4"/>
      <c r="E322" s="4">
        <v>0</v>
      </c>
      <c r="F322" s="4" t="s">
        <v>71</v>
      </c>
      <c r="G322" s="4">
        <v>0</v>
      </c>
      <c r="H322" s="4">
        <v>0</v>
      </c>
      <c r="I322" s="15"/>
      <c r="J322" s="9" t="str">
        <f t="shared" ref="J322:J385" si="5">IF(C322="",SUBSTITUTE(B322, "/", "."),LEFT(C322,16))</f>
        <v>MOD.1</v>
      </c>
      <c r="K322" s="10">
        <f>IF(D322="",17,IF(C322="",17,_xlfn.XLOOKUP(D322,refs!$A$2:$A$21,refs!$B$2:$B$21,"")))</f>
        <v>17</v>
      </c>
      <c r="L322" t="str">
        <f>"PASSTHROUGH|"&amp;A322&amp;"^^/ s /io.in."&amp;B322&amp;".mute="&amp;E322&amp;",mode="&amp;F322&amp;",icon="&amp;G322&amp;",pol="&amp;H322&amp;",vph="&amp;I322&amp;",name="&amp;J322&amp;",col="&amp;K322&amp;","</f>
        <v>PASSTHROUGH|WING1^^/ s /io.in.MOD.1.mute=0,mode=M,icon=0,pol=0,vph=,name=MOD.1,col=17,</v>
      </c>
    </row>
    <row r="323" spans="1:12" ht="15.75" x14ac:dyDescent="0.25">
      <c r="A323" s="1" t="s">
        <v>66</v>
      </c>
      <c r="B323" s="6" t="s">
        <v>363</v>
      </c>
      <c r="C323" s="12"/>
      <c r="D323" s="4"/>
      <c r="E323" s="4">
        <v>0</v>
      </c>
      <c r="F323" s="4" t="s">
        <v>71</v>
      </c>
      <c r="G323" s="4">
        <v>0</v>
      </c>
      <c r="H323" s="4">
        <v>0</v>
      </c>
      <c r="I323" s="15"/>
      <c r="J323" s="9" t="str">
        <f t="shared" si="5"/>
        <v>MOD.2</v>
      </c>
      <c r="K323" s="10">
        <f>IF(D323="",17,IF(C323="",17,_xlfn.XLOOKUP(D323,refs!$A$2:$A$21,refs!$B$2:$B$21,"")))</f>
        <v>17</v>
      </c>
      <c r="L323" t="str">
        <f>"PASSTHROUGH|"&amp;A323&amp;"^^/ s /io.in."&amp;B323&amp;".mute="&amp;E323&amp;",mode="&amp;F323&amp;",icon="&amp;G323&amp;",pol="&amp;H323&amp;",vph="&amp;I323&amp;",name="&amp;J323&amp;",col="&amp;K323&amp;","</f>
        <v>PASSTHROUGH|WING1^^/ s /io.in.MOD.2.mute=0,mode=M,icon=0,pol=0,vph=,name=MOD.2,col=17,</v>
      </c>
    </row>
    <row r="324" spans="1:12" ht="15.75" x14ac:dyDescent="0.25">
      <c r="A324" s="1" t="s">
        <v>66</v>
      </c>
      <c r="B324" s="6" t="s">
        <v>364</v>
      </c>
      <c r="C324" s="12"/>
      <c r="D324" s="4"/>
      <c r="E324" s="4">
        <v>0</v>
      </c>
      <c r="F324" s="4" t="s">
        <v>71</v>
      </c>
      <c r="G324" s="4">
        <v>0</v>
      </c>
      <c r="H324" s="4">
        <v>0</v>
      </c>
      <c r="I324" s="15"/>
      <c r="J324" s="9" t="str">
        <f t="shared" si="5"/>
        <v>MOD.3</v>
      </c>
      <c r="K324" s="10">
        <f>IF(D324="",17,IF(C324="",17,_xlfn.XLOOKUP(D324,refs!$A$2:$A$21,refs!$B$2:$B$21,"")))</f>
        <v>17</v>
      </c>
      <c r="L324" t="str">
        <f>"PASSTHROUGH|"&amp;A324&amp;"^^/ s /io.in."&amp;B324&amp;".mute="&amp;E324&amp;",mode="&amp;F324&amp;",icon="&amp;G324&amp;",pol="&amp;H324&amp;",vph="&amp;I324&amp;",name="&amp;J324&amp;",col="&amp;K324&amp;","</f>
        <v>PASSTHROUGH|WING1^^/ s /io.in.MOD.3.mute=0,mode=M,icon=0,pol=0,vph=,name=MOD.3,col=17,</v>
      </c>
    </row>
    <row r="325" spans="1:12" ht="15.75" x14ac:dyDescent="0.25">
      <c r="A325" s="1" t="s">
        <v>66</v>
      </c>
      <c r="B325" s="6" t="s">
        <v>365</v>
      </c>
      <c r="C325" s="12"/>
      <c r="D325" s="4"/>
      <c r="E325" s="4">
        <v>0</v>
      </c>
      <c r="F325" s="4" t="s">
        <v>71</v>
      </c>
      <c r="G325" s="4">
        <v>0</v>
      </c>
      <c r="H325" s="4">
        <v>0</v>
      </c>
      <c r="I325" s="15"/>
      <c r="J325" s="9" t="str">
        <f t="shared" si="5"/>
        <v>MOD.4</v>
      </c>
      <c r="K325" s="10">
        <f>IF(D325="",17,IF(C325="",17,_xlfn.XLOOKUP(D325,refs!$A$2:$A$21,refs!$B$2:$B$21,"")))</f>
        <v>17</v>
      </c>
      <c r="L325" t="str">
        <f>"PASSTHROUGH|"&amp;A325&amp;"^^/ s /io.in."&amp;B325&amp;".mute="&amp;E325&amp;",mode="&amp;F325&amp;",icon="&amp;G325&amp;",pol="&amp;H325&amp;",vph="&amp;I325&amp;",name="&amp;J325&amp;",col="&amp;K325&amp;","</f>
        <v>PASSTHROUGH|WING1^^/ s /io.in.MOD.4.mute=0,mode=M,icon=0,pol=0,vph=,name=MOD.4,col=17,</v>
      </c>
    </row>
    <row r="326" spans="1:12" ht="15.75" x14ac:dyDescent="0.25">
      <c r="A326" s="1" t="s">
        <v>66</v>
      </c>
      <c r="B326" s="6" t="s">
        <v>366</v>
      </c>
      <c r="C326" s="12"/>
      <c r="D326" s="4"/>
      <c r="E326" s="4">
        <v>0</v>
      </c>
      <c r="F326" s="4" t="s">
        <v>71</v>
      </c>
      <c r="G326" s="4">
        <v>0</v>
      </c>
      <c r="H326" s="4">
        <v>0</v>
      </c>
      <c r="I326" s="15"/>
      <c r="J326" s="9" t="str">
        <f t="shared" si="5"/>
        <v>MOD.5</v>
      </c>
      <c r="K326" s="10">
        <f>IF(D326="",17,IF(C326="",17,_xlfn.XLOOKUP(D326,refs!$A$2:$A$21,refs!$B$2:$B$21,"")))</f>
        <v>17</v>
      </c>
      <c r="L326" t="str">
        <f>"PASSTHROUGH|"&amp;A326&amp;"^^/ s /io.in."&amp;B326&amp;".mute="&amp;E326&amp;",mode="&amp;F326&amp;",icon="&amp;G326&amp;",pol="&amp;H326&amp;",vph="&amp;I326&amp;",name="&amp;J326&amp;",col="&amp;K326&amp;","</f>
        <v>PASSTHROUGH|WING1^^/ s /io.in.MOD.5.mute=0,mode=M,icon=0,pol=0,vph=,name=MOD.5,col=17,</v>
      </c>
    </row>
    <row r="327" spans="1:12" ht="15.75" x14ac:dyDescent="0.25">
      <c r="A327" s="1" t="s">
        <v>66</v>
      </c>
      <c r="B327" s="6" t="s">
        <v>367</v>
      </c>
      <c r="C327" s="12"/>
      <c r="D327" s="4"/>
      <c r="E327" s="4">
        <v>0</v>
      </c>
      <c r="F327" s="4" t="s">
        <v>71</v>
      </c>
      <c r="G327" s="4">
        <v>0</v>
      </c>
      <c r="H327" s="4">
        <v>0</v>
      </c>
      <c r="I327" s="15"/>
      <c r="J327" s="9" t="str">
        <f t="shared" si="5"/>
        <v>MOD.6</v>
      </c>
      <c r="K327" s="10">
        <f>IF(D327="",17,IF(C327="",17,_xlfn.XLOOKUP(D327,refs!$A$2:$A$21,refs!$B$2:$B$21,"")))</f>
        <v>17</v>
      </c>
      <c r="L327" t="str">
        <f>"PASSTHROUGH|"&amp;A327&amp;"^^/ s /io.in."&amp;B327&amp;".mute="&amp;E327&amp;",mode="&amp;F327&amp;",icon="&amp;G327&amp;",pol="&amp;H327&amp;",vph="&amp;I327&amp;",name="&amp;J327&amp;",col="&amp;K327&amp;","</f>
        <v>PASSTHROUGH|WING1^^/ s /io.in.MOD.6.mute=0,mode=M,icon=0,pol=0,vph=,name=MOD.6,col=17,</v>
      </c>
    </row>
    <row r="328" spans="1:12" ht="15.75" x14ac:dyDescent="0.25">
      <c r="A328" s="1" t="s">
        <v>66</v>
      </c>
      <c r="B328" s="6" t="s">
        <v>368</v>
      </c>
      <c r="C328" s="12"/>
      <c r="D328" s="4"/>
      <c r="E328" s="4">
        <v>0</v>
      </c>
      <c r="F328" s="4" t="s">
        <v>71</v>
      </c>
      <c r="G328" s="4">
        <v>0</v>
      </c>
      <c r="H328" s="4">
        <v>0</v>
      </c>
      <c r="I328" s="15"/>
      <c r="J328" s="9" t="str">
        <f t="shared" si="5"/>
        <v>MOD.7</v>
      </c>
      <c r="K328" s="10">
        <f>IF(D328="",17,IF(C328="",17,_xlfn.XLOOKUP(D328,refs!$A$2:$A$21,refs!$B$2:$B$21,"")))</f>
        <v>17</v>
      </c>
      <c r="L328" t="str">
        <f>"PASSTHROUGH|"&amp;A328&amp;"^^/ s /io.in."&amp;B328&amp;".mute="&amp;E328&amp;",mode="&amp;F328&amp;",icon="&amp;G328&amp;",pol="&amp;H328&amp;",vph="&amp;I328&amp;",name="&amp;J328&amp;",col="&amp;K328&amp;","</f>
        <v>PASSTHROUGH|WING1^^/ s /io.in.MOD.7.mute=0,mode=M,icon=0,pol=0,vph=,name=MOD.7,col=17,</v>
      </c>
    </row>
    <row r="329" spans="1:12" ht="15.75" x14ac:dyDescent="0.25">
      <c r="A329" s="1" t="s">
        <v>66</v>
      </c>
      <c r="B329" s="6" t="s">
        <v>369</v>
      </c>
      <c r="C329" s="12"/>
      <c r="D329" s="4"/>
      <c r="E329" s="4">
        <v>0</v>
      </c>
      <c r="F329" s="4" t="s">
        <v>71</v>
      </c>
      <c r="G329" s="4">
        <v>0</v>
      </c>
      <c r="H329" s="4">
        <v>0</v>
      </c>
      <c r="I329" s="15"/>
      <c r="J329" s="9" t="str">
        <f t="shared" si="5"/>
        <v>MOD.8</v>
      </c>
      <c r="K329" s="10">
        <f>IF(D329="",17,IF(C329="",17,_xlfn.XLOOKUP(D329,refs!$A$2:$A$21,refs!$B$2:$B$21,"")))</f>
        <v>17</v>
      </c>
      <c r="L329" t="str">
        <f>"PASSTHROUGH|"&amp;A329&amp;"^^/ s /io.in."&amp;B329&amp;".mute="&amp;E329&amp;",mode="&amp;F329&amp;",icon="&amp;G329&amp;",pol="&amp;H329&amp;",vph="&amp;I329&amp;",name="&amp;J329&amp;",col="&amp;K329&amp;","</f>
        <v>PASSTHROUGH|WING1^^/ s /io.in.MOD.8.mute=0,mode=M,icon=0,pol=0,vph=,name=MOD.8,col=17,</v>
      </c>
    </row>
    <row r="330" spans="1:12" ht="15.75" x14ac:dyDescent="0.25">
      <c r="A330" s="1" t="s">
        <v>66</v>
      </c>
      <c r="B330" s="6" t="s">
        <v>370</v>
      </c>
      <c r="C330" s="12"/>
      <c r="D330" s="4"/>
      <c r="E330" s="4">
        <v>0</v>
      </c>
      <c r="F330" s="4" t="s">
        <v>71</v>
      </c>
      <c r="G330" s="4">
        <v>0</v>
      </c>
      <c r="H330" s="4">
        <v>0</v>
      </c>
      <c r="I330" s="15"/>
      <c r="J330" s="9" t="str">
        <f t="shared" si="5"/>
        <v>MOD.9</v>
      </c>
      <c r="K330" s="10">
        <f>IF(D330="",17,IF(C330="",17,_xlfn.XLOOKUP(D330,refs!$A$2:$A$21,refs!$B$2:$B$21,"")))</f>
        <v>17</v>
      </c>
      <c r="L330" t="str">
        <f>"PASSTHROUGH|"&amp;A330&amp;"^^/ s /io.in."&amp;B330&amp;".mute="&amp;E330&amp;",mode="&amp;F330&amp;",icon="&amp;G330&amp;",pol="&amp;H330&amp;",vph="&amp;I330&amp;",name="&amp;J330&amp;",col="&amp;K330&amp;","</f>
        <v>PASSTHROUGH|WING1^^/ s /io.in.MOD.9.mute=0,mode=M,icon=0,pol=0,vph=,name=MOD.9,col=17,</v>
      </c>
    </row>
    <row r="331" spans="1:12" ht="15.75" x14ac:dyDescent="0.25">
      <c r="A331" s="1" t="s">
        <v>66</v>
      </c>
      <c r="B331" s="6" t="s">
        <v>371</v>
      </c>
      <c r="C331" s="12"/>
      <c r="D331" s="4"/>
      <c r="E331" s="4">
        <v>0</v>
      </c>
      <c r="F331" s="4" t="s">
        <v>71</v>
      </c>
      <c r="G331" s="4">
        <v>0</v>
      </c>
      <c r="H331" s="4">
        <v>0</v>
      </c>
      <c r="I331" s="15"/>
      <c r="J331" s="9" t="str">
        <f t="shared" si="5"/>
        <v>MOD.10</v>
      </c>
      <c r="K331" s="10">
        <f>IF(D331="",17,IF(C331="",17,_xlfn.XLOOKUP(D331,refs!$A$2:$A$21,refs!$B$2:$B$21,"")))</f>
        <v>17</v>
      </c>
      <c r="L331" t="str">
        <f>"PASSTHROUGH|"&amp;A331&amp;"^^/ s /io.in."&amp;B331&amp;".mute="&amp;E331&amp;",mode="&amp;F331&amp;",icon="&amp;G331&amp;",pol="&amp;H331&amp;",vph="&amp;I331&amp;",name="&amp;J331&amp;",col="&amp;K331&amp;","</f>
        <v>PASSTHROUGH|WING1^^/ s /io.in.MOD.10.mute=0,mode=M,icon=0,pol=0,vph=,name=MOD.10,col=17,</v>
      </c>
    </row>
    <row r="332" spans="1:12" ht="15.75" x14ac:dyDescent="0.25">
      <c r="A332" s="1" t="s">
        <v>66</v>
      </c>
      <c r="B332" s="6" t="s">
        <v>372</v>
      </c>
      <c r="C332" s="12"/>
      <c r="D332" s="4"/>
      <c r="E332" s="4">
        <v>0</v>
      </c>
      <c r="F332" s="4" t="s">
        <v>71</v>
      </c>
      <c r="G332" s="4">
        <v>0</v>
      </c>
      <c r="H332" s="4">
        <v>0</v>
      </c>
      <c r="I332" s="15"/>
      <c r="J332" s="9" t="str">
        <f t="shared" si="5"/>
        <v>MOD.11</v>
      </c>
      <c r="K332" s="10">
        <f>IF(D332="",17,IF(C332="",17,_xlfn.XLOOKUP(D332,refs!$A$2:$A$21,refs!$B$2:$B$21,"")))</f>
        <v>17</v>
      </c>
      <c r="L332" t="str">
        <f>"PASSTHROUGH|"&amp;A332&amp;"^^/ s /io.in."&amp;B332&amp;".mute="&amp;E332&amp;",mode="&amp;F332&amp;",icon="&amp;G332&amp;",pol="&amp;H332&amp;",vph="&amp;I332&amp;",name="&amp;J332&amp;",col="&amp;K332&amp;","</f>
        <v>PASSTHROUGH|WING1^^/ s /io.in.MOD.11.mute=0,mode=M,icon=0,pol=0,vph=,name=MOD.11,col=17,</v>
      </c>
    </row>
    <row r="333" spans="1:12" ht="15.75" x14ac:dyDescent="0.25">
      <c r="A333" s="1" t="s">
        <v>66</v>
      </c>
      <c r="B333" s="6" t="s">
        <v>373</v>
      </c>
      <c r="C333" s="12"/>
      <c r="D333" s="4"/>
      <c r="E333" s="4">
        <v>0</v>
      </c>
      <c r="F333" s="4" t="s">
        <v>71</v>
      </c>
      <c r="G333" s="4">
        <v>0</v>
      </c>
      <c r="H333" s="4">
        <v>0</v>
      </c>
      <c r="I333" s="15"/>
      <c r="J333" s="9" t="str">
        <f t="shared" si="5"/>
        <v>MOD.12</v>
      </c>
      <c r="K333" s="10">
        <f>IF(D333="",17,IF(C333="",17,_xlfn.XLOOKUP(D333,refs!$A$2:$A$21,refs!$B$2:$B$21,"")))</f>
        <v>17</v>
      </c>
      <c r="L333" t="str">
        <f>"PASSTHROUGH|"&amp;A333&amp;"^^/ s /io.in."&amp;B333&amp;".mute="&amp;E333&amp;",mode="&amp;F333&amp;",icon="&amp;G333&amp;",pol="&amp;H333&amp;",vph="&amp;I333&amp;",name="&amp;J333&amp;",col="&amp;K333&amp;","</f>
        <v>PASSTHROUGH|WING1^^/ s /io.in.MOD.12.mute=0,mode=M,icon=0,pol=0,vph=,name=MOD.12,col=17,</v>
      </c>
    </row>
    <row r="334" spans="1:12" ht="15.75" x14ac:dyDescent="0.25">
      <c r="A334" s="1" t="s">
        <v>66</v>
      </c>
      <c r="B334" s="6" t="s">
        <v>374</v>
      </c>
      <c r="C334" s="12"/>
      <c r="D334" s="4"/>
      <c r="E334" s="4">
        <v>0</v>
      </c>
      <c r="F334" s="4" t="s">
        <v>71</v>
      </c>
      <c r="G334" s="4">
        <v>0</v>
      </c>
      <c r="H334" s="4">
        <v>0</v>
      </c>
      <c r="I334" s="15"/>
      <c r="J334" s="9" t="str">
        <f t="shared" si="5"/>
        <v>MOD.13</v>
      </c>
      <c r="K334" s="10">
        <f>IF(D334="",17,IF(C334="",17,_xlfn.XLOOKUP(D334,refs!$A$2:$A$21,refs!$B$2:$B$21,"")))</f>
        <v>17</v>
      </c>
      <c r="L334" t="str">
        <f>"PASSTHROUGH|"&amp;A334&amp;"^^/ s /io.in."&amp;B334&amp;".mute="&amp;E334&amp;",mode="&amp;F334&amp;",icon="&amp;G334&amp;",pol="&amp;H334&amp;",vph="&amp;I334&amp;",name="&amp;J334&amp;",col="&amp;K334&amp;","</f>
        <v>PASSTHROUGH|WING1^^/ s /io.in.MOD.13.mute=0,mode=M,icon=0,pol=0,vph=,name=MOD.13,col=17,</v>
      </c>
    </row>
    <row r="335" spans="1:12" ht="15.75" x14ac:dyDescent="0.25">
      <c r="A335" s="1" t="s">
        <v>66</v>
      </c>
      <c r="B335" s="6" t="s">
        <v>375</v>
      </c>
      <c r="C335" s="12"/>
      <c r="D335" s="4"/>
      <c r="E335" s="4">
        <v>0</v>
      </c>
      <c r="F335" s="4" t="s">
        <v>71</v>
      </c>
      <c r="G335" s="4">
        <v>0</v>
      </c>
      <c r="H335" s="4">
        <v>0</v>
      </c>
      <c r="I335" s="15"/>
      <c r="J335" s="9" t="str">
        <f t="shared" si="5"/>
        <v>MOD.14</v>
      </c>
      <c r="K335" s="10">
        <f>IF(D335="",17,IF(C335="",17,_xlfn.XLOOKUP(D335,refs!$A$2:$A$21,refs!$B$2:$B$21,"")))</f>
        <v>17</v>
      </c>
      <c r="L335" t="str">
        <f>"PASSTHROUGH|"&amp;A335&amp;"^^/ s /io.in."&amp;B335&amp;".mute="&amp;E335&amp;",mode="&amp;F335&amp;",icon="&amp;G335&amp;",pol="&amp;H335&amp;",vph="&amp;I335&amp;",name="&amp;J335&amp;",col="&amp;K335&amp;","</f>
        <v>PASSTHROUGH|WING1^^/ s /io.in.MOD.14.mute=0,mode=M,icon=0,pol=0,vph=,name=MOD.14,col=17,</v>
      </c>
    </row>
    <row r="336" spans="1:12" ht="15.75" x14ac:dyDescent="0.25">
      <c r="A336" s="1" t="s">
        <v>66</v>
      </c>
      <c r="B336" s="6" t="s">
        <v>376</v>
      </c>
      <c r="C336" s="12"/>
      <c r="D336" s="4"/>
      <c r="E336" s="4">
        <v>0</v>
      </c>
      <c r="F336" s="4" t="s">
        <v>71</v>
      </c>
      <c r="G336" s="4">
        <v>0</v>
      </c>
      <c r="H336" s="4">
        <v>0</v>
      </c>
      <c r="I336" s="15"/>
      <c r="J336" s="9" t="str">
        <f t="shared" si="5"/>
        <v>MOD.15</v>
      </c>
      <c r="K336" s="10">
        <f>IF(D336="",17,IF(C336="",17,_xlfn.XLOOKUP(D336,refs!$A$2:$A$21,refs!$B$2:$B$21,"")))</f>
        <v>17</v>
      </c>
      <c r="L336" t="str">
        <f>"PASSTHROUGH|"&amp;A336&amp;"^^/ s /io.in."&amp;B336&amp;".mute="&amp;E336&amp;",mode="&amp;F336&amp;",icon="&amp;G336&amp;",pol="&amp;H336&amp;",vph="&amp;I336&amp;",name="&amp;J336&amp;",col="&amp;K336&amp;","</f>
        <v>PASSTHROUGH|WING1^^/ s /io.in.MOD.15.mute=0,mode=M,icon=0,pol=0,vph=,name=MOD.15,col=17,</v>
      </c>
    </row>
    <row r="337" spans="1:12" ht="15.75" x14ac:dyDescent="0.25">
      <c r="A337" s="1" t="s">
        <v>66</v>
      </c>
      <c r="B337" s="6" t="s">
        <v>377</v>
      </c>
      <c r="C337" s="12"/>
      <c r="D337" s="4"/>
      <c r="E337" s="4">
        <v>0</v>
      </c>
      <c r="F337" s="4" t="s">
        <v>71</v>
      </c>
      <c r="G337" s="4">
        <v>0</v>
      </c>
      <c r="H337" s="4">
        <v>0</v>
      </c>
      <c r="I337" s="15"/>
      <c r="J337" s="9" t="str">
        <f t="shared" si="5"/>
        <v>MOD.16</v>
      </c>
      <c r="K337" s="10">
        <f>IF(D337="",17,IF(C337="",17,_xlfn.XLOOKUP(D337,refs!$A$2:$A$21,refs!$B$2:$B$21,"")))</f>
        <v>17</v>
      </c>
      <c r="L337" t="str">
        <f>"PASSTHROUGH|"&amp;A337&amp;"^^/ s /io.in."&amp;B337&amp;".mute="&amp;E337&amp;",mode="&amp;F337&amp;",icon="&amp;G337&amp;",pol="&amp;H337&amp;",vph="&amp;I337&amp;",name="&amp;J337&amp;",col="&amp;K337&amp;","</f>
        <v>PASSTHROUGH|WING1^^/ s /io.in.MOD.16.mute=0,mode=M,icon=0,pol=0,vph=,name=MOD.16,col=17,</v>
      </c>
    </row>
    <row r="338" spans="1:12" ht="15.75" x14ac:dyDescent="0.25">
      <c r="A338" s="1" t="s">
        <v>66</v>
      </c>
      <c r="B338" s="6" t="s">
        <v>378</v>
      </c>
      <c r="C338" s="12"/>
      <c r="D338" s="4"/>
      <c r="E338" s="4">
        <v>0</v>
      </c>
      <c r="F338" s="4" t="s">
        <v>71</v>
      </c>
      <c r="G338" s="4">
        <v>0</v>
      </c>
      <c r="H338" s="4">
        <v>0</v>
      </c>
      <c r="I338" s="15"/>
      <c r="J338" s="9" t="str">
        <f t="shared" si="5"/>
        <v>MOD.17</v>
      </c>
      <c r="K338" s="10">
        <f>IF(D338="",17,IF(C338="",17,_xlfn.XLOOKUP(D338,refs!$A$2:$A$21,refs!$B$2:$B$21,"")))</f>
        <v>17</v>
      </c>
      <c r="L338" t="str">
        <f>"PASSTHROUGH|"&amp;A338&amp;"^^/ s /io.in."&amp;B338&amp;".mute="&amp;E338&amp;",mode="&amp;F338&amp;",icon="&amp;G338&amp;",pol="&amp;H338&amp;",vph="&amp;I338&amp;",name="&amp;J338&amp;",col="&amp;K338&amp;","</f>
        <v>PASSTHROUGH|WING1^^/ s /io.in.MOD.17.mute=0,mode=M,icon=0,pol=0,vph=,name=MOD.17,col=17,</v>
      </c>
    </row>
    <row r="339" spans="1:12" ht="15.75" x14ac:dyDescent="0.25">
      <c r="A339" s="1" t="s">
        <v>66</v>
      </c>
      <c r="B339" s="6" t="s">
        <v>379</v>
      </c>
      <c r="C339" s="12"/>
      <c r="D339" s="4"/>
      <c r="E339" s="4">
        <v>0</v>
      </c>
      <c r="F339" s="4" t="s">
        <v>71</v>
      </c>
      <c r="G339" s="4">
        <v>0</v>
      </c>
      <c r="H339" s="4">
        <v>0</v>
      </c>
      <c r="I339" s="15"/>
      <c r="J339" s="9" t="str">
        <f t="shared" si="5"/>
        <v>MOD.18</v>
      </c>
      <c r="K339" s="10">
        <f>IF(D339="",17,IF(C339="",17,_xlfn.XLOOKUP(D339,refs!$A$2:$A$21,refs!$B$2:$B$21,"")))</f>
        <v>17</v>
      </c>
      <c r="L339" t="str">
        <f>"PASSTHROUGH|"&amp;A339&amp;"^^/ s /io.in."&amp;B339&amp;".mute="&amp;E339&amp;",mode="&amp;F339&amp;",icon="&amp;G339&amp;",pol="&amp;H339&amp;",vph="&amp;I339&amp;",name="&amp;J339&amp;",col="&amp;K339&amp;","</f>
        <v>PASSTHROUGH|WING1^^/ s /io.in.MOD.18.mute=0,mode=M,icon=0,pol=0,vph=,name=MOD.18,col=17,</v>
      </c>
    </row>
    <row r="340" spans="1:12" ht="15.75" x14ac:dyDescent="0.25">
      <c r="A340" s="1" t="s">
        <v>66</v>
      </c>
      <c r="B340" s="6" t="s">
        <v>380</v>
      </c>
      <c r="C340" s="12"/>
      <c r="D340" s="4"/>
      <c r="E340" s="4">
        <v>0</v>
      </c>
      <c r="F340" s="4" t="s">
        <v>71</v>
      </c>
      <c r="G340" s="4">
        <v>0</v>
      </c>
      <c r="H340" s="4">
        <v>0</v>
      </c>
      <c r="I340" s="15"/>
      <c r="J340" s="9" t="str">
        <f t="shared" si="5"/>
        <v>MOD.19</v>
      </c>
      <c r="K340" s="10">
        <f>IF(D340="",17,IF(C340="",17,_xlfn.XLOOKUP(D340,refs!$A$2:$A$21,refs!$B$2:$B$21,"")))</f>
        <v>17</v>
      </c>
      <c r="L340" t="str">
        <f>"PASSTHROUGH|"&amp;A340&amp;"^^/ s /io.in."&amp;B340&amp;".mute="&amp;E340&amp;",mode="&amp;F340&amp;",icon="&amp;G340&amp;",pol="&amp;H340&amp;",vph="&amp;I340&amp;",name="&amp;J340&amp;",col="&amp;K340&amp;","</f>
        <v>PASSTHROUGH|WING1^^/ s /io.in.MOD.19.mute=0,mode=M,icon=0,pol=0,vph=,name=MOD.19,col=17,</v>
      </c>
    </row>
    <row r="341" spans="1:12" ht="15.75" x14ac:dyDescent="0.25">
      <c r="A341" s="1" t="s">
        <v>66</v>
      </c>
      <c r="B341" s="6" t="s">
        <v>381</v>
      </c>
      <c r="C341" s="12"/>
      <c r="D341" s="4"/>
      <c r="E341" s="4">
        <v>0</v>
      </c>
      <c r="F341" s="4" t="s">
        <v>71</v>
      </c>
      <c r="G341" s="4">
        <v>0</v>
      </c>
      <c r="H341" s="4">
        <v>0</v>
      </c>
      <c r="I341" s="15"/>
      <c r="J341" s="9" t="str">
        <f t="shared" si="5"/>
        <v>MOD.20</v>
      </c>
      <c r="K341" s="10">
        <f>IF(D341="",17,IF(C341="",17,_xlfn.XLOOKUP(D341,refs!$A$2:$A$21,refs!$B$2:$B$21,"")))</f>
        <v>17</v>
      </c>
      <c r="L341" t="str">
        <f>"PASSTHROUGH|"&amp;A341&amp;"^^/ s /io.in."&amp;B341&amp;".mute="&amp;E341&amp;",mode="&amp;F341&amp;",icon="&amp;G341&amp;",pol="&amp;H341&amp;",vph="&amp;I341&amp;",name="&amp;J341&amp;",col="&amp;K341&amp;","</f>
        <v>PASSTHROUGH|WING1^^/ s /io.in.MOD.20.mute=0,mode=M,icon=0,pol=0,vph=,name=MOD.20,col=17,</v>
      </c>
    </row>
    <row r="342" spans="1:12" ht="15.75" x14ac:dyDescent="0.25">
      <c r="A342" s="1" t="s">
        <v>66</v>
      </c>
      <c r="B342" s="6" t="s">
        <v>382</v>
      </c>
      <c r="C342" s="12"/>
      <c r="D342" s="4"/>
      <c r="E342" s="4">
        <v>0</v>
      </c>
      <c r="F342" s="4" t="s">
        <v>71</v>
      </c>
      <c r="G342" s="4">
        <v>0</v>
      </c>
      <c r="H342" s="4">
        <v>0</v>
      </c>
      <c r="I342" s="15"/>
      <c r="J342" s="9" t="str">
        <f t="shared" si="5"/>
        <v>MOD.21</v>
      </c>
      <c r="K342" s="10">
        <f>IF(D342="",17,IF(C342="",17,_xlfn.XLOOKUP(D342,refs!$A$2:$A$21,refs!$B$2:$B$21,"")))</f>
        <v>17</v>
      </c>
      <c r="L342" t="str">
        <f>"PASSTHROUGH|"&amp;A342&amp;"^^/ s /io.in."&amp;B342&amp;".mute="&amp;E342&amp;",mode="&amp;F342&amp;",icon="&amp;G342&amp;",pol="&amp;H342&amp;",vph="&amp;I342&amp;",name="&amp;J342&amp;",col="&amp;K342&amp;","</f>
        <v>PASSTHROUGH|WING1^^/ s /io.in.MOD.21.mute=0,mode=M,icon=0,pol=0,vph=,name=MOD.21,col=17,</v>
      </c>
    </row>
    <row r="343" spans="1:12" ht="15.75" x14ac:dyDescent="0.25">
      <c r="A343" s="1" t="s">
        <v>66</v>
      </c>
      <c r="B343" s="6" t="s">
        <v>383</v>
      </c>
      <c r="C343" s="12"/>
      <c r="D343" s="4"/>
      <c r="E343" s="4">
        <v>0</v>
      </c>
      <c r="F343" s="4" t="s">
        <v>71</v>
      </c>
      <c r="G343" s="4">
        <v>0</v>
      </c>
      <c r="H343" s="4">
        <v>0</v>
      </c>
      <c r="I343" s="15"/>
      <c r="J343" s="9" t="str">
        <f t="shared" si="5"/>
        <v>MOD.22</v>
      </c>
      <c r="K343" s="10">
        <f>IF(D343="",17,IF(C343="",17,_xlfn.XLOOKUP(D343,refs!$A$2:$A$21,refs!$B$2:$B$21,"")))</f>
        <v>17</v>
      </c>
      <c r="L343" t="str">
        <f>"PASSTHROUGH|"&amp;A343&amp;"^^/ s /io.in."&amp;B343&amp;".mute="&amp;E343&amp;",mode="&amp;F343&amp;",icon="&amp;G343&amp;",pol="&amp;H343&amp;",vph="&amp;I343&amp;",name="&amp;J343&amp;",col="&amp;K343&amp;","</f>
        <v>PASSTHROUGH|WING1^^/ s /io.in.MOD.22.mute=0,mode=M,icon=0,pol=0,vph=,name=MOD.22,col=17,</v>
      </c>
    </row>
    <row r="344" spans="1:12" ht="15.75" x14ac:dyDescent="0.25">
      <c r="A344" s="1" t="s">
        <v>66</v>
      </c>
      <c r="B344" s="6" t="s">
        <v>384</v>
      </c>
      <c r="C344" s="12"/>
      <c r="D344" s="4"/>
      <c r="E344" s="4">
        <v>0</v>
      </c>
      <c r="F344" s="4" t="s">
        <v>71</v>
      </c>
      <c r="G344" s="4">
        <v>0</v>
      </c>
      <c r="H344" s="4">
        <v>0</v>
      </c>
      <c r="I344" s="15"/>
      <c r="J344" s="9" t="str">
        <f t="shared" si="5"/>
        <v>MOD.23</v>
      </c>
      <c r="K344" s="10">
        <f>IF(D344="",17,IF(C344="",17,_xlfn.XLOOKUP(D344,refs!$A$2:$A$21,refs!$B$2:$B$21,"")))</f>
        <v>17</v>
      </c>
      <c r="L344" t="str">
        <f>"PASSTHROUGH|"&amp;A344&amp;"^^/ s /io.in."&amp;B344&amp;".mute="&amp;E344&amp;",mode="&amp;F344&amp;",icon="&amp;G344&amp;",pol="&amp;H344&amp;",vph="&amp;I344&amp;",name="&amp;J344&amp;",col="&amp;K344&amp;","</f>
        <v>PASSTHROUGH|WING1^^/ s /io.in.MOD.23.mute=0,mode=M,icon=0,pol=0,vph=,name=MOD.23,col=17,</v>
      </c>
    </row>
    <row r="345" spans="1:12" ht="15.75" x14ac:dyDescent="0.25">
      <c r="A345" s="1" t="s">
        <v>66</v>
      </c>
      <c r="B345" s="6" t="s">
        <v>385</v>
      </c>
      <c r="C345" s="12"/>
      <c r="D345" s="4"/>
      <c r="E345" s="4">
        <v>0</v>
      </c>
      <c r="F345" s="4" t="s">
        <v>71</v>
      </c>
      <c r="G345" s="4">
        <v>0</v>
      </c>
      <c r="H345" s="4">
        <v>0</v>
      </c>
      <c r="I345" s="15"/>
      <c r="J345" s="9" t="str">
        <f t="shared" si="5"/>
        <v>MOD.24</v>
      </c>
      <c r="K345" s="10">
        <f>IF(D345="",17,IF(C345="",17,_xlfn.XLOOKUP(D345,refs!$A$2:$A$21,refs!$B$2:$B$21,"")))</f>
        <v>17</v>
      </c>
      <c r="L345" t="str">
        <f>"PASSTHROUGH|"&amp;A345&amp;"^^/ s /io.in."&amp;B345&amp;".mute="&amp;E345&amp;",mode="&amp;F345&amp;",icon="&amp;G345&amp;",pol="&amp;H345&amp;",vph="&amp;I345&amp;",name="&amp;J345&amp;",col="&amp;K345&amp;","</f>
        <v>PASSTHROUGH|WING1^^/ s /io.in.MOD.24.mute=0,mode=M,icon=0,pol=0,vph=,name=MOD.24,col=17,</v>
      </c>
    </row>
    <row r="346" spans="1:12" ht="15.75" x14ac:dyDescent="0.25">
      <c r="A346" s="1" t="s">
        <v>66</v>
      </c>
      <c r="B346" s="6" t="s">
        <v>386</v>
      </c>
      <c r="C346" s="12"/>
      <c r="D346" s="4"/>
      <c r="E346" s="4">
        <v>0</v>
      </c>
      <c r="F346" s="4" t="s">
        <v>71</v>
      </c>
      <c r="G346" s="4">
        <v>0</v>
      </c>
      <c r="H346" s="4">
        <v>0</v>
      </c>
      <c r="I346" s="15"/>
      <c r="J346" s="9" t="str">
        <f t="shared" si="5"/>
        <v>MOD.25</v>
      </c>
      <c r="K346" s="10">
        <f>IF(D346="",17,IF(C346="",17,_xlfn.XLOOKUP(D346,refs!$A$2:$A$21,refs!$B$2:$B$21,"")))</f>
        <v>17</v>
      </c>
      <c r="L346" t="str">
        <f>"PASSTHROUGH|"&amp;A346&amp;"^^/ s /io.in."&amp;B346&amp;".mute="&amp;E346&amp;",mode="&amp;F346&amp;",icon="&amp;G346&amp;",pol="&amp;H346&amp;",vph="&amp;I346&amp;",name="&amp;J346&amp;",col="&amp;K346&amp;","</f>
        <v>PASSTHROUGH|WING1^^/ s /io.in.MOD.25.mute=0,mode=M,icon=0,pol=0,vph=,name=MOD.25,col=17,</v>
      </c>
    </row>
    <row r="347" spans="1:12" ht="15.75" x14ac:dyDescent="0.25">
      <c r="A347" s="1" t="s">
        <v>66</v>
      </c>
      <c r="B347" s="6" t="s">
        <v>387</v>
      </c>
      <c r="C347" s="12"/>
      <c r="D347" s="4"/>
      <c r="E347" s="4">
        <v>0</v>
      </c>
      <c r="F347" s="4" t="s">
        <v>71</v>
      </c>
      <c r="G347" s="4">
        <v>0</v>
      </c>
      <c r="H347" s="4">
        <v>0</v>
      </c>
      <c r="I347" s="15"/>
      <c r="J347" s="9" t="str">
        <f t="shared" si="5"/>
        <v>MOD.26</v>
      </c>
      <c r="K347" s="10">
        <f>IF(D347="",17,IF(C347="",17,_xlfn.XLOOKUP(D347,refs!$A$2:$A$21,refs!$B$2:$B$21,"")))</f>
        <v>17</v>
      </c>
      <c r="L347" t="str">
        <f>"PASSTHROUGH|"&amp;A347&amp;"^^/ s /io.in."&amp;B347&amp;".mute="&amp;E347&amp;",mode="&amp;F347&amp;",icon="&amp;G347&amp;",pol="&amp;H347&amp;",vph="&amp;I347&amp;",name="&amp;J347&amp;",col="&amp;K347&amp;","</f>
        <v>PASSTHROUGH|WING1^^/ s /io.in.MOD.26.mute=0,mode=M,icon=0,pol=0,vph=,name=MOD.26,col=17,</v>
      </c>
    </row>
    <row r="348" spans="1:12" ht="15.75" x14ac:dyDescent="0.25">
      <c r="A348" s="1" t="s">
        <v>66</v>
      </c>
      <c r="B348" s="6" t="s">
        <v>388</v>
      </c>
      <c r="C348" s="12"/>
      <c r="D348" s="4"/>
      <c r="E348" s="4">
        <v>0</v>
      </c>
      <c r="F348" s="4" t="s">
        <v>71</v>
      </c>
      <c r="G348" s="4">
        <v>0</v>
      </c>
      <c r="H348" s="4">
        <v>0</v>
      </c>
      <c r="I348" s="15"/>
      <c r="J348" s="9" t="str">
        <f t="shared" si="5"/>
        <v>MOD.27</v>
      </c>
      <c r="K348" s="10">
        <f>IF(D348="",17,IF(C348="",17,_xlfn.XLOOKUP(D348,refs!$A$2:$A$21,refs!$B$2:$B$21,"")))</f>
        <v>17</v>
      </c>
      <c r="L348" t="str">
        <f>"PASSTHROUGH|"&amp;A348&amp;"^^/ s /io.in."&amp;B348&amp;".mute="&amp;E348&amp;",mode="&amp;F348&amp;",icon="&amp;G348&amp;",pol="&amp;H348&amp;",vph="&amp;I348&amp;",name="&amp;J348&amp;",col="&amp;K348&amp;","</f>
        <v>PASSTHROUGH|WING1^^/ s /io.in.MOD.27.mute=0,mode=M,icon=0,pol=0,vph=,name=MOD.27,col=17,</v>
      </c>
    </row>
    <row r="349" spans="1:12" ht="15.75" x14ac:dyDescent="0.25">
      <c r="A349" s="1" t="s">
        <v>66</v>
      </c>
      <c r="B349" s="6" t="s">
        <v>389</v>
      </c>
      <c r="C349" s="12"/>
      <c r="D349" s="4"/>
      <c r="E349" s="4">
        <v>0</v>
      </c>
      <c r="F349" s="4" t="s">
        <v>71</v>
      </c>
      <c r="G349" s="4">
        <v>0</v>
      </c>
      <c r="H349" s="4">
        <v>0</v>
      </c>
      <c r="I349" s="15"/>
      <c r="J349" s="9" t="str">
        <f t="shared" si="5"/>
        <v>MOD.28</v>
      </c>
      <c r="K349" s="10">
        <f>IF(D349="",17,IF(C349="",17,_xlfn.XLOOKUP(D349,refs!$A$2:$A$21,refs!$B$2:$B$21,"")))</f>
        <v>17</v>
      </c>
      <c r="L349" t="str">
        <f>"PASSTHROUGH|"&amp;A349&amp;"^^/ s /io.in."&amp;B349&amp;".mute="&amp;E349&amp;",mode="&amp;F349&amp;",icon="&amp;G349&amp;",pol="&amp;H349&amp;",vph="&amp;I349&amp;",name="&amp;J349&amp;",col="&amp;K349&amp;","</f>
        <v>PASSTHROUGH|WING1^^/ s /io.in.MOD.28.mute=0,mode=M,icon=0,pol=0,vph=,name=MOD.28,col=17,</v>
      </c>
    </row>
    <row r="350" spans="1:12" ht="15.75" x14ac:dyDescent="0.25">
      <c r="A350" s="1" t="s">
        <v>66</v>
      </c>
      <c r="B350" s="6" t="s">
        <v>390</v>
      </c>
      <c r="C350" s="12"/>
      <c r="D350" s="4"/>
      <c r="E350" s="4">
        <v>0</v>
      </c>
      <c r="F350" s="4" t="s">
        <v>71</v>
      </c>
      <c r="G350" s="4">
        <v>0</v>
      </c>
      <c r="H350" s="4">
        <v>0</v>
      </c>
      <c r="I350" s="15"/>
      <c r="J350" s="9" t="str">
        <f t="shared" si="5"/>
        <v>MOD.29</v>
      </c>
      <c r="K350" s="10">
        <f>IF(D350="",17,IF(C350="",17,_xlfn.XLOOKUP(D350,refs!$A$2:$A$21,refs!$B$2:$B$21,"")))</f>
        <v>17</v>
      </c>
      <c r="L350" t="str">
        <f>"PASSTHROUGH|"&amp;A350&amp;"^^/ s /io.in."&amp;B350&amp;".mute="&amp;E350&amp;",mode="&amp;F350&amp;",icon="&amp;G350&amp;",pol="&amp;H350&amp;",vph="&amp;I350&amp;",name="&amp;J350&amp;",col="&amp;K350&amp;","</f>
        <v>PASSTHROUGH|WING1^^/ s /io.in.MOD.29.mute=0,mode=M,icon=0,pol=0,vph=,name=MOD.29,col=17,</v>
      </c>
    </row>
    <row r="351" spans="1:12" ht="15.75" x14ac:dyDescent="0.25">
      <c r="A351" s="1" t="s">
        <v>66</v>
      </c>
      <c r="B351" s="6" t="s">
        <v>391</v>
      </c>
      <c r="C351" s="12"/>
      <c r="D351" s="4"/>
      <c r="E351" s="4">
        <v>0</v>
      </c>
      <c r="F351" s="4" t="s">
        <v>71</v>
      </c>
      <c r="G351" s="4">
        <v>0</v>
      </c>
      <c r="H351" s="4">
        <v>0</v>
      </c>
      <c r="I351" s="15"/>
      <c r="J351" s="9" t="str">
        <f t="shared" si="5"/>
        <v>MOD.30</v>
      </c>
      <c r="K351" s="10">
        <f>IF(D351="",17,IF(C351="",17,_xlfn.XLOOKUP(D351,refs!$A$2:$A$21,refs!$B$2:$B$21,"")))</f>
        <v>17</v>
      </c>
      <c r="L351" t="str">
        <f>"PASSTHROUGH|"&amp;A351&amp;"^^/ s /io.in."&amp;B351&amp;".mute="&amp;E351&amp;",mode="&amp;F351&amp;",icon="&amp;G351&amp;",pol="&amp;H351&amp;",vph="&amp;I351&amp;",name="&amp;J351&amp;",col="&amp;K351&amp;","</f>
        <v>PASSTHROUGH|WING1^^/ s /io.in.MOD.30.mute=0,mode=M,icon=0,pol=0,vph=,name=MOD.30,col=17,</v>
      </c>
    </row>
    <row r="352" spans="1:12" ht="15.75" x14ac:dyDescent="0.25">
      <c r="A352" s="1" t="s">
        <v>66</v>
      </c>
      <c r="B352" s="6" t="s">
        <v>392</v>
      </c>
      <c r="C352" s="12"/>
      <c r="D352" s="4"/>
      <c r="E352" s="4">
        <v>0</v>
      </c>
      <c r="F352" s="4" t="s">
        <v>71</v>
      </c>
      <c r="G352" s="4">
        <v>0</v>
      </c>
      <c r="H352" s="4">
        <v>0</v>
      </c>
      <c r="I352" s="15"/>
      <c r="J352" s="9" t="str">
        <f t="shared" si="5"/>
        <v>MOD.31</v>
      </c>
      <c r="K352" s="10">
        <f>IF(D352="",17,IF(C352="",17,_xlfn.XLOOKUP(D352,refs!$A$2:$A$21,refs!$B$2:$B$21,"")))</f>
        <v>17</v>
      </c>
      <c r="L352" t="str">
        <f>"PASSTHROUGH|"&amp;A352&amp;"^^/ s /io.in."&amp;B352&amp;".mute="&amp;E352&amp;",mode="&amp;F352&amp;",icon="&amp;G352&amp;",pol="&amp;H352&amp;",vph="&amp;I352&amp;",name="&amp;J352&amp;",col="&amp;K352&amp;","</f>
        <v>PASSTHROUGH|WING1^^/ s /io.in.MOD.31.mute=0,mode=M,icon=0,pol=0,vph=,name=MOD.31,col=17,</v>
      </c>
    </row>
    <row r="353" spans="1:12" ht="15.75" x14ac:dyDescent="0.25">
      <c r="A353" s="1" t="s">
        <v>66</v>
      </c>
      <c r="B353" s="6" t="s">
        <v>393</v>
      </c>
      <c r="C353" s="12"/>
      <c r="D353" s="4"/>
      <c r="E353" s="4">
        <v>0</v>
      </c>
      <c r="F353" s="4" t="s">
        <v>71</v>
      </c>
      <c r="G353" s="4">
        <v>0</v>
      </c>
      <c r="H353" s="4">
        <v>0</v>
      </c>
      <c r="I353" s="15"/>
      <c r="J353" s="9" t="str">
        <f t="shared" si="5"/>
        <v>MOD.32</v>
      </c>
      <c r="K353" s="10">
        <f>IF(D353="",17,IF(C353="",17,_xlfn.XLOOKUP(D353,refs!$A$2:$A$21,refs!$B$2:$B$21,"")))</f>
        <v>17</v>
      </c>
      <c r="L353" t="str">
        <f>"PASSTHROUGH|"&amp;A353&amp;"^^/ s /io.in."&amp;B353&amp;".mute="&amp;E353&amp;",mode="&amp;F353&amp;",icon="&amp;G353&amp;",pol="&amp;H353&amp;",vph="&amp;I353&amp;",name="&amp;J353&amp;",col="&amp;K353&amp;","</f>
        <v>PASSTHROUGH|WING1^^/ s /io.in.MOD.32.mute=0,mode=M,icon=0,pol=0,vph=,name=MOD.32,col=17,</v>
      </c>
    </row>
    <row r="354" spans="1:12" ht="15.75" x14ac:dyDescent="0.25">
      <c r="A354" s="1" t="s">
        <v>66</v>
      </c>
      <c r="B354" s="6" t="s">
        <v>394</v>
      </c>
      <c r="C354" s="12"/>
      <c r="D354" s="4"/>
      <c r="E354" s="4">
        <v>0</v>
      </c>
      <c r="F354" s="4" t="s">
        <v>71</v>
      </c>
      <c r="G354" s="4">
        <v>0</v>
      </c>
      <c r="H354" s="4">
        <v>0</v>
      </c>
      <c r="I354" s="15"/>
      <c r="J354" s="9" t="str">
        <f t="shared" si="5"/>
        <v>MOD.33</v>
      </c>
      <c r="K354" s="10">
        <f>IF(D354="",17,IF(C354="",17,_xlfn.XLOOKUP(D354,refs!$A$2:$A$21,refs!$B$2:$B$21,"")))</f>
        <v>17</v>
      </c>
      <c r="L354" t="str">
        <f>"PASSTHROUGH|"&amp;A354&amp;"^^/ s /io.in."&amp;B354&amp;".mute="&amp;E354&amp;",mode="&amp;F354&amp;",icon="&amp;G354&amp;",pol="&amp;H354&amp;",vph="&amp;I354&amp;",name="&amp;J354&amp;",col="&amp;K354&amp;","</f>
        <v>PASSTHROUGH|WING1^^/ s /io.in.MOD.33.mute=0,mode=M,icon=0,pol=0,vph=,name=MOD.33,col=17,</v>
      </c>
    </row>
    <row r="355" spans="1:12" ht="15.75" x14ac:dyDescent="0.25">
      <c r="A355" s="1" t="s">
        <v>66</v>
      </c>
      <c r="B355" s="6" t="s">
        <v>395</v>
      </c>
      <c r="C355" s="12"/>
      <c r="D355" s="4"/>
      <c r="E355" s="4">
        <v>0</v>
      </c>
      <c r="F355" s="4" t="s">
        <v>71</v>
      </c>
      <c r="G355" s="4">
        <v>0</v>
      </c>
      <c r="H355" s="4">
        <v>0</v>
      </c>
      <c r="I355" s="15"/>
      <c r="J355" s="9" t="str">
        <f t="shared" si="5"/>
        <v>MOD.34</v>
      </c>
      <c r="K355" s="10">
        <f>IF(D355="",17,IF(C355="",17,_xlfn.XLOOKUP(D355,refs!$A$2:$A$21,refs!$B$2:$B$21,"")))</f>
        <v>17</v>
      </c>
      <c r="L355" t="str">
        <f>"PASSTHROUGH|"&amp;A355&amp;"^^/ s /io.in."&amp;B355&amp;".mute="&amp;E355&amp;",mode="&amp;F355&amp;",icon="&amp;G355&amp;",pol="&amp;H355&amp;",vph="&amp;I355&amp;",name="&amp;J355&amp;",col="&amp;K355&amp;","</f>
        <v>PASSTHROUGH|WING1^^/ s /io.in.MOD.34.mute=0,mode=M,icon=0,pol=0,vph=,name=MOD.34,col=17,</v>
      </c>
    </row>
    <row r="356" spans="1:12" ht="15.75" x14ac:dyDescent="0.25">
      <c r="A356" s="1" t="s">
        <v>66</v>
      </c>
      <c r="B356" s="6" t="s">
        <v>396</v>
      </c>
      <c r="C356" s="12"/>
      <c r="D356" s="4"/>
      <c r="E356" s="4">
        <v>0</v>
      </c>
      <c r="F356" s="4" t="s">
        <v>71</v>
      </c>
      <c r="G356" s="4">
        <v>0</v>
      </c>
      <c r="H356" s="4">
        <v>0</v>
      </c>
      <c r="I356" s="15"/>
      <c r="J356" s="9" t="str">
        <f t="shared" si="5"/>
        <v>MOD.35</v>
      </c>
      <c r="K356" s="10">
        <f>IF(D356="",17,IF(C356="",17,_xlfn.XLOOKUP(D356,refs!$A$2:$A$21,refs!$B$2:$B$21,"")))</f>
        <v>17</v>
      </c>
      <c r="L356" t="str">
        <f>"PASSTHROUGH|"&amp;A356&amp;"^^/ s /io.in."&amp;B356&amp;".mute="&amp;E356&amp;",mode="&amp;F356&amp;",icon="&amp;G356&amp;",pol="&amp;H356&amp;",vph="&amp;I356&amp;",name="&amp;J356&amp;",col="&amp;K356&amp;","</f>
        <v>PASSTHROUGH|WING1^^/ s /io.in.MOD.35.mute=0,mode=M,icon=0,pol=0,vph=,name=MOD.35,col=17,</v>
      </c>
    </row>
    <row r="357" spans="1:12" ht="15.75" x14ac:dyDescent="0.25">
      <c r="A357" s="1" t="s">
        <v>66</v>
      </c>
      <c r="B357" s="6" t="s">
        <v>397</v>
      </c>
      <c r="C357" s="12"/>
      <c r="D357" s="4"/>
      <c r="E357" s="4">
        <v>0</v>
      </c>
      <c r="F357" s="4" t="s">
        <v>71</v>
      </c>
      <c r="G357" s="4">
        <v>0</v>
      </c>
      <c r="H357" s="4">
        <v>0</v>
      </c>
      <c r="I357" s="15"/>
      <c r="J357" s="9" t="str">
        <f t="shared" si="5"/>
        <v>MOD.36</v>
      </c>
      <c r="K357" s="10">
        <f>IF(D357="",17,IF(C357="",17,_xlfn.XLOOKUP(D357,refs!$A$2:$A$21,refs!$B$2:$B$21,"")))</f>
        <v>17</v>
      </c>
      <c r="L357" t="str">
        <f>"PASSTHROUGH|"&amp;A357&amp;"^^/ s /io.in."&amp;B357&amp;".mute="&amp;E357&amp;",mode="&amp;F357&amp;",icon="&amp;G357&amp;",pol="&amp;H357&amp;",vph="&amp;I357&amp;",name="&amp;J357&amp;",col="&amp;K357&amp;","</f>
        <v>PASSTHROUGH|WING1^^/ s /io.in.MOD.36.mute=0,mode=M,icon=0,pol=0,vph=,name=MOD.36,col=17,</v>
      </c>
    </row>
    <row r="358" spans="1:12" ht="15.75" x14ac:dyDescent="0.25">
      <c r="A358" s="1" t="s">
        <v>66</v>
      </c>
      <c r="B358" s="6" t="s">
        <v>398</v>
      </c>
      <c r="C358" s="12"/>
      <c r="D358" s="4"/>
      <c r="E358" s="4">
        <v>0</v>
      </c>
      <c r="F358" s="4" t="s">
        <v>71</v>
      </c>
      <c r="G358" s="4">
        <v>0</v>
      </c>
      <c r="H358" s="4">
        <v>0</v>
      </c>
      <c r="I358" s="15"/>
      <c r="J358" s="9" t="str">
        <f t="shared" si="5"/>
        <v>MOD.37</v>
      </c>
      <c r="K358" s="10">
        <f>IF(D358="",17,IF(C358="",17,_xlfn.XLOOKUP(D358,refs!$A$2:$A$21,refs!$B$2:$B$21,"")))</f>
        <v>17</v>
      </c>
      <c r="L358" t="str">
        <f>"PASSTHROUGH|"&amp;A358&amp;"^^/ s /io.in."&amp;B358&amp;".mute="&amp;E358&amp;",mode="&amp;F358&amp;",icon="&amp;G358&amp;",pol="&amp;H358&amp;",vph="&amp;I358&amp;",name="&amp;J358&amp;",col="&amp;K358&amp;","</f>
        <v>PASSTHROUGH|WING1^^/ s /io.in.MOD.37.mute=0,mode=M,icon=0,pol=0,vph=,name=MOD.37,col=17,</v>
      </c>
    </row>
    <row r="359" spans="1:12" ht="15.75" x14ac:dyDescent="0.25">
      <c r="A359" s="1" t="s">
        <v>66</v>
      </c>
      <c r="B359" s="6" t="s">
        <v>399</v>
      </c>
      <c r="C359" s="12"/>
      <c r="D359" s="4"/>
      <c r="E359" s="4">
        <v>0</v>
      </c>
      <c r="F359" s="4" t="s">
        <v>71</v>
      </c>
      <c r="G359" s="4">
        <v>0</v>
      </c>
      <c r="H359" s="4">
        <v>0</v>
      </c>
      <c r="I359" s="15"/>
      <c r="J359" s="9" t="str">
        <f t="shared" si="5"/>
        <v>MOD.38</v>
      </c>
      <c r="K359" s="10">
        <f>IF(D359="",17,IF(C359="",17,_xlfn.XLOOKUP(D359,refs!$A$2:$A$21,refs!$B$2:$B$21,"")))</f>
        <v>17</v>
      </c>
      <c r="L359" t="str">
        <f>"PASSTHROUGH|"&amp;A359&amp;"^^/ s /io.in."&amp;B359&amp;".mute="&amp;E359&amp;",mode="&amp;F359&amp;",icon="&amp;G359&amp;",pol="&amp;H359&amp;",vph="&amp;I359&amp;",name="&amp;J359&amp;",col="&amp;K359&amp;","</f>
        <v>PASSTHROUGH|WING1^^/ s /io.in.MOD.38.mute=0,mode=M,icon=0,pol=0,vph=,name=MOD.38,col=17,</v>
      </c>
    </row>
    <row r="360" spans="1:12" ht="15.75" x14ac:dyDescent="0.25">
      <c r="A360" s="1" t="s">
        <v>66</v>
      </c>
      <c r="B360" s="6" t="s">
        <v>400</v>
      </c>
      <c r="C360" s="12"/>
      <c r="D360" s="4"/>
      <c r="E360" s="4">
        <v>0</v>
      </c>
      <c r="F360" s="4" t="s">
        <v>71</v>
      </c>
      <c r="G360" s="4">
        <v>0</v>
      </c>
      <c r="H360" s="4">
        <v>0</v>
      </c>
      <c r="I360" s="15"/>
      <c r="J360" s="9" t="str">
        <f t="shared" si="5"/>
        <v>MOD.39</v>
      </c>
      <c r="K360" s="10">
        <f>IF(D360="",17,IF(C360="",17,_xlfn.XLOOKUP(D360,refs!$A$2:$A$21,refs!$B$2:$B$21,"")))</f>
        <v>17</v>
      </c>
      <c r="L360" t="str">
        <f>"PASSTHROUGH|"&amp;A360&amp;"^^/ s /io.in."&amp;B360&amp;".mute="&amp;E360&amp;",mode="&amp;F360&amp;",icon="&amp;G360&amp;",pol="&amp;H360&amp;",vph="&amp;I360&amp;",name="&amp;J360&amp;",col="&amp;K360&amp;","</f>
        <v>PASSTHROUGH|WING1^^/ s /io.in.MOD.39.mute=0,mode=M,icon=0,pol=0,vph=,name=MOD.39,col=17,</v>
      </c>
    </row>
    <row r="361" spans="1:12" ht="15.75" x14ac:dyDescent="0.25">
      <c r="A361" s="1" t="s">
        <v>66</v>
      </c>
      <c r="B361" s="6" t="s">
        <v>401</v>
      </c>
      <c r="C361" s="12"/>
      <c r="D361" s="4"/>
      <c r="E361" s="4">
        <v>0</v>
      </c>
      <c r="F361" s="4" t="s">
        <v>71</v>
      </c>
      <c r="G361" s="4">
        <v>0</v>
      </c>
      <c r="H361" s="4">
        <v>0</v>
      </c>
      <c r="I361" s="15"/>
      <c r="J361" s="9" t="str">
        <f t="shared" si="5"/>
        <v>MOD.40</v>
      </c>
      <c r="K361" s="10">
        <f>IF(D361="",17,IF(C361="",17,_xlfn.XLOOKUP(D361,refs!$A$2:$A$21,refs!$B$2:$B$21,"")))</f>
        <v>17</v>
      </c>
      <c r="L361" t="str">
        <f>"PASSTHROUGH|"&amp;A361&amp;"^^/ s /io.in."&amp;B361&amp;".mute="&amp;E361&amp;",mode="&amp;F361&amp;",icon="&amp;G361&amp;",pol="&amp;H361&amp;",vph="&amp;I361&amp;",name="&amp;J361&amp;",col="&amp;K361&amp;","</f>
        <v>PASSTHROUGH|WING1^^/ s /io.in.MOD.40.mute=0,mode=M,icon=0,pol=0,vph=,name=MOD.40,col=17,</v>
      </c>
    </row>
    <row r="362" spans="1:12" ht="15.75" x14ac:dyDescent="0.25">
      <c r="A362" s="1" t="s">
        <v>66</v>
      </c>
      <c r="B362" s="6" t="s">
        <v>402</v>
      </c>
      <c r="C362" s="12"/>
      <c r="D362" s="4"/>
      <c r="E362" s="4">
        <v>0</v>
      </c>
      <c r="F362" s="4" t="s">
        <v>71</v>
      </c>
      <c r="G362" s="4">
        <v>0</v>
      </c>
      <c r="H362" s="4">
        <v>0</v>
      </c>
      <c r="I362" s="15"/>
      <c r="J362" s="9" t="str">
        <f t="shared" si="5"/>
        <v>MOD.41</v>
      </c>
      <c r="K362" s="10">
        <f>IF(D362="",17,IF(C362="",17,_xlfn.XLOOKUP(D362,refs!$A$2:$A$21,refs!$B$2:$B$21,"")))</f>
        <v>17</v>
      </c>
      <c r="L362" t="str">
        <f>"PASSTHROUGH|"&amp;A362&amp;"^^/ s /io.in."&amp;B362&amp;".mute="&amp;E362&amp;",mode="&amp;F362&amp;",icon="&amp;G362&amp;",pol="&amp;H362&amp;",vph="&amp;I362&amp;",name="&amp;J362&amp;",col="&amp;K362&amp;","</f>
        <v>PASSTHROUGH|WING1^^/ s /io.in.MOD.41.mute=0,mode=M,icon=0,pol=0,vph=,name=MOD.41,col=17,</v>
      </c>
    </row>
    <row r="363" spans="1:12" ht="15.75" x14ac:dyDescent="0.25">
      <c r="A363" s="1" t="s">
        <v>66</v>
      </c>
      <c r="B363" s="6" t="s">
        <v>403</v>
      </c>
      <c r="C363" s="12"/>
      <c r="D363" s="4"/>
      <c r="E363" s="4">
        <v>0</v>
      </c>
      <c r="F363" s="4" t="s">
        <v>71</v>
      </c>
      <c r="G363" s="4">
        <v>0</v>
      </c>
      <c r="H363" s="4">
        <v>0</v>
      </c>
      <c r="I363" s="15"/>
      <c r="J363" s="9" t="str">
        <f t="shared" si="5"/>
        <v>MOD.42</v>
      </c>
      <c r="K363" s="10">
        <f>IF(D363="",17,IF(C363="",17,_xlfn.XLOOKUP(D363,refs!$A$2:$A$21,refs!$B$2:$B$21,"")))</f>
        <v>17</v>
      </c>
      <c r="L363" t="str">
        <f>"PASSTHROUGH|"&amp;A363&amp;"^^/ s /io.in."&amp;B363&amp;".mute="&amp;E363&amp;",mode="&amp;F363&amp;",icon="&amp;G363&amp;",pol="&amp;H363&amp;",vph="&amp;I363&amp;",name="&amp;J363&amp;",col="&amp;K363&amp;","</f>
        <v>PASSTHROUGH|WING1^^/ s /io.in.MOD.42.mute=0,mode=M,icon=0,pol=0,vph=,name=MOD.42,col=17,</v>
      </c>
    </row>
    <row r="364" spans="1:12" ht="15.75" x14ac:dyDescent="0.25">
      <c r="A364" s="1" t="s">
        <v>66</v>
      </c>
      <c r="B364" s="6" t="s">
        <v>404</v>
      </c>
      <c r="C364" s="12"/>
      <c r="D364" s="4"/>
      <c r="E364" s="4">
        <v>0</v>
      </c>
      <c r="F364" s="4" t="s">
        <v>71</v>
      </c>
      <c r="G364" s="4">
        <v>0</v>
      </c>
      <c r="H364" s="4">
        <v>0</v>
      </c>
      <c r="I364" s="15"/>
      <c r="J364" s="9" t="str">
        <f t="shared" si="5"/>
        <v>MOD.43</v>
      </c>
      <c r="K364" s="10">
        <f>IF(D364="",17,IF(C364="",17,_xlfn.XLOOKUP(D364,refs!$A$2:$A$21,refs!$B$2:$B$21,"")))</f>
        <v>17</v>
      </c>
      <c r="L364" t="str">
        <f>"PASSTHROUGH|"&amp;A364&amp;"^^/ s /io.in."&amp;B364&amp;".mute="&amp;E364&amp;",mode="&amp;F364&amp;",icon="&amp;G364&amp;",pol="&amp;H364&amp;",vph="&amp;I364&amp;",name="&amp;J364&amp;",col="&amp;K364&amp;","</f>
        <v>PASSTHROUGH|WING1^^/ s /io.in.MOD.43.mute=0,mode=M,icon=0,pol=0,vph=,name=MOD.43,col=17,</v>
      </c>
    </row>
    <row r="365" spans="1:12" ht="15.75" x14ac:dyDescent="0.25">
      <c r="A365" s="1" t="s">
        <v>66</v>
      </c>
      <c r="B365" s="6" t="s">
        <v>405</v>
      </c>
      <c r="C365" s="12"/>
      <c r="D365" s="4"/>
      <c r="E365" s="4">
        <v>0</v>
      </c>
      <c r="F365" s="4" t="s">
        <v>71</v>
      </c>
      <c r="G365" s="4">
        <v>0</v>
      </c>
      <c r="H365" s="4">
        <v>0</v>
      </c>
      <c r="I365" s="15"/>
      <c r="J365" s="9" t="str">
        <f t="shared" si="5"/>
        <v>MOD.44</v>
      </c>
      <c r="K365" s="10">
        <f>IF(D365="",17,IF(C365="",17,_xlfn.XLOOKUP(D365,refs!$A$2:$A$21,refs!$B$2:$B$21,"")))</f>
        <v>17</v>
      </c>
      <c r="L365" t="str">
        <f>"PASSTHROUGH|"&amp;A365&amp;"^^/ s /io.in."&amp;B365&amp;".mute="&amp;E365&amp;",mode="&amp;F365&amp;",icon="&amp;G365&amp;",pol="&amp;H365&amp;",vph="&amp;I365&amp;",name="&amp;J365&amp;",col="&amp;K365&amp;","</f>
        <v>PASSTHROUGH|WING1^^/ s /io.in.MOD.44.mute=0,mode=M,icon=0,pol=0,vph=,name=MOD.44,col=17,</v>
      </c>
    </row>
    <row r="366" spans="1:12" ht="15.75" x14ac:dyDescent="0.25">
      <c r="A366" s="1" t="s">
        <v>66</v>
      </c>
      <c r="B366" s="6" t="s">
        <v>406</v>
      </c>
      <c r="C366" s="12"/>
      <c r="D366" s="4"/>
      <c r="E366" s="4">
        <v>0</v>
      </c>
      <c r="F366" s="4" t="s">
        <v>71</v>
      </c>
      <c r="G366" s="4">
        <v>0</v>
      </c>
      <c r="H366" s="4">
        <v>0</v>
      </c>
      <c r="I366" s="15"/>
      <c r="J366" s="9" t="str">
        <f t="shared" si="5"/>
        <v>MOD.45</v>
      </c>
      <c r="K366" s="10">
        <f>IF(D366="",17,IF(C366="",17,_xlfn.XLOOKUP(D366,refs!$A$2:$A$21,refs!$B$2:$B$21,"")))</f>
        <v>17</v>
      </c>
      <c r="L366" t="str">
        <f>"PASSTHROUGH|"&amp;A366&amp;"^^/ s /io.in."&amp;B366&amp;".mute="&amp;E366&amp;",mode="&amp;F366&amp;",icon="&amp;G366&amp;",pol="&amp;H366&amp;",vph="&amp;I366&amp;",name="&amp;J366&amp;",col="&amp;K366&amp;","</f>
        <v>PASSTHROUGH|WING1^^/ s /io.in.MOD.45.mute=0,mode=M,icon=0,pol=0,vph=,name=MOD.45,col=17,</v>
      </c>
    </row>
    <row r="367" spans="1:12" ht="15.75" x14ac:dyDescent="0.25">
      <c r="A367" s="1" t="s">
        <v>66</v>
      </c>
      <c r="B367" s="6" t="s">
        <v>407</v>
      </c>
      <c r="C367" s="12"/>
      <c r="D367" s="4"/>
      <c r="E367" s="4">
        <v>0</v>
      </c>
      <c r="F367" s="4" t="s">
        <v>71</v>
      </c>
      <c r="G367" s="4">
        <v>0</v>
      </c>
      <c r="H367" s="4">
        <v>0</v>
      </c>
      <c r="I367" s="15"/>
      <c r="J367" s="9" t="str">
        <f t="shared" si="5"/>
        <v>MOD.46</v>
      </c>
      <c r="K367" s="10">
        <f>IF(D367="",17,IF(C367="",17,_xlfn.XLOOKUP(D367,refs!$A$2:$A$21,refs!$B$2:$B$21,"")))</f>
        <v>17</v>
      </c>
      <c r="L367" t="str">
        <f>"PASSTHROUGH|"&amp;A367&amp;"^^/ s /io.in."&amp;B367&amp;".mute="&amp;E367&amp;",mode="&amp;F367&amp;",icon="&amp;G367&amp;",pol="&amp;H367&amp;",vph="&amp;I367&amp;",name="&amp;J367&amp;",col="&amp;K367&amp;","</f>
        <v>PASSTHROUGH|WING1^^/ s /io.in.MOD.46.mute=0,mode=M,icon=0,pol=0,vph=,name=MOD.46,col=17,</v>
      </c>
    </row>
    <row r="368" spans="1:12" ht="15.75" x14ac:dyDescent="0.25">
      <c r="A368" s="1" t="s">
        <v>66</v>
      </c>
      <c r="B368" s="6" t="s">
        <v>408</v>
      </c>
      <c r="C368" s="12"/>
      <c r="D368" s="4"/>
      <c r="E368" s="4">
        <v>0</v>
      </c>
      <c r="F368" s="4" t="s">
        <v>71</v>
      </c>
      <c r="G368" s="4">
        <v>0</v>
      </c>
      <c r="H368" s="4">
        <v>0</v>
      </c>
      <c r="I368" s="15"/>
      <c r="J368" s="9" t="str">
        <f t="shared" si="5"/>
        <v>MOD.47</v>
      </c>
      <c r="K368" s="10">
        <f>IF(D368="",17,IF(C368="",17,_xlfn.XLOOKUP(D368,refs!$A$2:$A$21,refs!$B$2:$B$21,"")))</f>
        <v>17</v>
      </c>
      <c r="L368" t="str">
        <f>"PASSTHROUGH|"&amp;A368&amp;"^^/ s /io.in."&amp;B368&amp;".mute="&amp;E368&amp;",mode="&amp;F368&amp;",icon="&amp;G368&amp;",pol="&amp;H368&amp;",vph="&amp;I368&amp;",name="&amp;J368&amp;",col="&amp;K368&amp;","</f>
        <v>PASSTHROUGH|WING1^^/ s /io.in.MOD.47.mute=0,mode=M,icon=0,pol=0,vph=,name=MOD.47,col=17,</v>
      </c>
    </row>
    <row r="369" spans="1:12" ht="15.75" x14ac:dyDescent="0.25">
      <c r="A369" s="1" t="s">
        <v>66</v>
      </c>
      <c r="B369" s="6" t="s">
        <v>409</v>
      </c>
      <c r="C369" s="12"/>
      <c r="D369" s="4"/>
      <c r="E369" s="4">
        <v>0</v>
      </c>
      <c r="F369" s="4" t="s">
        <v>71</v>
      </c>
      <c r="G369" s="4">
        <v>0</v>
      </c>
      <c r="H369" s="4">
        <v>0</v>
      </c>
      <c r="I369" s="15"/>
      <c r="J369" s="9" t="str">
        <f t="shared" si="5"/>
        <v>MOD.48</v>
      </c>
      <c r="K369" s="10">
        <f>IF(D369="",17,IF(C369="",17,_xlfn.XLOOKUP(D369,refs!$A$2:$A$21,refs!$B$2:$B$21,"")))</f>
        <v>17</v>
      </c>
      <c r="L369" t="str">
        <f>"PASSTHROUGH|"&amp;A369&amp;"^^/ s /io.in."&amp;B369&amp;".mute="&amp;E369&amp;",mode="&amp;F369&amp;",icon="&amp;G369&amp;",pol="&amp;H369&amp;",vph="&amp;I369&amp;",name="&amp;J369&amp;",col="&amp;K369&amp;","</f>
        <v>PASSTHROUGH|WING1^^/ s /io.in.MOD.48.mute=0,mode=M,icon=0,pol=0,vph=,name=MOD.48,col=17,</v>
      </c>
    </row>
    <row r="370" spans="1:12" ht="15.75" x14ac:dyDescent="0.25">
      <c r="A370" s="1" t="s">
        <v>66</v>
      </c>
      <c r="B370" s="6" t="s">
        <v>410</v>
      </c>
      <c r="C370" s="12"/>
      <c r="D370" s="4"/>
      <c r="E370" s="4">
        <v>0</v>
      </c>
      <c r="F370" s="4" t="s">
        <v>71</v>
      </c>
      <c r="G370" s="4">
        <v>0</v>
      </c>
      <c r="H370" s="4">
        <v>0</v>
      </c>
      <c r="I370" s="15"/>
      <c r="J370" s="9" t="str">
        <f t="shared" si="5"/>
        <v>MOD.49</v>
      </c>
      <c r="K370" s="10">
        <f>IF(D370="",17,IF(C370="",17,_xlfn.XLOOKUP(D370,refs!$A$2:$A$21,refs!$B$2:$B$21,"")))</f>
        <v>17</v>
      </c>
      <c r="L370" t="str">
        <f>"PASSTHROUGH|"&amp;A370&amp;"^^/ s /io.in."&amp;B370&amp;".mute="&amp;E370&amp;",mode="&amp;F370&amp;",icon="&amp;G370&amp;",pol="&amp;H370&amp;",vph="&amp;I370&amp;",name="&amp;J370&amp;",col="&amp;K370&amp;","</f>
        <v>PASSTHROUGH|WING1^^/ s /io.in.MOD.49.mute=0,mode=M,icon=0,pol=0,vph=,name=MOD.49,col=17,</v>
      </c>
    </row>
    <row r="371" spans="1:12" ht="15.75" x14ac:dyDescent="0.25">
      <c r="A371" s="1" t="s">
        <v>66</v>
      </c>
      <c r="B371" s="6" t="s">
        <v>411</v>
      </c>
      <c r="C371" s="12"/>
      <c r="D371" s="4"/>
      <c r="E371" s="4">
        <v>0</v>
      </c>
      <c r="F371" s="4" t="s">
        <v>71</v>
      </c>
      <c r="G371" s="4">
        <v>0</v>
      </c>
      <c r="H371" s="4">
        <v>0</v>
      </c>
      <c r="I371" s="15"/>
      <c r="J371" s="9" t="str">
        <f t="shared" si="5"/>
        <v>MOD.50</v>
      </c>
      <c r="K371" s="10">
        <f>IF(D371="",17,IF(C371="",17,_xlfn.XLOOKUP(D371,refs!$A$2:$A$21,refs!$B$2:$B$21,"")))</f>
        <v>17</v>
      </c>
      <c r="L371" t="str">
        <f>"PASSTHROUGH|"&amp;A371&amp;"^^/ s /io.in."&amp;B371&amp;".mute="&amp;E371&amp;",mode="&amp;F371&amp;",icon="&amp;G371&amp;",pol="&amp;H371&amp;",vph="&amp;I371&amp;",name="&amp;J371&amp;",col="&amp;K371&amp;","</f>
        <v>PASSTHROUGH|WING1^^/ s /io.in.MOD.50.mute=0,mode=M,icon=0,pol=0,vph=,name=MOD.50,col=17,</v>
      </c>
    </row>
    <row r="372" spans="1:12" ht="15.75" x14ac:dyDescent="0.25">
      <c r="A372" s="1" t="s">
        <v>66</v>
      </c>
      <c r="B372" s="6" t="s">
        <v>412</v>
      </c>
      <c r="C372" s="12"/>
      <c r="D372" s="4"/>
      <c r="E372" s="4">
        <v>0</v>
      </c>
      <c r="F372" s="4" t="s">
        <v>71</v>
      </c>
      <c r="G372" s="4">
        <v>0</v>
      </c>
      <c r="H372" s="4">
        <v>0</v>
      </c>
      <c r="I372" s="15"/>
      <c r="J372" s="9" t="str">
        <f t="shared" si="5"/>
        <v>MOD.51</v>
      </c>
      <c r="K372" s="10">
        <f>IF(D372="",17,IF(C372="",17,_xlfn.XLOOKUP(D372,refs!$A$2:$A$21,refs!$B$2:$B$21,"")))</f>
        <v>17</v>
      </c>
      <c r="L372" t="str">
        <f>"PASSTHROUGH|"&amp;A372&amp;"^^/ s /io.in."&amp;B372&amp;".mute="&amp;E372&amp;",mode="&amp;F372&amp;",icon="&amp;G372&amp;",pol="&amp;H372&amp;",vph="&amp;I372&amp;",name="&amp;J372&amp;",col="&amp;K372&amp;","</f>
        <v>PASSTHROUGH|WING1^^/ s /io.in.MOD.51.mute=0,mode=M,icon=0,pol=0,vph=,name=MOD.51,col=17,</v>
      </c>
    </row>
    <row r="373" spans="1:12" ht="15.75" x14ac:dyDescent="0.25">
      <c r="A373" s="1" t="s">
        <v>66</v>
      </c>
      <c r="B373" s="6" t="s">
        <v>413</v>
      </c>
      <c r="C373" s="12"/>
      <c r="D373" s="4"/>
      <c r="E373" s="4">
        <v>0</v>
      </c>
      <c r="F373" s="4" t="s">
        <v>71</v>
      </c>
      <c r="G373" s="4">
        <v>0</v>
      </c>
      <c r="H373" s="4">
        <v>0</v>
      </c>
      <c r="I373" s="15"/>
      <c r="J373" s="9" t="str">
        <f t="shared" si="5"/>
        <v>MOD.52</v>
      </c>
      <c r="K373" s="10">
        <f>IF(D373="",17,IF(C373="",17,_xlfn.XLOOKUP(D373,refs!$A$2:$A$21,refs!$B$2:$B$21,"")))</f>
        <v>17</v>
      </c>
      <c r="L373" t="str">
        <f>"PASSTHROUGH|"&amp;A373&amp;"^^/ s /io.in."&amp;B373&amp;".mute="&amp;E373&amp;",mode="&amp;F373&amp;",icon="&amp;G373&amp;",pol="&amp;H373&amp;",vph="&amp;I373&amp;",name="&amp;J373&amp;",col="&amp;K373&amp;","</f>
        <v>PASSTHROUGH|WING1^^/ s /io.in.MOD.52.mute=0,mode=M,icon=0,pol=0,vph=,name=MOD.52,col=17,</v>
      </c>
    </row>
    <row r="374" spans="1:12" ht="15.75" x14ac:dyDescent="0.25">
      <c r="A374" s="1" t="s">
        <v>66</v>
      </c>
      <c r="B374" s="6" t="s">
        <v>414</v>
      </c>
      <c r="C374" s="12"/>
      <c r="D374" s="4"/>
      <c r="E374" s="4">
        <v>0</v>
      </c>
      <c r="F374" s="4" t="s">
        <v>71</v>
      </c>
      <c r="G374" s="4">
        <v>0</v>
      </c>
      <c r="H374" s="4">
        <v>0</v>
      </c>
      <c r="I374" s="15"/>
      <c r="J374" s="9" t="str">
        <f t="shared" si="5"/>
        <v>MOD.53</v>
      </c>
      <c r="K374" s="10">
        <f>IF(D374="",17,IF(C374="",17,_xlfn.XLOOKUP(D374,refs!$A$2:$A$21,refs!$B$2:$B$21,"")))</f>
        <v>17</v>
      </c>
      <c r="L374" t="str">
        <f>"PASSTHROUGH|"&amp;A374&amp;"^^/ s /io.in."&amp;B374&amp;".mute="&amp;E374&amp;",mode="&amp;F374&amp;",icon="&amp;G374&amp;",pol="&amp;H374&amp;",vph="&amp;I374&amp;",name="&amp;J374&amp;",col="&amp;K374&amp;","</f>
        <v>PASSTHROUGH|WING1^^/ s /io.in.MOD.53.mute=0,mode=M,icon=0,pol=0,vph=,name=MOD.53,col=17,</v>
      </c>
    </row>
    <row r="375" spans="1:12" ht="15.75" x14ac:dyDescent="0.25">
      <c r="A375" s="1" t="s">
        <v>66</v>
      </c>
      <c r="B375" s="6" t="s">
        <v>415</v>
      </c>
      <c r="C375" s="12"/>
      <c r="D375" s="4"/>
      <c r="E375" s="4">
        <v>0</v>
      </c>
      <c r="F375" s="4" t="s">
        <v>71</v>
      </c>
      <c r="G375" s="4">
        <v>0</v>
      </c>
      <c r="H375" s="4">
        <v>0</v>
      </c>
      <c r="I375" s="15"/>
      <c r="J375" s="9" t="str">
        <f t="shared" si="5"/>
        <v>MOD.54</v>
      </c>
      <c r="K375" s="10">
        <f>IF(D375="",17,IF(C375="",17,_xlfn.XLOOKUP(D375,refs!$A$2:$A$21,refs!$B$2:$B$21,"")))</f>
        <v>17</v>
      </c>
      <c r="L375" t="str">
        <f>"PASSTHROUGH|"&amp;A375&amp;"^^/ s /io.in."&amp;B375&amp;".mute="&amp;E375&amp;",mode="&amp;F375&amp;",icon="&amp;G375&amp;",pol="&amp;H375&amp;",vph="&amp;I375&amp;",name="&amp;J375&amp;",col="&amp;K375&amp;","</f>
        <v>PASSTHROUGH|WING1^^/ s /io.in.MOD.54.mute=0,mode=M,icon=0,pol=0,vph=,name=MOD.54,col=17,</v>
      </c>
    </row>
    <row r="376" spans="1:12" ht="15.75" x14ac:dyDescent="0.25">
      <c r="A376" s="1" t="s">
        <v>66</v>
      </c>
      <c r="B376" s="6" t="s">
        <v>416</v>
      </c>
      <c r="C376" s="12"/>
      <c r="D376" s="4"/>
      <c r="E376" s="4">
        <v>0</v>
      </c>
      <c r="F376" s="4" t="s">
        <v>71</v>
      </c>
      <c r="G376" s="4">
        <v>0</v>
      </c>
      <c r="H376" s="4">
        <v>0</v>
      </c>
      <c r="I376" s="15"/>
      <c r="J376" s="9" t="str">
        <f t="shared" si="5"/>
        <v>MOD.55</v>
      </c>
      <c r="K376" s="10">
        <f>IF(D376="",17,IF(C376="",17,_xlfn.XLOOKUP(D376,refs!$A$2:$A$21,refs!$B$2:$B$21,"")))</f>
        <v>17</v>
      </c>
      <c r="L376" t="str">
        <f>"PASSTHROUGH|"&amp;A376&amp;"^^/ s /io.in."&amp;B376&amp;".mute="&amp;E376&amp;",mode="&amp;F376&amp;",icon="&amp;G376&amp;",pol="&amp;H376&amp;",vph="&amp;I376&amp;",name="&amp;J376&amp;",col="&amp;K376&amp;","</f>
        <v>PASSTHROUGH|WING1^^/ s /io.in.MOD.55.mute=0,mode=M,icon=0,pol=0,vph=,name=MOD.55,col=17,</v>
      </c>
    </row>
    <row r="377" spans="1:12" ht="15.75" x14ac:dyDescent="0.25">
      <c r="A377" s="1" t="s">
        <v>66</v>
      </c>
      <c r="B377" s="6" t="s">
        <v>417</v>
      </c>
      <c r="C377" s="12"/>
      <c r="D377" s="4"/>
      <c r="E377" s="4">
        <v>0</v>
      </c>
      <c r="F377" s="4" t="s">
        <v>71</v>
      </c>
      <c r="G377" s="4">
        <v>0</v>
      </c>
      <c r="H377" s="4">
        <v>0</v>
      </c>
      <c r="I377" s="15"/>
      <c r="J377" s="9" t="str">
        <f t="shared" si="5"/>
        <v>MOD.56</v>
      </c>
      <c r="K377" s="10">
        <f>IF(D377="",17,IF(C377="",17,_xlfn.XLOOKUP(D377,refs!$A$2:$A$21,refs!$B$2:$B$21,"")))</f>
        <v>17</v>
      </c>
      <c r="L377" t="str">
        <f>"PASSTHROUGH|"&amp;A377&amp;"^^/ s /io.in."&amp;B377&amp;".mute="&amp;E377&amp;",mode="&amp;F377&amp;",icon="&amp;G377&amp;",pol="&amp;H377&amp;",vph="&amp;I377&amp;",name="&amp;J377&amp;",col="&amp;K377&amp;","</f>
        <v>PASSTHROUGH|WING1^^/ s /io.in.MOD.56.mute=0,mode=M,icon=0,pol=0,vph=,name=MOD.56,col=17,</v>
      </c>
    </row>
    <row r="378" spans="1:12" ht="15.75" x14ac:dyDescent="0.25">
      <c r="A378" s="1" t="s">
        <v>66</v>
      </c>
      <c r="B378" s="6" t="s">
        <v>418</v>
      </c>
      <c r="C378" s="12"/>
      <c r="D378" s="4"/>
      <c r="E378" s="4">
        <v>0</v>
      </c>
      <c r="F378" s="4" t="s">
        <v>71</v>
      </c>
      <c r="G378" s="4">
        <v>0</v>
      </c>
      <c r="H378" s="4">
        <v>0</v>
      </c>
      <c r="I378" s="15"/>
      <c r="J378" s="9" t="str">
        <f t="shared" si="5"/>
        <v>MOD.57</v>
      </c>
      <c r="K378" s="10">
        <f>IF(D378="",17,IF(C378="",17,_xlfn.XLOOKUP(D378,refs!$A$2:$A$21,refs!$B$2:$B$21,"")))</f>
        <v>17</v>
      </c>
      <c r="L378" t="str">
        <f>"PASSTHROUGH|"&amp;A378&amp;"^^/ s /io.in."&amp;B378&amp;".mute="&amp;E378&amp;",mode="&amp;F378&amp;",icon="&amp;G378&amp;",pol="&amp;H378&amp;",vph="&amp;I378&amp;",name="&amp;J378&amp;",col="&amp;K378&amp;","</f>
        <v>PASSTHROUGH|WING1^^/ s /io.in.MOD.57.mute=0,mode=M,icon=0,pol=0,vph=,name=MOD.57,col=17,</v>
      </c>
    </row>
    <row r="379" spans="1:12" ht="15.75" x14ac:dyDescent="0.25">
      <c r="A379" s="1" t="s">
        <v>66</v>
      </c>
      <c r="B379" s="6" t="s">
        <v>419</v>
      </c>
      <c r="C379" s="12"/>
      <c r="D379" s="4"/>
      <c r="E379" s="4">
        <v>0</v>
      </c>
      <c r="F379" s="4" t="s">
        <v>71</v>
      </c>
      <c r="G379" s="4">
        <v>0</v>
      </c>
      <c r="H379" s="4">
        <v>0</v>
      </c>
      <c r="I379" s="15"/>
      <c r="J379" s="9" t="str">
        <f t="shared" si="5"/>
        <v>MOD.58</v>
      </c>
      <c r="K379" s="10">
        <f>IF(D379="",17,IF(C379="",17,_xlfn.XLOOKUP(D379,refs!$A$2:$A$21,refs!$B$2:$B$21,"")))</f>
        <v>17</v>
      </c>
      <c r="L379" t="str">
        <f>"PASSTHROUGH|"&amp;A379&amp;"^^/ s /io.in."&amp;B379&amp;".mute="&amp;E379&amp;",mode="&amp;F379&amp;",icon="&amp;G379&amp;",pol="&amp;H379&amp;",vph="&amp;I379&amp;",name="&amp;J379&amp;",col="&amp;K379&amp;","</f>
        <v>PASSTHROUGH|WING1^^/ s /io.in.MOD.58.mute=0,mode=M,icon=0,pol=0,vph=,name=MOD.58,col=17,</v>
      </c>
    </row>
    <row r="380" spans="1:12" ht="15.75" x14ac:dyDescent="0.25">
      <c r="A380" s="1" t="s">
        <v>66</v>
      </c>
      <c r="B380" s="6" t="s">
        <v>420</v>
      </c>
      <c r="C380" s="12"/>
      <c r="D380" s="4"/>
      <c r="E380" s="4">
        <v>0</v>
      </c>
      <c r="F380" s="4" t="s">
        <v>71</v>
      </c>
      <c r="G380" s="4">
        <v>0</v>
      </c>
      <c r="H380" s="4">
        <v>0</v>
      </c>
      <c r="I380" s="15"/>
      <c r="J380" s="9" t="str">
        <f t="shared" si="5"/>
        <v>MOD.59</v>
      </c>
      <c r="K380" s="10">
        <f>IF(D380="",17,IF(C380="",17,_xlfn.XLOOKUP(D380,refs!$A$2:$A$21,refs!$B$2:$B$21,"")))</f>
        <v>17</v>
      </c>
      <c r="L380" t="str">
        <f>"PASSTHROUGH|"&amp;A380&amp;"^^/ s /io.in."&amp;B380&amp;".mute="&amp;E380&amp;",mode="&amp;F380&amp;",icon="&amp;G380&amp;",pol="&amp;H380&amp;",vph="&amp;I380&amp;",name="&amp;J380&amp;",col="&amp;K380&amp;","</f>
        <v>PASSTHROUGH|WING1^^/ s /io.in.MOD.59.mute=0,mode=M,icon=0,pol=0,vph=,name=MOD.59,col=17,</v>
      </c>
    </row>
    <row r="381" spans="1:12" ht="15.75" x14ac:dyDescent="0.25">
      <c r="A381" s="1" t="s">
        <v>66</v>
      </c>
      <c r="B381" s="6" t="s">
        <v>421</v>
      </c>
      <c r="C381" s="12"/>
      <c r="D381" s="4"/>
      <c r="E381" s="4">
        <v>0</v>
      </c>
      <c r="F381" s="4" t="s">
        <v>71</v>
      </c>
      <c r="G381" s="4">
        <v>0</v>
      </c>
      <c r="H381" s="4">
        <v>0</v>
      </c>
      <c r="I381" s="15"/>
      <c r="J381" s="9" t="str">
        <f t="shared" si="5"/>
        <v>MOD.60</v>
      </c>
      <c r="K381" s="10">
        <f>IF(D381="",17,IF(C381="",17,_xlfn.XLOOKUP(D381,refs!$A$2:$A$21,refs!$B$2:$B$21,"")))</f>
        <v>17</v>
      </c>
      <c r="L381" t="str">
        <f>"PASSTHROUGH|"&amp;A381&amp;"^^/ s /io.in."&amp;B381&amp;".mute="&amp;E381&amp;",mode="&amp;F381&amp;",icon="&amp;G381&amp;",pol="&amp;H381&amp;",vph="&amp;I381&amp;",name="&amp;J381&amp;",col="&amp;K381&amp;","</f>
        <v>PASSTHROUGH|WING1^^/ s /io.in.MOD.60.mute=0,mode=M,icon=0,pol=0,vph=,name=MOD.60,col=17,</v>
      </c>
    </row>
    <row r="382" spans="1:12" ht="15.75" x14ac:dyDescent="0.25">
      <c r="A382" s="1" t="s">
        <v>66</v>
      </c>
      <c r="B382" s="6" t="s">
        <v>422</v>
      </c>
      <c r="C382" s="12"/>
      <c r="D382" s="4"/>
      <c r="E382" s="4">
        <v>0</v>
      </c>
      <c r="F382" s="4" t="s">
        <v>71</v>
      </c>
      <c r="G382" s="4">
        <v>0</v>
      </c>
      <c r="H382" s="4">
        <v>0</v>
      </c>
      <c r="I382" s="15"/>
      <c r="J382" s="9" t="str">
        <f t="shared" si="5"/>
        <v>MOD.61</v>
      </c>
      <c r="K382" s="10">
        <f>IF(D382="",17,IF(C382="",17,_xlfn.XLOOKUP(D382,refs!$A$2:$A$21,refs!$B$2:$B$21,"")))</f>
        <v>17</v>
      </c>
      <c r="L382" t="str">
        <f>"PASSTHROUGH|"&amp;A382&amp;"^^/ s /io.in."&amp;B382&amp;".mute="&amp;E382&amp;",mode="&amp;F382&amp;",icon="&amp;G382&amp;",pol="&amp;H382&amp;",vph="&amp;I382&amp;",name="&amp;J382&amp;",col="&amp;K382&amp;","</f>
        <v>PASSTHROUGH|WING1^^/ s /io.in.MOD.61.mute=0,mode=M,icon=0,pol=0,vph=,name=MOD.61,col=17,</v>
      </c>
    </row>
    <row r="383" spans="1:12" ht="15.75" x14ac:dyDescent="0.25">
      <c r="A383" s="1" t="s">
        <v>66</v>
      </c>
      <c r="B383" s="6" t="s">
        <v>423</v>
      </c>
      <c r="C383" s="12"/>
      <c r="D383" s="4"/>
      <c r="E383" s="4">
        <v>0</v>
      </c>
      <c r="F383" s="4" t="s">
        <v>71</v>
      </c>
      <c r="G383" s="4">
        <v>0</v>
      </c>
      <c r="H383" s="4">
        <v>0</v>
      </c>
      <c r="I383" s="15"/>
      <c r="J383" s="9" t="str">
        <f t="shared" si="5"/>
        <v>MOD.62</v>
      </c>
      <c r="K383" s="10">
        <f>IF(D383="",17,IF(C383="",17,_xlfn.XLOOKUP(D383,refs!$A$2:$A$21,refs!$B$2:$B$21,"")))</f>
        <v>17</v>
      </c>
      <c r="L383" t="str">
        <f>"PASSTHROUGH|"&amp;A383&amp;"^^/ s /io.in."&amp;B383&amp;".mute="&amp;E383&amp;",mode="&amp;F383&amp;",icon="&amp;G383&amp;",pol="&amp;H383&amp;",vph="&amp;I383&amp;",name="&amp;J383&amp;",col="&amp;K383&amp;","</f>
        <v>PASSTHROUGH|WING1^^/ s /io.in.MOD.62.mute=0,mode=M,icon=0,pol=0,vph=,name=MOD.62,col=17,</v>
      </c>
    </row>
    <row r="384" spans="1:12" ht="15.75" x14ac:dyDescent="0.25">
      <c r="A384" s="1" t="s">
        <v>66</v>
      </c>
      <c r="B384" s="6" t="s">
        <v>424</v>
      </c>
      <c r="C384" s="12"/>
      <c r="D384" s="4"/>
      <c r="E384" s="4">
        <v>0</v>
      </c>
      <c r="F384" s="4" t="s">
        <v>71</v>
      </c>
      <c r="G384" s="4">
        <v>0</v>
      </c>
      <c r="H384" s="4">
        <v>0</v>
      </c>
      <c r="I384" s="15"/>
      <c r="J384" s="9" t="str">
        <f t="shared" si="5"/>
        <v>MOD.63</v>
      </c>
      <c r="K384" s="10">
        <f>IF(D384="",17,IF(C384="",17,_xlfn.XLOOKUP(D384,refs!$A$2:$A$21,refs!$B$2:$B$21,"")))</f>
        <v>17</v>
      </c>
      <c r="L384" t="str">
        <f>"PASSTHROUGH|"&amp;A384&amp;"^^/ s /io.in."&amp;B384&amp;".mute="&amp;E384&amp;",mode="&amp;F384&amp;",icon="&amp;G384&amp;",pol="&amp;H384&amp;",vph="&amp;I384&amp;",name="&amp;J384&amp;",col="&amp;K384&amp;","</f>
        <v>PASSTHROUGH|WING1^^/ s /io.in.MOD.63.mute=0,mode=M,icon=0,pol=0,vph=,name=MOD.63,col=17,</v>
      </c>
    </row>
    <row r="385" spans="1:12" ht="15.75" x14ac:dyDescent="0.25">
      <c r="A385" s="1" t="s">
        <v>66</v>
      </c>
      <c r="B385" s="6" t="s">
        <v>425</v>
      </c>
      <c r="C385" s="12"/>
      <c r="D385" s="4"/>
      <c r="E385" s="4">
        <v>0</v>
      </c>
      <c r="F385" s="4" t="s">
        <v>71</v>
      </c>
      <c r="G385" s="4">
        <v>0</v>
      </c>
      <c r="H385" s="4">
        <v>0</v>
      </c>
      <c r="I385" s="15"/>
      <c r="J385" s="9" t="str">
        <f t="shared" si="5"/>
        <v>MOD.64</v>
      </c>
      <c r="K385" s="10">
        <f>IF(D385="",17,IF(C385="",17,_xlfn.XLOOKUP(D385,refs!$A$2:$A$21,refs!$B$2:$B$21,"")))</f>
        <v>17</v>
      </c>
      <c r="L385" t="str">
        <f>"PASSTHROUGH|"&amp;A385&amp;"^^/ s /io.in."&amp;B385&amp;".mute="&amp;E385&amp;",mode="&amp;F385&amp;",icon="&amp;G385&amp;",pol="&amp;H385&amp;",vph="&amp;I385&amp;",name="&amp;J385&amp;",col="&amp;K385&amp;","</f>
        <v>PASSTHROUGH|WING1^^/ s /io.in.MOD.64.mute=0,mode=M,icon=0,pol=0,vph=,name=MOD.64,col=17,</v>
      </c>
    </row>
    <row r="386" spans="1:12" ht="15.75" x14ac:dyDescent="0.25">
      <c r="A386" s="1" t="s">
        <v>66</v>
      </c>
      <c r="B386" s="6" t="s">
        <v>426</v>
      </c>
      <c r="C386" s="12"/>
      <c r="D386" s="4"/>
      <c r="E386" s="4">
        <v>0</v>
      </c>
      <c r="F386" s="4" t="s">
        <v>71</v>
      </c>
      <c r="G386" s="4">
        <v>0</v>
      </c>
      <c r="H386" s="4">
        <v>0</v>
      </c>
      <c r="I386" s="15"/>
      <c r="J386" s="9" t="str">
        <f t="shared" ref="J386:J449" si="6">IF(C386="",SUBSTITUTE(B386, "/", "."),LEFT(C386,16))</f>
        <v>PLAY.1</v>
      </c>
      <c r="K386" s="10">
        <f>IF(D386="",17,IF(C386="",17,_xlfn.XLOOKUP(D386,refs!$A$2:$A$21,refs!$B$2:$B$21,"")))</f>
        <v>17</v>
      </c>
      <c r="L386" t="str">
        <f>"PASSTHROUGH|"&amp;A386&amp;"^^/ s /io.in."&amp;B386&amp;".mute="&amp;E386&amp;",mode="&amp;F386&amp;",icon="&amp;G386&amp;",pol="&amp;H386&amp;",vph="&amp;I386&amp;",name="&amp;J386&amp;",col="&amp;K386&amp;","</f>
        <v>PASSTHROUGH|WING1^^/ s /io.in.PLAY.1.mute=0,mode=M,icon=0,pol=0,vph=,name=PLAY.1,col=17,</v>
      </c>
    </row>
    <row r="387" spans="1:12" ht="15.75" x14ac:dyDescent="0.25">
      <c r="A387" s="1" t="s">
        <v>66</v>
      </c>
      <c r="B387" s="6" t="s">
        <v>427</v>
      </c>
      <c r="C387" s="12"/>
      <c r="D387" s="4"/>
      <c r="E387" s="4">
        <v>0</v>
      </c>
      <c r="F387" s="4" t="s">
        <v>71</v>
      </c>
      <c r="G387" s="4">
        <v>0</v>
      </c>
      <c r="H387" s="4">
        <v>0</v>
      </c>
      <c r="I387" s="15"/>
      <c r="J387" s="9" t="str">
        <f t="shared" si="6"/>
        <v>PLAY.2</v>
      </c>
      <c r="K387" s="10">
        <f>IF(D387="",17,IF(C387="",17,_xlfn.XLOOKUP(D387,refs!$A$2:$A$21,refs!$B$2:$B$21,"")))</f>
        <v>17</v>
      </c>
      <c r="L387" t="str">
        <f>"PASSTHROUGH|"&amp;A387&amp;"^^/ s /io.in."&amp;B387&amp;".mute="&amp;E387&amp;",mode="&amp;F387&amp;",icon="&amp;G387&amp;",pol="&amp;H387&amp;",vph="&amp;I387&amp;",name="&amp;J387&amp;",col="&amp;K387&amp;","</f>
        <v>PASSTHROUGH|WING1^^/ s /io.in.PLAY.2.mute=0,mode=M,icon=0,pol=0,vph=,name=PLAY.2,col=17,</v>
      </c>
    </row>
    <row r="388" spans="1:12" ht="15.75" x14ac:dyDescent="0.25">
      <c r="A388" s="1" t="s">
        <v>66</v>
      </c>
      <c r="B388" s="6" t="s">
        <v>428</v>
      </c>
      <c r="C388" s="12"/>
      <c r="D388" s="4"/>
      <c r="E388" s="4">
        <v>0</v>
      </c>
      <c r="F388" s="4" t="s">
        <v>71</v>
      </c>
      <c r="G388" s="4">
        <v>0</v>
      </c>
      <c r="H388" s="4">
        <v>0</v>
      </c>
      <c r="I388" s="15"/>
      <c r="J388" s="9" t="str">
        <f t="shared" si="6"/>
        <v>PLAY.3</v>
      </c>
      <c r="K388" s="10">
        <f>IF(D388="",17,IF(C388="",17,_xlfn.XLOOKUP(D388,refs!$A$2:$A$21,refs!$B$2:$B$21,"")))</f>
        <v>17</v>
      </c>
      <c r="L388" t="str">
        <f>"PASSTHROUGH|"&amp;A388&amp;"^^/ s /io.in."&amp;B388&amp;".mute="&amp;E388&amp;",mode="&amp;F388&amp;",icon="&amp;G388&amp;",pol="&amp;H388&amp;",vph="&amp;I388&amp;",name="&amp;J388&amp;",col="&amp;K388&amp;","</f>
        <v>PASSTHROUGH|WING1^^/ s /io.in.PLAY.3.mute=0,mode=M,icon=0,pol=0,vph=,name=PLAY.3,col=17,</v>
      </c>
    </row>
    <row r="389" spans="1:12" ht="15.75" x14ac:dyDescent="0.25">
      <c r="A389" s="1" t="s">
        <v>66</v>
      </c>
      <c r="B389" s="6" t="s">
        <v>429</v>
      </c>
      <c r="C389" s="12"/>
      <c r="D389" s="4"/>
      <c r="E389" s="4">
        <v>0</v>
      </c>
      <c r="F389" s="4" t="s">
        <v>71</v>
      </c>
      <c r="G389" s="4">
        <v>0</v>
      </c>
      <c r="H389" s="4">
        <v>0</v>
      </c>
      <c r="I389" s="15"/>
      <c r="J389" s="9" t="str">
        <f t="shared" si="6"/>
        <v>PLAY.4</v>
      </c>
      <c r="K389" s="10">
        <f>IF(D389="",17,IF(C389="",17,_xlfn.XLOOKUP(D389,refs!$A$2:$A$21,refs!$B$2:$B$21,"")))</f>
        <v>17</v>
      </c>
      <c r="L389" t="str">
        <f>"PASSTHROUGH|"&amp;A389&amp;"^^/ s /io.in."&amp;B389&amp;".mute="&amp;E389&amp;",mode="&amp;F389&amp;",icon="&amp;G389&amp;",pol="&amp;H389&amp;",vph="&amp;I389&amp;",name="&amp;J389&amp;",col="&amp;K389&amp;","</f>
        <v>PASSTHROUGH|WING1^^/ s /io.in.PLAY.4.mute=0,mode=M,icon=0,pol=0,vph=,name=PLAY.4,col=17,</v>
      </c>
    </row>
    <row r="390" spans="1:12" ht="15.75" x14ac:dyDescent="0.25">
      <c r="A390" s="1" t="s">
        <v>66</v>
      </c>
      <c r="B390" s="6" t="s">
        <v>430</v>
      </c>
      <c r="C390" s="12"/>
      <c r="D390" s="4"/>
      <c r="E390" s="4">
        <v>0</v>
      </c>
      <c r="F390" s="4" t="s">
        <v>71</v>
      </c>
      <c r="G390" s="4">
        <v>0</v>
      </c>
      <c r="H390" s="4">
        <v>0</v>
      </c>
      <c r="I390" s="15"/>
      <c r="J390" s="9" t="str">
        <f t="shared" si="6"/>
        <v>AES.1</v>
      </c>
      <c r="K390" s="10">
        <f>IF(D390="",17,IF(C390="",17,_xlfn.XLOOKUP(D390,refs!$A$2:$A$21,refs!$B$2:$B$21,"")))</f>
        <v>17</v>
      </c>
      <c r="L390" t="str">
        <f>"PASSTHROUGH|"&amp;A390&amp;"^^/ s /io.in."&amp;B390&amp;".mute="&amp;E390&amp;",mode="&amp;F390&amp;",icon="&amp;G390&amp;",pol="&amp;H390&amp;",vph="&amp;I390&amp;",name="&amp;J390&amp;",col="&amp;K390&amp;","</f>
        <v>PASSTHROUGH|WING1^^/ s /io.in.AES.1.mute=0,mode=M,icon=0,pol=0,vph=,name=AES.1,col=17,</v>
      </c>
    </row>
    <row r="391" spans="1:12" ht="15.75" x14ac:dyDescent="0.25">
      <c r="A391" s="1" t="s">
        <v>66</v>
      </c>
      <c r="B391" s="6" t="s">
        <v>431</v>
      </c>
      <c r="C391" s="12"/>
      <c r="D391" s="4"/>
      <c r="E391" s="4">
        <v>0</v>
      </c>
      <c r="F391" s="4" t="s">
        <v>71</v>
      </c>
      <c r="G391" s="4">
        <v>0</v>
      </c>
      <c r="H391" s="4">
        <v>0</v>
      </c>
      <c r="I391" s="15"/>
      <c r="J391" s="9" t="str">
        <f t="shared" si="6"/>
        <v>AES.2</v>
      </c>
      <c r="K391" s="10">
        <f>IF(D391="",17,IF(C391="",17,_xlfn.XLOOKUP(D391,refs!$A$2:$A$21,refs!$B$2:$B$21,"")))</f>
        <v>17</v>
      </c>
      <c r="L391" t="str">
        <f>"PASSTHROUGH|"&amp;A391&amp;"^^/ s /io.in."&amp;B391&amp;".mute="&amp;E391&amp;",mode="&amp;F391&amp;",icon="&amp;G391&amp;",pol="&amp;H391&amp;",vph="&amp;I391&amp;",name="&amp;J391&amp;",col="&amp;K391&amp;","</f>
        <v>PASSTHROUGH|WING1^^/ s /io.in.AES.2.mute=0,mode=M,icon=0,pol=0,vph=,name=AES.2,col=17,</v>
      </c>
    </row>
    <row r="392" spans="1:12" ht="15.75" x14ac:dyDescent="0.25">
      <c r="A392" s="1" t="s">
        <v>66</v>
      </c>
      <c r="B392" s="6" t="s">
        <v>432</v>
      </c>
      <c r="C392" s="12"/>
      <c r="D392" s="4"/>
      <c r="E392" s="4">
        <v>0</v>
      </c>
      <c r="F392" s="4" t="s">
        <v>71</v>
      </c>
      <c r="G392" s="4">
        <v>0</v>
      </c>
      <c r="H392" s="4">
        <v>0</v>
      </c>
      <c r="I392" s="15"/>
      <c r="J392" s="9" t="str">
        <f t="shared" si="6"/>
        <v>USR.1</v>
      </c>
      <c r="K392" s="10">
        <f>IF(D392="",17,IF(C392="",17,_xlfn.XLOOKUP(D392,refs!$A$2:$A$21,refs!$B$2:$B$21,"")))</f>
        <v>17</v>
      </c>
      <c r="L392" t="str">
        <f>"PASSTHROUGH|"&amp;A392&amp;"^^/ s /io.in."&amp;B392&amp;".mute="&amp;E392&amp;",mode="&amp;F392&amp;",icon="&amp;G392&amp;",pol="&amp;H392&amp;",vph="&amp;I392&amp;",name="&amp;J392&amp;",col="&amp;K392&amp;","</f>
        <v>PASSTHROUGH|WING1^^/ s /io.in.USR.1.mute=0,mode=M,icon=0,pol=0,vph=,name=USR.1,col=17,</v>
      </c>
    </row>
    <row r="393" spans="1:12" ht="15.75" x14ac:dyDescent="0.25">
      <c r="A393" s="1" t="s">
        <v>66</v>
      </c>
      <c r="B393" s="6" t="s">
        <v>433</v>
      </c>
      <c r="C393" s="12"/>
      <c r="D393" s="4"/>
      <c r="E393" s="4">
        <v>0</v>
      </c>
      <c r="F393" s="4" t="s">
        <v>71</v>
      </c>
      <c r="G393" s="4">
        <v>0</v>
      </c>
      <c r="H393" s="4">
        <v>0</v>
      </c>
      <c r="I393" s="15"/>
      <c r="J393" s="9" t="str">
        <f t="shared" si="6"/>
        <v>USR.2</v>
      </c>
      <c r="K393" s="10">
        <f>IF(D393="",17,IF(C393="",17,_xlfn.XLOOKUP(D393,refs!$A$2:$A$21,refs!$B$2:$B$21,"")))</f>
        <v>17</v>
      </c>
      <c r="L393" t="str">
        <f>"PASSTHROUGH|"&amp;A393&amp;"^^/ s /io.in."&amp;B393&amp;".mute="&amp;E393&amp;",mode="&amp;F393&amp;",icon="&amp;G393&amp;",pol="&amp;H393&amp;",vph="&amp;I393&amp;",name="&amp;J393&amp;",col="&amp;K393&amp;","</f>
        <v>PASSTHROUGH|WING1^^/ s /io.in.USR.2.mute=0,mode=M,icon=0,pol=0,vph=,name=USR.2,col=17,</v>
      </c>
    </row>
    <row r="394" spans="1:12" ht="15.75" x14ac:dyDescent="0.25">
      <c r="A394" s="1" t="s">
        <v>66</v>
      </c>
      <c r="B394" s="6" t="s">
        <v>434</v>
      </c>
      <c r="C394" s="12"/>
      <c r="D394" s="4"/>
      <c r="E394" s="4">
        <v>0</v>
      </c>
      <c r="F394" s="4" t="s">
        <v>71</v>
      </c>
      <c r="G394" s="4">
        <v>0</v>
      </c>
      <c r="H394" s="4">
        <v>0</v>
      </c>
      <c r="I394" s="15"/>
      <c r="J394" s="9" t="str">
        <f t="shared" si="6"/>
        <v>USR.3</v>
      </c>
      <c r="K394" s="10">
        <f>IF(D394="",17,IF(C394="",17,_xlfn.XLOOKUP(D394,refs!$A$2:$A$21,refs!$B$2:$B$21,"")))</f>
        <v>17</v>
      </c>
      <c r="L394" t="str">
        <f>"PASSTHROUGH|"&amp;A394&amp;"^^/ s /io.in."&amp;B394&amp;".mute="&amp;E394&amp;",mode="&amp;F394&amp;",icon="&amp;G394&amp;",pol="&amp;H394&amp;",vph="&amp;I394&amp;",name="&amp;J394&amp;",col="&amp;K394&amp;","</f>
        <v>PASSTHROUGH|WING1^^/ s /io.in.USR.3.mute=0,mode=M,icon=0,pol=0,vph=,name=USR.3,col=17,</v>
      </c>
    </row>
    <row r="395" spans="1:12" ht="15.75" x14ac:dyDescent="0.25">
      <c r="A395" s="1" t="s">
        <v>66</v>
      </c>
      <c r="B395" s="6" t="s">
        <v>435</v>
      </c>
      <c r="C395" s="12"/>
      <c r="D395" s="4"/>
      <c r="E395" s="4">
        <v>0</v>
      </c>
      <c r="F395" s="4" t="s">
        <v>71</v>
      </c>
      <c r="G395" s="4">
        <v>0</v>
      </c>
      <c r="H395" s="4">
        <v>0</v>
      </c>
      <c r="I395" s="15"/>
      <c r="J395" s="9" t="str">
        <f t="shared" si="6"/>
        <v>USR.4</v>
      </c>
      <c r="K395" s="10">
        <f>IF(D395="",17,IF(C395="",17,_xlfn.XLOOKUP(D395,refs!$A$2:$A$21,refs!$B$2:$B$21,"")))</f>
        <v>17</v>
      </c>
      <c r="L395" t="str">
        <f>"PASSTHROUGH|"&amp;A395&amp;"^^/ s /io.in."&amp;B395&amp;".mute="&amp;E395&amp;",mode="&amp;F395&amp;",icon="&amp;G395&amp;",pol="&amp;H395&amp;",vph="&amp;I395&amp;",name="&amp;J395&amp;",col="&amp;K395&amp;","</f>
        <v>PASSTHROUGH|WING1^^/ s /io.in.USR.4.mute=0,mode=M,icon=0,pol=0,vph=,name=USR.4,col=17,</v>
      </c>
    </row>
    <row r="396" spans="1:12" ht="15.75" x14ac:dyDescent="0.25">
      <c r="A396" s="1" t="s">
        <v>66</v>
      </c>
      <c r="B396" s="6" t="s">
        <v>436</v>
      </c>
      <c r="C396" s="12"/>
      <c r="D396" s="4"/>
      <c r="E396" s="4">
        <v>0</v>
      </c>
      <c r="F396" s="4" t="s">
        <v>71</v>
      </c>
      <c r="G396" s="4">
        <v>0</v>
      </c>
      <c r="H396" s="4">
        <v>0</v>
      </c>
      <c r="I396" s="15"/>
      <c r="J396" s="9" t="str">
        <f t="shared" si="6"/>
        <v>USR.5</v>
      </c>
      <c r="K396" s="10">
        <f>IF(D396="",17,IF(C396="",17,_xlfn.XLOOKUP(D396,refs!$A$2:$A$21,refs!$B$2:$B$21,"")))</f>
        <v>17</v>
      </c>
      <c r="L396" t="str">
        <f>"PASSTHROUGH|"&amp;A396&amp;"^^/ s /io.in."&amp;B396&amp;".mute="&amp;E396&amp;",mode="&amp;F396&amp;",icon="&amp;G396&amp;",pol="&amp;H396&amp;",vph="&amp;I396&amp;",name="&amp;J396&amp;",col="&amp;K396&amp;","</f>
        <v>PASSTHROUGH|WING1^^/ s /io.in.USR.5.mute=0,mode=M,icon=0,pol=0,vph=,name=USR.5,col=17,</v>
      </c>
    </row>
    <row r="397" spans="1:12" ht="15.75" x14ac:dyDescent="0.25">
      <c r="A397" s="1" t="s">
        <v>66</v>
      </c>
      <c r="B397" s="6" t="s">
        <v>437</v>
      </c>
      <c r="C397" s="12"/>
      <c r="D397" s="4"/>
      <c r="E397" s="4">
        <v>0</v>
      </c>
      <c r="F397" s="4" t="s">
        <v>71</v>
      </c>
      <c r="G397" s="4">
        <v>0</v>
      </c>
      <c r="H397" s="4">
        <v>0</v>
      </c>
      <c r="I397" s="15"/>
      <c r="J397" s="9" t="str">
        <f t="shared" si="6"/>
        <v>USR.6</v>
      </c>
      <c r="K397" s="10">
        <f>IF(D397="",17,IF(C397="",17,_xlfn.XLOOKUP(D397,refs!$A$2:$A$21,refs!$B$2:$B$21,"")))</f>
        <v>17</v>
      </c>
      <c r="L397" t="str">
        <f>"PASSTHROUGH|"&amp;A397&amp;"^^/ s /io.in."&amp;B397&amp;".mute="&amp;E397&amp;",mode="&amp;F397&amp;",icon="&amp;G397&amp;",pol="&amp;H397&amp;",vph="&amp;I397&amp;",name="&amp;J397&amp;",col="&amp;K397&amp;","</f>
        <v>PASSTHROUGH|WING1^^/ s /io.in.USR.6.mute=0,mode=M,icon=0,pol=0,vph=,name=USR.6,col=17,</v>
      </c>
    </row>
    <row r="398" spans="1:12" ht="15.75" x14ac:dyDescent="0.25">
      <c r="A398" s="1" t="s">
        <v>66</v>
      </c>
      <c r="B398" s="6" t="s">
        <v>438</v>
      </c>
      <c r="C398" s="12"/>
      <c r="D398" s="4"/>
      <c r="E398" s="4">
        <v>0</v>
      </c>
      <c r="F398" s="4" t="s">
        <v>71</v>
      </c>
      <c r="G398" s="4">
        <v>0</v>
      </c>
      <c r="H398" s="4">
        <v>0</v>
      </c>
      <c r="I398" s="15"/>
      <c r="J398" s="9" t="str">
        <f t="shared" si="6"/>
        <v>USR.7</v>
      </c>
      <c r="K398" s="10">
        <f>IF(D398="",17,IF(C398="",17,_xlfn.XLOOKUP(D398,refs!$A$2:$A$21,refs!$B$2:$B$21,"")))</f>
        <v>17</v>
      </c>
      <c r="L398" t="str">
        <f>"PASSTHROUGH|"&amp;A398&amp;"^^/ s /io.in."&amp;B398&amp;".mute="&amp;E398&amp;",mode="&amp;F398&amp;",icon="&amp;G398&amp;",pol="&amp;H398&amp;",vph="&amp;I398&amp;",name="&amp;J398&amp;",col="&amp;K398&amp;","</f>
        <v>PASSTHROUGH|WING1^^/ s /io.in.USR.7.mute=0,mode=M,icon=0,pol=0,vph=,name=USR.7,col=17,</v>
      </c>
    </row>
    <row r="399" spans="1:12" ht="15.75" x14ac:dyDescent="0.25">
      <c r="A399" s="1" t="s">
        <v>66</v>
      </c>
      <c r="B399" s="6" t="s">
        <v>439</v>
      </c>
      <c r="C399" s="12"/>
      <c r="D399" s="4"/>
      <c r="E399" s="4">
        <v>0</v>
      </c>
      <c r="F399" s="4" t="s">
        <v>71</v>
      </c>
      <c r="G399" s="4">
        <v>0</v>
      </c>
      <c r="H399" s="4">
        <v>0</v>
      </c>
      <c r="I399" s="15"/>
      <c r="J399" s="9" t="str">
        <f t="shared" si="6"/>
        <v>USR.8</v>
      </c>
      <c r="K399" s="10">
        <f>IF(D399="",17,IF(C399="",17,_xlfn.XLOOKUP(D399,refs!$A$2:$A$21,refs!$B$2:$B$21,"")))</f>
        <v>17</v>
      </c>
      <c r="L399" t="str">
        <f>"PASSTHROUGH|"&amp;A399&amp;"^^/ s /io.in."&amp;B399&amp;".mute="&amp;E399&amp;",mode="&amp;F399&amp;",icon="&amp;G399&amp;",pol="&amp;H399&amp;",vph="&amp;I399&amp;",name="&amp;J399&amp;",col="&amp;K399&amp;","</f>
        <v>PASSTHROUGH|WING1^^/ s /io.in.USR.8.mute=0,mode=M,icon=0,pol=0,vph=,name=USR.8,col=17,</v>
      </c>
    </row>
    <row r="400" spans="1:12" ht="15.75" x14ac:dyDescent="0.25">
      <c r="A400" s="1" t="s">
        <v>66</v>
      </c>
      <c r="B400" s="6" t="s">
        <v>440</v>
      </c>
      <c r="C400" s="12"/>
      <c r="D400" s="4"/>
      <c r="E400" s="4">
        <v>0</v>
      </c>
      <c r="F400" s="4" t="s">
        <v>71</v>
      </c>
      <c r="G400" s="4">
        <v>0</v>
      </c>
      <c r="H400" s="4">
        <v>0</v>
      </c>
      <c r="I400" s="15"/>
      <c r="J400" s="9" t="str">
        <f t="shared" si="6"/>
        <v>USR.9</v>
      </c>
      <c r="K400" s="10">
        <f>IF(D400="",17,IF(C400="",17,_xlfn.XLOOKUP(D400,refs!$A$2:$A$21,refs!$B$2:$B$21,"")))</f>
        <v>17</v>
      </c>
      <c r="L400" t="str">
        <f>"PASSTHROUGH|"&amp;A400&amp;"^^/ s /io.in."&amp;B400&amp;".mute="&amp;E400&amp;",mode="&amp;F400&amp;",icon="&amp;G400&amp;",pol="&amp;H400&amp;",vph="&amp;I400&amp;",name="&amp;J400&amp;",col="&amp;K400&amp;","</f>
        <v>PASSTHROUGH|WING1^^/ s /io.in.USR.9.mute=0,mode=M,icon=0,pol=0,vph=,name=USR.9,col=17,</v>
      </c>
    </row>
    <row r="401" spans="1:12" ht="15.75" x14ac:dyDescent="0.25">
      <c r="A401" s="1" t="s">
        <v>66</v>
      </c>
      <c r="B401" s="6" t="s">
        <v>441</v>
      </c>
      <c r="C401" s="12"/>
      <c r="D401" s="4"/>
      <c r="E401" s="4">
        <v>0</v>
      </c>
      <c r="F401" s="4" t="s">
        <v>71</v>
      </c>
      <c r="G401" s="4">
        <v>0</v>
      </c>
      <c r="H401" s="4">
        <v>0</v>
      </c>
      <c r="I401" s="15"/>
      <c r="J401" s="9" t="str">
        <f t="shared" si="6"/>
        <v>USR.10</v>
      </c>
      <c r="K401" s="10">
        <f>IF(D401="",17,IF(C401="",17,_xlfn.XLOOKUP(D401,refs!$A$2:$A$21,refs!$B$2:$B$21,"")))</f>
        <v>17</v>
      </c>
      <c r="L401" t="str">
        <f>"PASSTHROUGH|"&amp;A401&amp;"^^/ s /io.in."&amp;B401&amp;".mute="&amp;E401&amp;",mode="&amp;F401&amp;",icon="&amp;G401&amp;",pol="&amp;H401&amp;",vph="&amp;I401&amp;",name="&amp;J401&amp;",col="&amp;K401&amp;","</f>
        <v>PASSTHROUGH|WING1^^/ s /io.in.USR.10.mute=0,mode=M,icon=0,pol=0,vph=,name=USR.10,col=17,</v>
      </c>
    </row>
    <row r="402" spans="1:12" ht="15.75" x14ac:dyDescent="0.25">
      <c r="A402" s="1" t="s">
        <v>66</v>
      </c>
      <c r="B402" s="6" t="s">
        <v>442</v>
      </c>
      <c r="C402" s="12"/>
      <c r="D402" s="4"/>
      <c r="E402" s="4">
        <v>0</v>
      </c>
      <c r="F402" s="4" t="s">
        <v>71</v>
      </c>
      <c r="G402" s="4">
        <v>0</v>
      </c>
      <c r="H402" s="4">
        <v>0</v>
      </c>
      <c r="I402" s="15"/>
      <c r="J402" s="9" t="str">
        <f t="shared" si="6"/>
        <v>USR.11</v>
      </c>
      <c r="K402" s="10">
        <f>IF(D402="",17,IF(C402="",17,_xlfn.XLOOKUP(D402,refs!$A$2:$A$21,refs!$B$2:$B$21,"")))</f>
        <v>17</v>
      </c>
      <c r="L402" t="str">
        <f>"PASSTHROUGH|"&amp;A402&amp;"^^/ s /io.in."&amp;B402&amp;".mute="&amp;E402&amp;",mode="&amp;F402&amp;",icon="&amp;G402&amp;",pol="&amp;H402&amp;",vph="&amp;I402&amp;",name="&amp;J402&amp;",col="&amp;K402&amp;","</f>
        <v>PASSTHROUGH|WING1^^/ s /io.in.USR.11.mute=0,mode=M,icon=0,pol=0,vph=,name=USR.11,col=17,</v>
      </c>
    </row>
    <row r="403" spans="1:12" ht="15.75" x14ac:dyDescent="0.25">
      <c r="A403" s="1" t="s">
        <v>66</v>
      </c>
      <c r="B403" s="6" t="s">
        <v>443</v>
      </c>
      <c r="C403" s="12"/>
      <c r="D403" s="4"/>
      <c r="E403" s="4">
        <v>0</v>
      </c>
      <c r="F403" s="4" t="s">
        <v>71</v>
      </c>
      <c r="G403" s="4">
        <v>0</v>
      </c>
      <c r="H403" s="4">
        <v>0</v>
      </c>
      <c r="I403" s="15"/>
      <c r="J403" s="9" t="str">
        <f t="shared" si="6"/>
        <v>USR.12</v>
      </c>
      <c r="K403" s="10">
        <f>IF(D403="",17,IF(C403="",17,_xlfn.XLOOKUP(D403,refs!$A$2:$A$21,refs!$B$2:$B$21,"")))</f>
        <v>17</v>
      </c>
      <c r="L403" t="str">
        <f>"PASSTHROUGH|"&amp;A403&amp;"^^/ s /io.in."&amp;B403&amp;".mute="&amp;E403&amp;",mode="&amp;F403&amp;",icon="&amp;G403&amp;",pol="&amp;H403&amp;",vph="&amp;I403&amp;",name="&amp;J403&amp;",col="&amp;K403&amp;","</f>
        <v>PASSTHROUGH|WING1^^/ s /io.in.USR.12.mute=0,mode=M,icon=0,pol=0,vph=,name=USR.12,col=17,</v>
      </c>
    </row>
    <row r="404" spans="1:12" ht="15.75" x14ac:dyDescent="0.25">
      <c r="A404" s="1" t="s">
        <v>66</v>
      </c>
      <c r="B404" s="6" t="s">
        <v>444</v>
      </c>
      <c r="C404" s="12"/>
      <c r="D404" s="4"/>
      <c r="E404" s="4">
        <v>0</v>
      </c>
      <c r="F404" s="4" t="s">
        <v>71</v>
      </c>
      <c r="G404" s="4">
        <v>0</v>
      </c>
      <c r="H404" s="4">
        <v>0</v>
      </c>
      <c r="I404" s="15"/>
      <c r="J404" s="9" t="str">
        <f t="shared" si="6"/>
        <v>USR.13</v>
      </c>
      <c r="K404" s="10">
        <f>IF(D404="",17,IF(C404="",17,_xlfn.XLOOKUP(D404,refs!$A$2:$A$21,refs!$B$2:$B$21,"")))</f>
        <v>17</v>
      </c>
      <c r="L404" t="str">
        <f>"PASSTHROUGH|"&amp;A404&amp;"^^/ s /io.in."&amp;B404&amp;".mute="&amp;E404&amp;",mode="&amp;F404&amp;",icon="&amp;G404&amp;",pol="&amp;H404&amp;",vph="&amp;I404&amp;",name="&amp;J404&amp;",col="&amp;K404&amp;","</f>
        <v>PASSTHROUGH|WING1^^/ s /io.in.USR.13.mute=0,mode=M,icon=0,pol=0,vph=,name=USR.13,col=17,</v>
      </c>
    </row>
    <row r="405" spans="1:12" ht="15.75" x14ac:dyDescent="0.25">
      <c r="A405" s="1" t="s">
        <v>66</v>
      </c>
      <c r="B405" s="6" t="s">
        <v>445</v>
      </c>
      <c r="C405" s="12"/>
      <c r="D405" s="4"/>
      <c r="E405" s="4">
        <v>0</v>
      </c>
      <c r="F405" s="4" t="s">
        <v>71</v>
      </c>
      <c r="G405" s="4">
        <v>0</v>
      </c>
      <c r="H405" s="4">
        <v>0</v>
      </c>
      <c r="I405" s="15"/>
      <c r="J405" s="9" t="str">
        <f t="shared" si="6"/>
        <v>USR.14</v>
      </c>
      <c r="K405" s="10">
        <f>IF(D405="",17,IF(C405="",17,_xlfn.XLOOKUP(D405,refs!$A$2:$A$21,refs!$B$2:$B$21,"")))</f>
        <v>17</v>
      </c>
      <c r="L405" t="str">
        <f>"PASSTHROUGH|"&amp;A405&amp;"^^/ s /io.in."&amp;B405&amp;".mute="&amp;E405&amp;",mode="&amp;F405&amp;",icon="&amp;G405&amp;",pol="&amp;H405&amp;",vph="&amp;I405&amp;",name="&amp;J405&amp;",col="&amp;K405&amp;","</f>
        <v>PASSTHROUGH|WING1^^/ s /io.in.USR.14.mute=0,mode=M,icon=0,pol=0,vph=,name=USR.14,col=17,</v>
      </c>
    </row>
    <row r="406" spans="1:12" ht="15.75" x14ac:dyDescent="0.25">
      <c r="A406" s="1" t="s">
        <v>66</v>
      </c>
      <c r="B406" s="6" t="s">
        <v>446</v>
      </c>
      <c r="C406" s="12"/>
      <c r="D406" s="4"/>
      <c r="E406" s="4">
        <v>0</v>
      </c>
      <c r="F406" s="4" t="s">
        <v>71</v>
      </c>
      <c r="G406" s="4">
        <v>0</v>
      </c>
      <c r="H406" s="4">
        <v>0</v>
      </c>
      <c r="I406" s="15"/>
      <c r="J406" s="9" t="str">
        <f t="shared" si="6"/>
        <v>USR.15</v>
      </c>
      <c r="K406" s="10">
        <f>IF(D406="",17,IF(C406="",17,_xlfn.XLOOKUP(D406,refs!$A$2:$A$21,refs!$B$2:$B$21,"")))</f>
        <v>17</v>
      </c>
      <c r="L406" t="str">
        <f>"PASSTHROUGH|"&amp;A406&amp;"^^/ s /io.in."&amp;B406&amp;".mute="&amp;E406&amp;",mode="&amp;F406&amp;",icon="&amp;G406&amp;",pol="&amp;H406&amp;",vph="&amp;I406&amp;",name="&amp;J406&amp;",col="&amp;K406&amp;","</f>
        <v>PASSTHROUGH|WING1^^/ s /io.in.USR.15.mute=0,mode=M,icon=0,pol=0,vph=,name=USR.15,col=17,</v>
      </c>
    </row>
    <row r="407" spans="1:12" ht="15.75" x14ac:dyDescent="0.25">
      <c r="A407" s="1" t="s">
        <v>66</v>
      </c>
      <c r="B407" s="6" t="s">
        <v>447</v>
      </c>
      <c r="C407" s="12"/>
      <c r="D407" s="4"/>
      <c r="E407" s="4">
        <v>0</v>
      </c>
      <c r="F407" s="4" t="s">
        <v>71</v>
      </c>
      <c r="G407" s="4">
        <v>0</v>
      </c>
      <c r="H407" s="4">
        <v>0</v>
      </c>
      <c r="I407" s="15"/>
      <c r="J407" s="9" t="str">
        <f t="shared" si="6"/>
        <v>USR.16</v>
      </c>
      <c r="K407" s="10">
        <f>IF(D407="",17,IF(C407="",17,_xlfn.XLOOKUP(D407,refs!$A$2:$A$21,refs!$B$2:$B$21,"")))</f>
        <v>17</v>
      </c>
      <c r="L407" t="str">
        <f>"PASSTHROUGH|"&amp;A407&amp;"^^/ s /io.in."&amp;B407&amp;".mute="&amp;E407&amp;",mode="&amp;F407&amp;",icon="&amp;G407&amp;",pol="&amp;H407&amp;",vph="&amp;I407&amp;",name="&amp;J407&amp;",col="&amp;K407&amp;","</f>
        <v>PASSTHROUGH|WING1^^/ s /io.in.USR.16.mute=0,mode=M,icon=0,pol=0,vph=,name=USR.16,col=17,</v>
      </c>
    </row>
    <row r="408" spans="1:12" ht="15.75" x14ac:dyDescent="0.25">
      <c r="A408" s="1" t="s">
        <v>66</v>
      </c>
      <c r="B408" s="6" t="s">
        <v>448</v>
      </c>
      <c r="C408" s="12"/>
      <c r="D408" s="4"/>
      <c r="E408" s="4">
        <v>0</v>
      </c>
      <c r="F408" s="4" t="s">
        <v>71</v>
      </c>
      <c r="G408" s="4">
        <v>0</v>
      </c>
      <c r="H408" s="4">
        <v>0</v>
      </c>
      <c r="I408" s="15"/>
      <c r="J408" s="9" t="str">
        <f t="shared" si="6"/>
        <v>USR.17</v>
      </c>
      <c r="K408" s="10">
        <f>IF(D408="",17,IF(C408="",17,_xlfn.XLOOKUP(D408,refs!$A$2:$A$21,refs!$B$2:$B$21,"")))</f>
        <v>17</v>
      </c>
      <c r="L408" t="str">
        <f>"PASSTHROUGH|"&amp;A408&amp;"^^/ s /io.in."&amp;B408&amp;".mute="&amp;E408&amp;",mode="&amp;F408&amp;",icon="&amp;G408&amp;",pol="&amp;H408&amp;",vph="&amp;I408&amp;",name="&amp;J408&amp;",col="&amp;K408&amp;","</f>
        <v>PASSTHROUGH|WING1^^/ s /io.in.USR.17.mute=0,mode=M,icon=0,pol=0,vph=,name=USR.17,col=17,</v>
      </c>
    </row>
    <row r="409" spans="1:12" ht="15.75" x14ac:dyDescent="0.25">
      <c r="A409" s="1" t="s">
        <v>66</v>
      </c>
      <c r="B409" s="6" t="s">
        <v>449</v>
      </c>
      <c r="C409" s="12"/>
      <c r="D409" s="4"/>
      <c r="E409" s="4">
        <v>0</v>
      </c>
      <c r="F409" s="4" t="s">
        <v>71</v>
      </c>
      <c r="G409" s="4">
        <v>0</v>
      </c>
      <c r="H409" s="4">
        <v>0</v>
      </c>
      <c r="I409" s="15"/>
      <c r="J409" s="9" t="str">
        <f t="shared" si="6"/>
        <v>USR.18</v>
      </c>
      <c r="K409" s="10">
        <f>IF(D409="",17,IF(C409="",17,_xlfn.XLOOKUP(D409,refs!$A$2:$A$21,refs!$B$2:$B$21,"")))</f>
        <v>17</v>
      </c>
      <c r="L409" t="str">
        <f>"PASSTHROUGH|"&amp;A409&amp;"^^/ s /io.in."&amp;B409&amp;".mute="&amp;E409&amp;",mode="&amp;F409&amp;",icon="&amp;G409&amp;",pol="&amp;H409&amp;",vph="&amp;I409&amp;",name="&amp;J409&amp;",col="&amp;K409&amp;","</f>
        <v>PASSTHROUGH|WING1^^/ s /io.in.USR.18.mute=0,mode=M,icon=0,pol=0,vph=,name=USR.18,col=17,</v>
      </c>
    </row>
    <row r="410" spans="1:12" ht="15.75" x14ac:dyDescent="0.25">
      <c r="A410" s="1" t="s">
        <v>66</v>
      </c>
      <c r="B410" s="6" t="s">
        <v>450</v>
      </c>
      <c r="C410" s="12"/>
      <c r="D410" s="4"/>
      <c r="E410" s="4">
        <v>0</v>
      </c>
      <c r="F410" s="4" t="s">
        <v>71</v>
      </c>
      <c r="G410" s="4">
        <v>0</v>
      </c>
      <c r="H410" s="4">
        <v>0</v>
      </c>
      <c r="I410" s="15"/>
      <c r="J410" s="9" t="str">
        <f t="shared" si="6"/>
        <v>USR.19</v>
      </c>
      <c r="K410" s="10">
        <f>IF(D410="",17,IF(C410="",17,_xlfn.XLOOKUP(D410,refs!$A$2:$A$21,refs!$B$2:$B$21,"")))</f>
        <v>17</v>
      </c>
      <c r="L410" t="str">
        <f>"PASSTHROUGH|"&amp;A410&amp;"^^/ s /io.in."&amp;B410&amp;".mute="&amp;E410&amp;",mode="&amp;F410&amp;",icon="&amp;G410&amp;",pol="&amp;H410&amp;",vph="&amp;I410&amp;",name="&amp;J410&amp;",col="&amp;K410&amp;","</f>
        <v>PASSTHROUGH|WING1^^/ s /io.in.USR.19.mute=0,mode=M,icon=0,pol=0,vph=,name=USR.19,col=17,</v>
      </c>
    </row>
    <row r="411" spans="1:12" ht="15.75" x14ac:dyDescent="0.25">
      <c r="A411" s="1" t="s">
        <v>66</v>
      </c>
      <c r="B411" s="6" t="s">
        <v>451</v>
      </c>
      <c r="C411" s="12"/>
      <c r="D411" s="4"/>
      <c r="E411" s="4">
        <v>0</v>
      </c>
      <c r="F411" s="4" t="s">
        <v>71</v>
      </c>
      <c r="G411" s="4">
        <v>0</v>
      </c>
      <c r="H411" s="4">
        <v>0</v>
      </c>
      <c r="I411" s="15"/>
      <c r="J411" s="9" t="str">
        <f t="shared" si="6"/>
        <v>USR.20</v>
      </c>
      <c r="K411" s="10">
        <f>IF(D411="",17,IF(C411="",17,_xlfn.XLOOKUP(D411,refs!$A$2:$A$21,refs!$B$2:$B$21,"")))</f>
        <v>17</v>
      </c>
      <c r="L411" t="str">
        <f>"PASSTHROUGH|"&amp;A411&amp;"^^/ s /io.in."&amp;B411&amp;".mute="&amp;E411&amp;",mode="&amp;F411&amp;",icon="&amp;G411&amp;",pol="&amp;H411&amp;",vph="&amp;I411&amp;",name="&amp;J411&amp;",col="&amp;K411&amp;","</f>
        <v>PASSTHROUGH|WING1^^/ s /io.in.USR.20.mute=0,mode=M,icon=0,pol=0,vph=,name=USR.20,col=17,</v>
      </c>
    </row>
    <row r="412" spans="1:12" ht="15.75" x14ac:dyDescent="0.25">
      <c r="A412" s="1" t="s">
        <v>66</v>
      </c>
      <c r="B412" s="6" t="s">
        <v>452</v>
      </c>
      <c r="C412" s="12"/>
      <c r="D412" s="4"/>
      <c r="E412" s="4">
        <v>0</v>
      </c>
      <c r="F412" s="4" t="s">
        <v>71</v>
      </c>
      <c r="G412" s="4">
        <v>0</v>
      </c>
      <c r="H412" s="4">
        <v>0</v>
      </c>
      <c r="I412" s="15"/>
      <c r="J412" s="9" t="str">
        <f t="shared" si="6"/>
        <v>USR.21</v>
      </c>
      <c r="K412" s="10">
        <f>IF(D412="",17,IF(C412="",17,_xlfn.XLOOKUP(D412,refs!$A$2:$A$21,refs!$B$2:$B$21,"")))</f>
        <v>17</v>
      </c>
      <c r="L412" t="str">
        <f>"PASSTHROUGH|"&amp;A412&amp;"^^/ s /io.in."&amp;B412&amp;".mute="&amp;E412&amp;",mode="&amp;F412&amp;",icon="&amp;G412&amp;",pol="&amp;H412&amp;",vph="&amp;I412&amp;",name="&amp;J412&amp;",col="&amp;K412&amp;","</f>
        <v>PASSTHROUGH|WING1^^/ s /io.in.USR.21.mute=0,mode=M,icon=0,pol=0,vph=,name=USR.21,col=17,</v>
      </c>
    </row>
    <row r="413" spans="1:12" ht="15.75" x14ac:dyDescent="0.25">
      <c r="A413" s="1" t="s">
        <v>66</v>
      </c>
      <c r="B413" s="6" t="s">
        <v>453</v>
      </c>
      <c r="C413" s="12"/>
      <c r="D413" s="4"/>
      <c r="E413" s="4">
        <v>0</v>
      </c>
      <c r="F413" s="4" t="s">
        <v>71</v>
      </c>
      <c r="G413" s="4">
        <v>0</v>
      </c>
      <c r="H413" s="4">
        <v>0</v>
      </c>
      <c r="I413" s="15"/>
      <c r="J413" s="9" t="str">
        <f t="shared" si="6"/>
        <v>USR.22</v>
      </c>
      <c r="K413" s="10">
        <f>IF(D413="",17,IF(C413="",17,_xlfn.XLOOKUP(D413,refs!$A$2:$A$21,refs!$B$2:$B$21,"")))</f>
        <v>17</v>
      </c>
      <c r="L413" t="str">
        <f>"PASSTHROUGH|"&amp;A413&amp;"^^/ s /io.in."&amp;B413&amp;".mute="&amp;E413&amp;",mode="&amp;F413&amp;",icon="&amp;G413&amp;",pol="&amp;H413&amp;",vph="&amp;I413&amp;",name="&amp;J413&amp;",col="&amp;K413&amp;","</f>
        <v>PASSTHROUGH|WING1^^/ s /io.in.USR.22.mute=0,mode=M,icon=0,pol=0,vph=,name=USR.22,col=17,</v>
      </c>
    </row>
    <row r="414" spans="1:12" ht="15.75" x14ac:dyDescent="0.25">
      <c r="A414" s="1" t="s">
        <v>66</v>
      </c>
      <c r="B414" s="6" t="s">
        <v>454</v>
      </c>
      <c r="C414" s="12"/>
      <c r="D414" s="4"/>
      <c r="E414" s="4">
        <v>0</v>
      </c>
      <c r="F414" s="4" t="s">
        <v>71</v>
      </c>
      <c r="G414" s="4">
        <v>0</v>
      </c>
      <c r="H414" s="4">
        <v>0</v>
      </c>
      <c r="I414" s="15"/>
      <c r="J414" s="9" t="str">
        <f t="shared" si="6"/>
        <v>USR.23</v>
      </c>
      <c r="K414" s="10">
        <f>IF(D414="",17,IF(C414="",17,_xlfn.XLOOKUP(D414,refs!$A$2:$A$21,refs!$B$2:$B$21,"")))</f>
        <v>17</v>
      </c>
      <c r="L414" t="str">
        <f>"PASSTHROUGH|"&amp;A414&amp;"^^/ s /io.in."&amp;B414&amp;".mute="&amp;E414&amp;",mode="&amp;F414&amp;",icon="&amp;G414&amp;",pol="&amp;H414&amp;",vph="&amp;I414&amp;",name="&amp;J414&amp;",col="&amp;K414&amp;","</f>
        <v>PASSTHROUGH|WING1^^/ s /io.in.USR.23.mute=0,mode=M,icon=0,pol=0,vph=,name=USR.23,col=17,</v>
      </c>
    </row>
    <row r="415" spans="1:12" ht="15.75" x14ac:dyDescent="0.25">
      <c r="A415" s="1" t="s">
        <v>66</v>
      </c>
      <c r="B415" s="6" t="s">
        <v>455</v>
      </c>
      <c r="C415" s="12"/>
      <c r="D415" s="4"/>
      <c r="E415" s="4">
        <v>0</v>
      </c>
      <c r="F415" s="4" t="s">
        <v>71</v>
      </c>
      <c r="G415" s="4">
        <v>0</v>
      </c>
      <c r="H415" s="4">
        <v>0</v>
      </c>
      <c r="I415" s="15"/>
      <c r="J415" s="9" t="str">
        <f t="shared" si="6"/>
        <v>USR.24</v>
      </c>
      <c r="K415" s="10">
        <f>IF(D415="",17,IF(C415="",17,_xlfn.XLOOKUP(D415,refs!$A$2:$A$21,refs!$B$2:$B$21,"")))</f>
        <v>17</v>
      </c>
      <c r="L415" t="str">
        <f>"PASSTHROUGH|"&amp;A415&amp;"^^/ s /io.in."&amp;B415&amp;".mute="&amp;E415&amp;",mode="&amp;F415&amp;",icon="&amp;G415&amp;",pol="&amp;H415&amp;",vph="&amp;I415&amp;",name="&amp;J415&amp;",col="&amp;K415&amp;","</f>
        <v>PASSTHROUGH|WING1^^/ s /io.in.USR.24.mute=0,mode=M,icon=0,pol=0,vph=,name=USR.24,col=17,</v>
      </c>
    </row>
    <row r="416" spans="1:12" ht="15.75" x14ac:dyDescent="0.25">
      <c r="A416" s="1" t="s">
        <v>66</v>
      </c>
      <c r="B416" s="6" t="s">
        <v>456</v>
      </c>
      <c r="C416" s="12"/>
      <c r="D416" s="4"/>
      <c r="E416" s="4">
        <v>0</v>
      </c>
      <c r="F416" s="4" t="s">
        <v>71</v>
      </c>
      <c r="G416" s="4">
        <v>0</v>
      </c>
      <c r="H416" s="4">
        <v>0</v>
      </c>
      <c r="I416" s="15"/>
      <c r="J416" s="9" t="str">
        <f t="shared" si="6"/>
        <v>USR.25</v>
      </c>
      <c r="K416" s="10">
        <f>IF(D416="",17,IF(C416="",17,_xlfn.XLOOKUP(D416,refs!$A$2:$A$21,refs!$B$2:$B$21,"")))</f>
        <v>17</v>
      </c>
      <c r="L416" t="str">
        <f>"PASSTHROUGH|"&amp;A416&amp;"^^/ s /io.in."&amp;B416&amp;".mute="&amp;E416&amp;",mode="&amp;F416&amp;",icon="&amp;G416&amp;",pol="&amp;H416&amp;",vph="&amp;I416&amp;",name="&amp;J416&amp;",col="&amp;K416&amp;","</f>
        <v>PASSTHROUGH|WING1^^/ s /io.in.USR.25.mute=0,mode=M,icon=0,pol=0,vph=,name=USR.25,col=17,</v>
      </c>
    </row>
    <row r="417" spans="1:12" ht="15.75" x14ac:dyDescent="0.25">
      <c r="A417" s="1" t="s">
        <v>66</v>
      </c>
      <c r="B417" s="6" t="s">
        <v>457</v>
      </c>
      <c r="C417" s="12"/>
      <c r="D417" s="4"/>
      <c r="E417" s="4">
        <v>0</v>
      </c>
      <c r="F417" s="4" t="s">
        <v>71</v>
      </c>
      <c r="G417" s="4">
        <v>0</v>
      </c>
      <c r="H417" s="4">
        <v>0</v>
      </c>
      <c r="I417" s="15"/>
      <c r="J417" s="9" t="str">
        <f t="shared" si="6"/>
        <v>USR.26</v>
      </c>
      <c r="K417" s="10">
        <f>IF(D417="",17,IF(C417="",17,_xlfn.XLOOKUP(D417,refs!$A$2:$A$21,refs!$B$2:$B$21,"")))</f>
        <v>17</v>
      </c>
      <c r="L417" t="str">
        <f>"PASSTHROUGH|"&amp;A417&amp;"^^/ s /io.in."&amp;B417&amp;".mute="&amp;E417&amp;",mode="&amp;F417&amp;",icon="&amp;G417&amp;",pol="&amp;H417&amp;",vph="&amp;I417&amp;",name="&amp;J417&amp;",col="&amp;K417&amp;","</f>
        <v>PASSTHROUGH|WING1^^/ s /io.in.USR.26.mute=0,mode=M,icon=0,pol=0,vph=,name=USR.26,col=17,</v>
      </c>
    </row>
    <row r="418" spans="1:12" ht="15.75" x14ac:dyDescent="0.25">
      <c r="A418" s="1" t="s">
        <v>66</v>
      </c>
      <c r="B418" s="6" t="s">
        <v>458</v>
      </c>
      <c r="C418" s="12"/>
      <c r="D418" s="4"/>
      <c r="E418" s="4">
        <v>0</v>
      </c>
      <c r="F418" s="4" t="s">
        <v>71</v>
      </c>
      <c r="G418" s="4">
        <v>0</v>
      </c>
      <c r="H418" s="4">
        <v>0</v>
      </c>
      <c r="I418" s="15"/>
      <c r="J418" s="9" t="str">
        <f t="shared" si="6"/>
        <v>USR.27</v>
      </c>
      <c r="K418" s="10">
        <f>IF(D418="",17,IF(C418="",17,_xlfn.XLOOKUP(D418,refs!$A$2:$A$21,refs!$B$2:$B$21,"")))</f>
        <v>17</v>
      </c>
      <c r="L418" t="str">
        <f>"PASSTHROUGH|"&amp;A418&amp;"^^/ s /io.in."&amp;B418&amp;".mute="&amp;E418&amp;",mode="&amp;F418&amp;",icon="&amp;G418&amp;",pol="&amp;H418&amp;",vph="&amp;I418&amp;",name="&amp;J418&amp;",col="&amp;K418&amp;","</f>
        <v>PASSTHROUGH|WING1^^/ s /io.in.USR.27.mute=0,mode=M,icon=0,pol=0,vph=,name=USR.27,col=17,</v>
      </c>
    </row>
    <row r="419" spans="1:12" ht="15.75" x14ac:dyDescent="0.25">
      <c r="A419" s="1" t="s">
        <v>66</v>
      </c>
      <c r="B419" s="6" t="s">
        <v>459</v>
      </c>
      <c r="C419" s="12"/>
      <c r="D419" s="4"/>
      <c r="E419" s="4">
        <v>0</v>
      </c>
      <c r="F419" s="4" t="s">
        <v>71</v>
      </c>
      <c r="G419" s="4">
        <v>0</v>
      </c>
      <c r="H419" s="4">
        <v>0</v>
      </c>
      <c r="I419" s="15"/>
      <c r="J419" s="9" t="str">
        <f t="shared" si="6"/>
        <v>USR.28</v>
      </c>
      <c r="K419" s="10">
        <f>IF(D419="",17,IF(C419="",17,_xlfn.XLOOKUP(D419,refs!$A$2:$A$21,refs!$B$2:$B$21,"")))</f>
        <v>17</v>
      </c>
      <c r="L419" t="str">
        <f>"PASSTHROUGH|"&amp;A419&amp;"^^/ s /io.in."&amp;B419&amp;".mute="&amp;E419&amp;",mode="&amp;F419&amp;",icon="&amp;G419&amp;",pol="&amp;H419&amp;",vph="&amp;I419&amp;",name="&amp;J419&amp;",col="&amp;K419&amp;","</f>
        <v>PASSTHROUGH|WING1^^/ s /io.in.USR.28.mute=0,mode=M,icon=0,pol=0,vph=,name=USR.28,col=17,</v>
      </c>
    </row>
    <row r="420" spans="1:12" ht="15.75" x14ac:dyDescent="0.25">
      <c r="A420" s="1" t="s">
        <v>66</v>
      </c>
      <c r="B420" s="6" t="s">
        <v>460</v>
      </c>
      <c r="C420" s="12"/>
      <c r="D420" s="4"/>
      <c r="E420" s="4">
        <v>0</v>
      </c>
      <c r="F420" s="4" t="s">
        <v>71</v>
      </c>
      <c r="G420" s="4">
        <v>0</v>
      </c>
      <c r="H420" s="4">
        <v>0</v>
      </c>
      <c r="I420" s="15"/>
      <c r="J420" s="9" t="str">
        <f t="shared" si="6"/>
        <v>USR.29</v>
      </c>
      <c r="K420" s="10">
        <f>IF(D420="",17,IF(C420="",17,_xlfn.XLOOKUP(D420,refs!$A$2:$A$21,refs!$B$2:$B$21,"")))</f>
        <v>17</v>
      </c>
      <c r="L420" t="str">
        <f>"PASSTHROUGH|"&amp;A420&amp;"^^/ s /io.in."&amp;B420&amp;".mute="&amp;E420&amp;",mode="&amp;F420&amp;",icon="&amp;G420&amp;",pol="&amp;H420&amp;",vph="&amp;I420&amp;",name="&amp;J420&amp;",col="&amp;K420&amp;","</f>
        <v>PASSTHROUGH|WING1^^/ s /io.in.USR.29.mute=0,mode=M,icon=0,pol=0,vph=,name=USR.29,col=17,</v>
      </c>
    </row>
    <row r="421" spans="1:12" ht="15.75" x14ac:dyDescent="0.25">
      <c r="A421" s="1" t="s">
        <v>66</v>
      </c>
      <c r="B421" s="6" t="s">
        <v>461</v>
      </c>
      <c r="C421" s="12"/>
      <c r="D421" s="4"/>
      <c r="E421" s="4">
        <v>0</v>
      </c>
      <c r="F421" s="4" t="s">
        <v>71</v>
      </c>
      <c r="G421" s="4">
        <v>0</v>
      </c>
      <c r="H421" s="4">
        <v>0</v>
      </c>
      <c r="I421" s="15"/>
      <c r="J421" s="9" t="str">
        <f t="shared" si="6"/>
        <v>USR.30</v>
      </c>
      <c r="K421" s="10">
        <f>IF(D421="",17,IF(C421="",17,_xlfn.XLOOKUP(D421,refs!$A$2:$A$21,refs!$B$2:$B$21,"")))</f>
        <v>17</v>
      </c>
      <c r="L421" t="str">
        <f>"PASSTHROUGH|"&amp;A421&amp;"^^/ s /io.in."&amp;B421&amp;".mute="&amp;E421&amp;",mode="&amp;F421&amp;",icon="&amp;G421&amp;",pol="&amp;H421&amp;",vph="&amp;I421&amp;",name="&amp;J421&amp;",col="&amp;K421&amp;","</f>
        <v>PASSTHROUGH|WING1^^/ s /io.in.USR.30.mute=0,mode=M,icon=0,pol=0,vph=,name=USR.30,col=17,</v>
      </c>
    </row>
    <row r="422" spans="1:12" ht="15.75" x14ac:dyDescent="0.25">
      <c r="A422" s="1" t="s">
        <v>66</v>
      </c>
      <c r="B422" s="6" t="s">
        <v>462</v>
      </c>
      <c r="C422" s="12"/>
      <c r="D422" s="4"/>
      <c r="E422" s="4">
        <v>0</v>
      </c>
      <c r="F422" s="4" t="s">
        <v>71</v>
      </c>
      <c r="G422" s="4">
        <v>0</v>
      </c>
      <c r="H422" s="4">
        <v>0</v>
      </c>
      <c r="I422" s="15"/>
      <c r="J422" s="9" t="str">
        <f t="shared" si="6"/>
        <v>USR.31</v>
      </c>
      <c r="K422" s="10">
        <f>IF(D422="",17,IF(C422="",17,_xlfn.XLOOKUP(D422,refs!$A$2:$A$21,refs!$B$2:$B$21,"")))</f>
        <v>17</v>
      </c>
      <c r="L422" t="str">
        <f>"PASSTHROUGH|"&amp;A422&amp;"^^/ s /io.in."&amp;B422&amp;".mute="&amp;E422&amp;",mode="&amp;F422&amp;",icon="&amp;G422&amp;",pol="&amp;H422&amp;",vph="&amp;I422&amp;",name="&amp;J422&amp;",col="&amp;K422&amp;","</f>
        <v>PASSTHROUGH|WING1^^/ s /io.in.USR.31.mute=0,mode=M,icon=0,pol=0,vph=,name=USR.31,col=17,</v>
      </c>
    </row>
    <row r="423" spans="1:12" ht="15.75" x14ac:dyDescent="0.25">
      <c r="A423" s="1" t="s">
        <v>66</v>
      </c>
      <c r="B423" s="6" t="s">
        <v>463</v>
      </c>
      <c r="C423" s="12"/>
      <c r="D423" s="4"/>
      <c r="E423" s="4">
        <v>0</v>
      </c>
      <c r="F423" s="4" t="s">
        <v>71</v>
      </c>
      <c r="G423" s="4">
        <v>0</v>
      </c>
      <c r="H423" s="4">
        <v>0</v>
      </c>
      <c r="I423" s="15"/>
      <c r="J423" s="9" t="str">
        <f t="shared" si="6"/>
        <v>USR.32</v>
      </c>
      <c r="K423" s="10">
        <f>IF(D423="",17,IF(C423="",17,_xlfn.XLOOKUP(D423,refs!$A$2:$A$21,refs!$B$2:$B$21,"")))</f>
        <v>17</v>
      </c>
      <c r="L423" t="str">
        <f>"PASSTHROUGH|"&amp;A423&amp;"^^/ s /io.in."&amp;B423&amp;".mute="&amp;E423&amp;",mode="&amp;F423&amp;",icon="&amp;G423&amp;",pol="&amp;H423&amp;",vph="&amp;I423&amp;",name="&amp;J423&amp;",col="&amp;K423&amp;","</f>
        <v>PASSTHROUGH|WING1^^/ s /io.in.USR.32.mute=0,mode=M,icon=0,pol=0,vph=,name=USR.32,col=17,</v>
      </c>
    </row>
    <row r="424" spans="1:12" ht="15.75" x14ac:dyDescent="0.25">
      <c r="A424" s="1" t="s">
        <v>66</v>
      </c>
      <c r="B424" s="6" t="s">
        <v>464</v>
      </c>
      <c r="C424" s="12"/>
      <c r="D424" s="4"/>
      <c r="E424" s="4">
        <v>0</v>
      </c>
      <c r="F424" s="4" t="s">
        <v>71</v>
      </c>
      <c r="G424" s="4">
        <v>0</v>
      </c>
      <c r="H424" s="4">
        <v>0</v>
      </c>
      <c r="I424" s="15"/>
      <c r="J424" s="9" t="str">
        <f t="shared" si="6"/>
        <v>USR.33</v>
      </c>
      <c r="K424" s="10">
        <f>IF(D424="",17,IF(C424="",17,_xlfn.XLOOKUP(D424,refs!$A$2:$A$21,refs!$B$2:$B$21,"")))</f>
        <v>17</v>
      </c>
      <c r="L424" t="str">
        <f>"PASSTHROUGH|"&amp;A424&amp;"^^/ s /io.in."&amp;B424&amp;".mute="&amp;E424&amp;",mode="&amp;F424&amp;",icon="&amp;G424&amp;",pol="&amp;H424&amp;",vph="&amp;I424&amp;",name="&amp;J424&amp;",col="&amp;K424&amp;","</f>
        <v>PASSTHROUGH|WING1^^/ s /io.in.USR.33.mute=0,mode=M,icon=0,pol=0,vph=,name=USR.33,col=17,</v>
      </c>
    </row>
    <row r="425" spans="1:12" ht="15.75" x14ac:dyDescent="0.25">
      <c r="A425" s="1" t="s">
        <v>66</v>
      </c>
      <c r="B425" s="6" t="s">
        <v>465</v>
      </c>
      <c r="C425" s="12"/>
      <c r="D425" s="4"/>
      <c r="E425" s="4">
        <v>0</v>
      </c>
      <c r="F425" s="4" t="s">
        <v>71</v>
      </c>
      <c r="G425" s="4">
        <v>0</v>
      </c>
      <c r="H425" s="4">
        <v>0</v>
      </c>
      <c r="I425" s="15"/>
      <c r="J425" s="9" t="str">
        <f t="shared" si="6"/>
        <v>USR.34</v>
      </c>
      <c r="K425" s="10">
        <f>IF(D425="",17,IF(C425="",17,_xlfn.XLOOKUP(D425,refs!$A$2:$A$21,refs!$B$2:$B$21,"")))</f>
        <v>17</v>
      </c>
      <c r="L425" t="str">
        <f>"PASSTHROUGH|"&amp;A425&amp;"^^/ s /io.in."&amp;B425&amp;".mute="&amp;E425&amp;",mode="&amp;F425&amp;",icon="&amp;G425&amp;",pol="&amp;H425&amp;",vph="&amp;I425&amp;",name="&amp;J425&amp;",col="&amp;K425&amp;","</f>
        <v>PASSTHROUGH|WING1^^/ s /io.in.USR.34.mute=0,mode=M,icon=0,pol=0,vph=,name=USR.34,col=17,</v>
      </c>
    </row>
    <row r="426" spans="1:12" ht="15.75" x14ac:dyDescent="0.25">
      <c r="A426" s="1" t="s">
        <v>66</v>
      </c>
      <c r="B426" s="6" t="s">
        <v>466</v>
      </c>
      <c r="C426" s="12"/>
      <c r="D426" s="4"/>
      <c r="E426" s="4">
        <v>0</v>
      </c>
      <c r="F426" s="4" t="s">
        <v>71</v>
      </c>
      <c r="G426" s="4">
        <v>0</v>
      </c>
      <c r="H426" s="4">
        <v>0</v>
      </c>
      <c r="I426" s="15"/>
      <c r="J426" s="9" t="str">
        <f t="shared" si="6"/>
        <v>USR.35</v>
      </c>
      <c r="K426" s="10">
        <f>IF(D426="",17,IF(C426="",17,_xlfn.XLOOKUP(D426,refs!$A$2:$A$21,refs!$B$2:$B$21,"")))</f>
        <v>17</v>
      </c>
      <c r="L426" t="str">
        <f>"PASSTHROUGH|"&amp;A426&amp;"^^/ s /io.in."&amp;B426&amp;".mute="&amp;E426&amp;",mode="&amp;F426&amp;",icon="&amp;G426&amp;",pol="&amp;H426&amp;",vph="&amp;I426&amp;",name="&amp;J426&amp;",col="&amp;K426&amp;","</f>
        <v>PASSTHROUGH|WING1^^/ s /io.in.USR.35.mute=0,mode=M,icon=0,pol=0,vph=,name=USR.35,col=17,</v>
      </c>
    </row>
    <row r="427" spans="1:12" ht="15.75" x14ac:dyDescent="0.25">
      <c r="A427" s="1" t="s">
        <v>66</v>
      </c>
      <c r="B427" s="6" t="s">
        <v>467</v>
      </c>
      <c r="C427" s="12"/>
      <c r="D427" s="4"/>
      <c r="E427" s="4">
        <v>0</v>
      </c>
      <c r="F427" s="4" t="s">
        <v>71</v>
      </c>
      <c r="G427" s="4">
        <v>0</v>
      </c>
      <c r="H427" s="4">
        <v>0</v>
      </c>
      <c r="I427" s="15"/>
      <c r="J427" s="9" t="str">
        <f t="shared" si="6"/>
        <v>USR.36</v>
      </c>
      <c r="K427" s="10">
        <f>IF(D427="",17,IF(C427="",17,_xlfn.XLOOKUP(D427,refs!$A$2:$A$21,refs!$B$2:$B$21,"")))</f>
        <v>17</v>
      </c>
      <c r="L427" t="str">
        <f>"PASSTHROUGH|"&amp;A427&amp;"^^/ s /io.in."&amp;B427&amp;".mute="&amp;E427&amp;",mode="&amp;F427&amp;",icon="&amp;G427&amp;",pol="&amp;H427&amp;",vph="&amp;I427&amp;",name="&amp;J427&amp;",col="&amp;K427&amp;","</f>
        <v>PASSTHROUGH|WING1^^/ s /io.in.USR.36.mute=0,mode=M,icon=0,pol=0,vph=,name=USR.36,col=17,</v>
      </c>
    </row>
    <row r="428" spans="1:12" ht="15.75" x14ac:dyDescent="0.25">
      <c r="A428" s="1" t="s">
        <v>66</v>
      </c>
      <c r="B428" s="6" t="s">
        <v>468</v>
      </c>
      <c r="C428" s="12"/>
      <c r="D428" s="4"/>
      <c r="E428" s="4">
        <v>0</v>
      </c>
      <c r="F428" s="4" t="s">
        <v>71</v>
      </c>
      <c r="G428" s="4">
        <v>0</v>
      </c>
      <c r="H428" s="4">
        <v>0</v>
      </c>
      <c r="I428" s="15"/>
      <c r="J428" s="9" t="str">
        <f t="shared" si="6"/>
        <v>USR.37</v>
      </c>
      <c r="K428" s="10">
        <f>IF(D428="",17,IF(C428="",17,_xlfn.XLOOKUP(D428,refs!$A$2:$A$21,refs!$B$2:$B$21,"")))</f>
        <v>17</v>
      </c>
      <c r="L428" t="str">
        <f>"PASSTHROUGH|"&amp;A428&amp;"^^/ s /io.in."&amp;B428&amp;".mute="&amp;E428&amp;",mode="&amp;F428&amp;",icon="&amp;G428&amp;",pol="&amp;H428&amp;",vph="&amp;I428&amp;",name="&amp;J428&amp;",col="&amp;K428&amp;","</f>
        <v>PASSTHROUGH|WING1^^/ s /io.in.USR.37.mute=0,mode=M,icon=0,pol=0,vph=,name=USR.37,col=17,</v>
      </c>
    </row>
    <row r="429" spans="1:12" ht="15.75" x14ac:dyDescent="0.25">
      <c r="A429" s="1" t="s">
        <v>66</v>
      </c>
      <c r="B429" s="6" t="s">
        <v>469</v>
      </c>
      <c r="C429" s="12"/>
      <c r="D429" s="4"/>
      <c r="E429" s="4">
        <v>0</v>
      </c>
      <c r="F429" s="4" t="s">
        <v>71</v>
      </c>
      <c r="G429" s="4">
        <v>0</v>
      </c>
      <c r="H429" s="4">
        <v>0</v>
      </c>
      <c r="I429" s="15"/>
      <c r="J429" s="9" t="str">
        <f t="shared" si="6"/>
        <v>USR.38</v>
      </c>
      <c r="K429" s="10">
        <f>IF(D429="",17,IF(C429="",17,_xlfn.XLOOKUP(D429,refs!$A$2:$A$21,refs!$B$2:$B$21,"")))</f>
        <v>17</v>
      </c>
      <c r="L429" t="str">
        <f>"PASSTHROUGH|"&amp;A429&amp;"^^/ s /io.in."&amp;B429&amp;".mute="&amp;E429&amp;",mode="&amp;F429&amp;",icon="&amp;G429&amp;",pol="&amp;H429&amp;",vph="&amp;I429&amp;",name="&amp;J429&amp;",col="&amp;K429&amp;","</f>
        <v>PASSTHROUGH|WING1^^/ s /io.in.USR.38.mute=0,mode=M,icon=0,pol=0,vph=,name=USR.38,col=17,</v>
      </c>
    </row>
    <row r="430" spans="1:12" ht="15.75" x14ac:dyDescent="0.25">
      <c r="A430" s="1" t="s">
        <v>66</v>
      </c>
      <c r="B430" s="6" t="s">
        <v>470</v>
      </c>
      <c r="C430" s="12"/>
      <c r="D430" s="4"/>
      <c r="E430" s="4">
        <v>0</v>
      </c>
      <c r="F430" s="4" t="s">
        <v>71</v>
      </c>
      <c r="G430" s="4">
        <v>0</v>
      </c>
      <c r="H430" s="4">
        <v>0</v>
      </c>
      <c r="I430" s="15"/>
      <c r="J430" s="9" t="str">
        <f t="shared" si="6"/>
        <v>USR.39</v>
      </c>
      <c r="K430" s="10">
        <f>IF(D430="",17,IF(C430="",17,_xlfn.XLOOKUP(D430,refs!$A$2:$A$21,refs!$B$2:$B$21,"")))</f>
        <v>17</v>
      </c>
      <c r="L430" t="str">
        <f>"PASSTHROUGH|"&amp;A430&amp;"^^/ s /io.in."&amp;B430&amp;".mute="&amp;E430&amp;",mode="&amp;F430&amp;",icon="&amp;G430&amp;",pol="&amp;H430&amp;",vph="&amp;I430&amp;",name="&amp;J430&amp;",col="&amp;K430&amp;","</f>
        <v>PASSTHROUGH|WING1^^/ s /io.in.USR.39.mute=0,mode=M,icon=0,pol=0,vph=,name=USR.39,col=17,</v>
      </c>
    </row>
    <row r="431" spans="1:12" ht="15.75" x14ac:dyDescent="0.25">
      <c r="A431" s="1" t="s">
        <v>66</v>
      </c>
      <c r="B431" s="6" t="s">
        <v>471</v>
      </c>
      <c r="C431" s="12"/>
      <c r="D431" s="4"/>
      <c r="E431" s="4">
        <v>0</v>
      </c>
      <c r="F431" s="4" t="s">
        <v>71</v>
      </c>
      <c r="G431" s="4">
        <v>0</v>
      </c>
      <c r="H431" s="4">
        <v>0</v>
      </c>
      <c r="I431" s="15"/>
      <c r="J431" s="9" t="str">
        <f t="shared" si="6"/>
        <v>USR.40</v>
      </c>
      <c r="K431" s="10">
        <f>IF(D431="",17,IF(C431="",17,_xlfn.XLOOKUP(D431,refs!$A$2:$A$21,refs!$B$2:$B$21,"")))</f>
        <v>17</v>
      </c>
      <c r="L431" t="str">
        <f>"PASSTHROUGH|"&amp;A431&amp;"^^/ s /io.in."&amp;B431&amp;".mute="&amp;E431&amp;",mode="&amp;F431&amp;",icon="&amp;G431&amp;",pol="&amp;H431&amp;",vph="&amp;I431&amp;",name="&amp;J431&amp;",col="&amp;K431&amp;","</f>
        <v>PASSTHROUGH|WING1^^/ s /io.in.USR.40.mute=0,mode=M,icon=0,pol=0,vph=,name=USR.40,col=17,</v>
      </c>
    </row>
    <row r="432" spans="1:12" ht="15.75" x14ac:dyDescent="0.25">
      <c r="A432" s="1" t="s">
        <v>66</v>
      </c>
      <c r="B432" s="6" t="s">
        <v>472</v>
      </c>
      <c r="C432" s="12"/>
      <c r="D432" s="4"/>
      <c r="E432" s="4">
        <v>0</v>
      </c>
      <c r="F432" s="4" t="s">
        <v>71</v>
      </c>
      <c r="G432" s="4">
        <v>0</v>
      </c>
      <c r="H432" s="4">
        <v>0</v>
      </c>
      <c r="I432" s="15"/>
      <c r="J432" s="9" t="str">
        <f t="shared" si="6"/>
        <v>USR.41</v>
      </c>
      <c r="K432" s="10">
        <f>IF(D432="",17,IF(C432="",17,_xlfn.XLOOKUP(D432,refs!$A$2:$A$21,refs!$B$2:$B$21,"")))</f>
        <v>17</v>
      </c>
      <c r="L432" t="str">
        <f>"PASSTHROUGH|"&amp;A432&amp;"^^/ s /io.in."&amp;B432&amp;".mute="&amp;E432&amp;",mode="&amp;F432&amp;",icon="&amp;G432&amp;",pol="&amp;H432&amp;",vph="&amp;I432&amp;",name="&amp;J432&amp;",col="&amp;K432&amp;","</f>
        <v>PASSTHROUGH|WING1^^/ s /io.in.USR.41.mute=0,mode=M,icon=0,pol=0,vph=,name=USR.41,col=17,</v>
      </c>
    </row>
    <row r="433" spans="1:12" ht="15.75" x14ac:dyDescent="0.25">
      <c r="A433" s="1" t="s">
        <v>66</v>
      </c>
      <c r="B433" s="6" t="s">
        <v>473</v>
      </c>
      <c r="C433" s="12"/>
      <c r="D433" s="4"/>
      <c r="E433" s="4">
        <v>0</v>
      </c>
      <c r="F433" s="4" t="s">
        <v>71</v>
      </c>
      <c r="G433" s="4">
        <v>0</v>
      </c>
      <c r="H433" s="4">
        <v>0</v>
      </c>
      <c r="I433" s="15"/>
      <c r="J433" s="9" t="str">
        <f t="shared" si="6"/>
        <v>USR.42</v>
      </c>
      <c r="K433" s="10">
        <f>IF(D433="",17,IF(C433="",17,_xlfn.XLOOKUP(D433,refs!$A$2:$A$21,refs!$B$2:$B$21,"")))</f>
        <v>17</v>
      </c>
      <c r="L433" t="str">
        <f>"PASSTHROUGH|"&amp;A433&amp;"^^/ s /io.in."&amp;B433&amp;".mute="&amp;E433&amp;",mode="&amp;F433&amp;",icon="&amp;G433&amp;",pol="&amp;H433&amp;",vph="&amp;I433&amp;",name="&amp;J433&amp;",col="&amp;K433&amp;","</f>
        <v>PASSTHROUGH|WING1^^/ s /io.in.USR.42.mute=0,mode=M,icon=0,pol=0,vph=,name=USR.42,col=17,</v>
      </c>
    </row>
    <row r="434" spans="1:12" ht="15.75" x14ac:dyDescent="0.25">
      <c r="A434" s="1" t="s">
        <v>66</v>
      </c>
      <c r="B434" s="6" t="s">
        <v>474</v>
      </c>
      <c r="C434" s="12"/>
      <c r="D434" s="4"/>
      <c r="E434" s="4">
        <v>0</v>
      </c>
      <c r="F434" s="4" t="s">
        <v>71</v>
      </c>
      <c r="G434" s="4">
        <v>0</v>
      </c>
      <c r="H434" s="4">
        <v>0</v>
      </c>
      <c r="I434" s="15"/>
      <c r="J434" s="9" t="str">
        <f t="shared" si="6"/>
        <v>USR.43</v>
      </c>
      <c r="K434" s="10">
        <f>IF(D434="",17,IF(C434="",17,_xlfn.XLOOKUP(D434,refs!$A$2:$A$21,refs!$B$2:$B$21,"")))</f>
        <v>17</v>
      </c>
      <c r="L434" t="str">
        <f>"PASSTHROUGH|"&amp;A434&amp;"^^/ s /io.in."&amp;B434&amp;".mute="&amp;E434&amp;",mode="&amp;F434&amp;",icon="&amp;G434&amp;",pol="&amp;H434&amp;",vph="&amp;I434&amp;",name="&amp;J434&amp;",col="&amp;K434&amp;","</f>
        <v>PASSTHROUGH|WING1^^/ s /io.in.USR.43.mute=0,mode=M,icon=0,pol=0,vph=,name=USR.43,col=17,</v>
      </c>
    </row>
    <row r="435" spans="1:12" ht="15.75" x14ac:dyDescent="0.25">
      <c r="A435" s="1" t="s">
        <v>66</v>
      </c>
      <c r="B435" s="6" t="s">
        <v>475</v>
      </c>
      <c r="C435" s="12"/>
      <c r="D435" s="4"/>
      <c r="E435" s="4">
        <v>0</v>
      </c>
      <c r="F435" s="4" t="s">
        <v>71</v>
      </c>
      <c r="G435" s="4">
        <v>0</v>
      </c>
      <c r="H435" s="4">
        <v>0</v>
      </c>
      <c r="I435" s="15"/>
      <c r="J435" s="9" t="str">
        <f t="shared" si="6"/>
        <v>USR.44</v>
      </c>
      <c r="K435" s="10">
        <f>IF(D435="",17,IF(C435="",17,_xlfn.XLOOKUP(D435,refs!$A$2:$A$21,refs!$B$2:$B$21,"")))</f>
        <v>17</v>
      </c>
      <c r="L435" t="str">
        <f>"PASSTHROUGH|"&amp;A435&amp;"^^/ s /io.in."&amp;B435&amp;".mute="&amp;E435&amp;",mode="&amp;F435&amp;",icon="&amp;G435&amp;",pol="&amp;H435&amp;",vph="&amp;I435&amp;",name="&amp;J435&amp;",col="&amp;K435&amp;","</f>
        <v>PASSTHROUGH|WING1^^/ s /io.in.USR.44.mute=0,mode=M,icon=0,pol=0,vph=,name=USR.44,col=17,</v>
      </c>
    </row>
    <row r="436" spans="1:12" ht="15.75" x14ac:dyDescent="0.25">
      <c r="A436" s="1" t="s">
        <v>66</v>
      </c>
      <c r="B436" s="6" t="s">
        <v>476</v>
      </c>
      <c r="C436" s="12"/>
      <c r="D436" s="4"/>
      <c r="E436" s="4">
        <v>0</v>
      </c>
      <c r="F436" s="4" t="s">
        <v>71</v>
      </c>
      <c r="G436" s="4">
        <v>0</v>
      </c>
      <c r="H436" s="4">
        <v>0</v>
      </c>
      <c r="I436" s="15"/>
      <c r="J436" s="9" t="str">
        <f t="shared" si="6"/>
        <v>USR.45</v>
      </c>
      <c r="K436" s="10">
        <f>IF(D436="",17,IF(C436="",17,_xlfn.XLOOKUP(D436,refs!$A$2:$A$21,refs!$B$2:$B$21,"")))</f>
        <v>17</v>
      </c>
      <c r="L436" t="str">
        <f>"PASSTHROUGH|"&amp;A436&amp;"^^/ s /io.in."&amp;B436&amp;".mute="&amp;E436&amp;",mode="&amp;F436&amp;",icon="&amp;G436&amp;",pol="&amp;H436&amp;",vph="&amp;I436&amp;",name="&amp;J436&amp;",col="&amp;K436&amp;","</f>
        <v>PASSTHROUGH|WING1^^/ s /io.in.USR.45.mute=0,mode=M,icon=0,pol=0,vph=,name=USR.45,col=17,</v>
      </c>
    </row>
    <row r="437" spans="1:12" ht="15.75" x14ac:dyDescent="0.25">
      <c r="A437" s="1" t="s">
        <v>66</v>
      </c>
      <c r="B437" s="6" t="s">
        <v>477</v>
      </c>
      <c r="C437" s="12"/>
      <c r="D437" s="4"/>
      <c r="E437" s="4">
        <v>0</v>
      </c>
      <c r="F437" s="4" t="s">
        <v>71</v>
      </c>
      <c r="G437" s="4">
        <v>0</v>
      </c>
      <c r="H437" s="4">
        <v>0</v>
      </c>
      <c r="I437" s="15"/>
      <c r="J437" s="9" t="str">
        <f t="shared" si="6"/>
        <v>USR.46</v>
      </c>
      <c r="K437" s="10">
        <f>IF(D437="",17,IF(C437="",17,_xlfn.XLOOKUP(D437,refs!$A$2:$A$21,refs!$B$2:$B$21,"")))</f>
        <v>17</v>
      </c>
      <c r="L437" t="str">
        <f>"PASSTHROUGH|"&amp;A437&amp;"^^/ s /io.in."&amp;B437&amp;".mute="&amp;E437&amp;",mode="&amp;F437&amp;",icon="&amp;G437&amp;",pol="&amp;H437&amp;",vph="&amp;I437&amp;",name="&amp;J437&amp;",col="&amp;K437&amp;","</f>
        <v>PASSTHROUGH|WING1^^/ s /io.in.USR.46.mute=0,mode=M,icon=0,pol=0,vph=,name=USR.46,col=17,</v>
      </c>
    </row>
    <row r="438" spans="1:12" ht="15.75" x14ac:dyDescent="0.25">
      <c r="A438" s="1" t="s">
        <v>66</v>
      </c>
      <c r="B438" s="6" t="s">
        <v>478</v>
      </c>
      <c r="C438" s="12"/>
      <c r="D438" s="4"/>
      <c r="E438" s="4">
        <v>0</v>
      </c>
      <c r="F438" s="4" t="s">
        <v>71</v>
      </c>
      <c r="G438" s="4">
        <v>0</v>
      </c>
      <c r="H438" s="4">
        <v>0</v>
      </c>
      <c r="I438" s="15"/>
      <c r="J438" s="9" t="str">
        <f t="shared" si="6"/>
        <v>USR.47</v>
      </c>
      <c r="K438" s="10">
        <f>IF(D438="",17,IF(C438="",17,_xlfn.XLOOKUP(D438,refs!$A$2:$A$21,refs!$B$2:$B$21,"")))</f>
        <v>17</v>
      </c>
      <c r="L438" t="str">
        <f>"PASSTHROUGH|"&amp;A438&amp;"^^/ s /io.in."&amp;B438&amp;".mute="&amp;E438&amp;",mode="&amp;F438&amp;",icon="&amp;G438&amp;",pol="&amp;H438&amp;",vph="&amp;I438&amp;",name="&amp;J438&amp;",col="&amp;K438&amp;","</f>
        <v>PASSTHROUGH|WING1^^/ s /io.in.USR.47.mute=0,mode=M,icon=0,pol=0,vph=,name=USR.47,col=17,</v>
      </c>
    </row>
    <row r="439" spans="1:12" ht="15.75" x14ac:dyDescent="0.25">
      <c r="A439" s="1" t="s">
        <v>66</v>
      </c>
      <c r="B439" s="6" t="s">
        <v>479</v>
      </c>
      <c r="C439" s="12"/>
      <c r="D439" s="4"/>
      <c r="E439" s="4">
        <v>0</v>
      </c>
      <c r="F439" s="4" t="s">
        <v>71</v>
      </c>
      <c r="G439" s="4">
        <v>0</v>
      </c>
      <c r="H439" s="4">
        <v>0</v>
      </c>
      <c r="I439" s="15"/>
      <c r="J439" s="9" t="str">
        <f t="shared" si="6"/>
        <v>USR.48</v>
      </c>
      <c r="K439" s="10">
        <f>IF(D439="",17,IF(C439="",17,_xlfn.XLOOKUP(D439,refs!$A$2:$A$21,refs!$B$2:$B$21,"")))</f>
        <v>17</v>
      </c>
      <c r="L439" t="str">
        <f>"PASSTHROUGH|"&amp;A439&amp;"^^/ s /io.in."&amp;B439&amp;".mute="&amp;E439&amp;",mode="&amp;F439&amp;",icon="&amp;G439&amp;",pol="&amp;H439&amp;",vph="&amp;I439&amp;",name="&amp;J439&amp;",col="&amp;K439&amp;","</f>
        <v>PASSTHROUGH|WING1^^/ s /io.in.USR.48.mute=0,mode=M,icon=0,pol=0,vph=,name=USR.48,col=17,</v>
      </c>
    </row>
    <row r="440" spans="1:12" ht="15.75" x14ac:dyDescent="0.25">
      <c r="A440" s="1" t="s">
        <v>66</v>
      </c>
      <c r="B440" s="6" t="s">
        <v>480</v>
      </c>
      <c r="C440" s="12"/>
      <c r="D440" s="4"/>
      <c r="E440" s="4">
        <v>0</v>
      </c>
      <c r="F440" s="4" t="s">
        <v>71</v>
      </c>
      <c r="G440" s="4">
        <v>0</v>
      </c>
      <c r="H440" s="4">
        <v>0</v>
      </c>
      <c r="I440" s="15"/>
      <c r="J440" s="9" t="str">
        <f t="shared" si="6"/>
        <v>USR.49</v>
      </c>
      <c r="K440" s="10">
        <f>IF(D440="",17,IF(C440="",17,_xlfn.XLOOKUP(D440,refs!$A$2:$A$21,refs!$B$2:$B$21,"")))</f>
        <v>17</v>
      </c>
      <c r="L440" t="str">
        <f>"PASSTHROUGH|"&amp;A440&amp;"^^/ s /io.in."&amp;B440&amp;".mute="&amp;E440&amp;",mode="&amp;F440&amp;",icon="&amp;G440&amp;",pol="&amp;H440&amp;",vph="&amp;I440&amp;",name="&amp;J440&amp;",col="&amp;K440&amp;","</f>
        <v>PASSTHROUGH|WING1^^/ s /io.in.USR.49.mute=0,mode=M,icon=0,pol=0,vph=,name=USR.49,col=17,</v>
      </c>
    </row>
    <row r="441" spans="1:12" ht="15.75" x14ac:dyDescent="0.25">
      <c r="A441" s="1" t="s">
        <v>66</v>
      </c>
      <c r="B441" s="6" t="s">
        <v>481</v>
      </c>
      <c r="C441" s="12"/>
      <c r="D441" s="4"/>
      <c r="E441" s="4">
        <v>0</v>
      </c>
      <c r="F441" s="4" t="s">
        <v>71</v>
      </c>
      <c r="G441" s="4">
        <v>0</v>
      </c>
      <c r="H441" s="4">
        <v>0</v>
      </c>
      <c r="I441" s="15"/>
      <c r="J441" s="9" t="str">
        <f t="shared" si="6"/>
        <v>USR.50</v>
      </c>
      <c r="K441" s="10">
        <f>IF(D441="",17,IF(C441="",17,_xlfn.XLOOKUP(D441,refs!$A$2:$A$21,refs!$B$2:$B$21,"")))</f>
        <v>17</v>
      </c>
      <c r="L441" t="str">
        <f>"PASSTHROUGH|"&amp;A441&amp;"^^/ s /io.in."&amp;B441&amp;".mute="&amp;E441&amp;",mode="&amp;F441&amp;",icon="&amp;G441&amp;",pol="&amp;H441&amp;",vph="&amp;I441&amp;",name="&amp;J441&amp;",col="&amp;K441&amp;","</f>
        <v>PASSTHROUGH|WING1^^/ s /io.in.USR.50.mute=0,mode=M,icon=0,pol=0,vph=,name=USR.50,col=17,</v>
      </c>
    </row>
    <row r="442" spans="1:12" ht="15.75" x14ac:dyDescent="0.25">
      <c r="A442" s="1" t="s">
        <v>66</v>
      </c>
      <c r="B442" s="6" t="s">
        <v>482</v>
      </c>
      <c r="C442" s="12"/>
      <c r="D442" s="4"/>
      <c r="E442" s="4">
        <v>0</v>
      </c>
      <c r="F442" s="4" t="s">
        <v>71</v>
      </c>
      <c r="G442" s="4">
        <v>0</v>
      </c>
      <c r="H442" s="4">
        <v>0</v>
      </c>
      <c r="I442" s="15"/>
      <c r="J442" s="9" t="str">
        <f t="shared" si="6"/>
        <v>USR.51</v>
      </c>
      <c r="K442" s="10">
        <f>IF(D442="",17,IF(C442="",17,_xlfn.XLOOKUP(D442,refs!$A$2:$A$21,refs!$B$2:$B$21,"")))</f>
        <v>17</v>
      </c>
      <c r="L442" t="str">
        <f>"PASSTHROUGH|"&amp;A442&amp;"^^/ s /io.in."&amp;B442&amp;".mute="&amp;E442&amp;",mode="&amp;F442&amp;",icon="&amp;G442&amp;",pol="&amp;H442&amp;",vph="&amp;I442&amp;",name="&amp;J442&amp;",col="&amp;K442&amp;","</f>
        <v>PASSTHROUGH|WING1^^/ s /io.in.USR.51.mute=0,mode=M,icon=0,pol=0,vph=,name=USR.51,col=17,</v>
      </c>
    </row>
    <row r="443" spans="1:12" ht="15.75" x14ac:dyDescent="0.25">
      <c r="A443" s="1" t="s">
        <v>66</v>
      </c>
      <c r="B443" s="6" t="s">
        <v>483</v>
      </c>
      <c r="C443" s="12"/>
      <c r="D443" s="4"/>
      <c r="E443" s="4">
        <v>0</v>
      </c>
      <c r="F443" s="4" t="s">
        <v>71</v>
      </c>
      <c r="G443" s="4">
        <v>0</v>
      </c>
      <c r="H443" s="4">
        <v>0</v>
      </c>
      <c r="I443" s="15"/>
      <c r="J443" s="9" t="str">
        <f t="shared" si="6"/>
        <v>USR.52</v>
      </c>
      <c r="K443" s="10">
        <f>IF(D443="",17,IF(C443="",17,_xlfn.XLOOKUP(D443,refs!$A$2:$A$21,refs!$B$2:$B$21,"")))</f>
        <v>17</v>
      </c>
      <c r="L443" t="str">
        <f>"PASSTHROUGH|"&amp;A443&amp;"^^/ s /io.in."&amp;B443&amp;".mute="&amp;E443&amp;",mode="&amp;F443&amp;",icon="&amp;G443&amp;",pol="&amp;H443&amp;",vph="&amp;I443&amp;",name="&amp;J443&amp;",col="&amp;K443&amp;","</f>
        <v>PASSTHROUGH|WING1^^/ s /io.in.USR.52.mute=0,mode=M,icon=0,pol=0,vph=,name=USR.52,col=17,</v>
      </c>
    </row>
    <row r="444" spans="1:12" ht="15.75" x14ac:dyDescent="0.25">
      <c r="A444" s="1" t="s">
        <v>66</v>
      </c>
      <c r="B444" s="6" t="s">
        <v>484</v>
      </c>
      <c r="C444" s="12"/>
      <c r="D444" s="4"/>
      <c r="E444" s="4">
        <v>0</v>
      </c>
      <c r="F444" s="4" t="s">
        <v>71</v>
      </c>
      <c r="G444" s="4">
        <v>0</v>
      </c>
      <c r="H444" s="4">
        <v>0</v>
      </c>
      <c r="I444" s="15"/>
      <c r="J444" s="9" t="str">
        <f t="shared" si="6"/>
        <v>USR.53</v>
      </c>
      <c r="K444" s="10">
        <f>IF(D444="",17,IF(C444="",17,_xlfn.XLOOKUP(D444,refs!$A$2:$A$21,refs!$B$2:$B$21,"")))</f>
        <v>17</v>
      </c>
      <c r="L444" t="str">
        <f>"PASSTHROUGH|"&amp;A444&amp;"^^/ s /io.in."&amp;B444&amp;".mute="&amp;E444&amp;",mode="&amp;F444&amp;",icon="&amp;G444&amp;",pol="&amp;H444&amp;",vph="&amp;I444&amp;",name="&amp;J444&amp;",col="&amp;K444&amp;","</f>
        <v>PASSTHROUGH|WING1^^/ s /io.in.USR.53.mute=0,mode=M,icon=0,pol=0,vph=,name=USR.53,col=17,</v>
      </c>
    </row>
    <row r="445" spans="1:12" ht="15.75" x14ac:dyDescent="0.25">
      <c r="A445" s="1" t="s">
        <v>66</v>
      </c>
      <c r="B445" s="6" t="s">
        <v>485</v>
      </c>
      <c r="C445" s="12"/>
      <c r="D445" s="4"/>
      <c r="E445" s="4">
        <v>0</v>
      </c>
      <c r="F445" s="4" t="s">
        <v>71</v>
      </c>
      <c r="G445" s="4">
        <v>0</v>
      </c>
      <c r="H445" s="4">
        <v>0</v>
      </c>
      <c r="I445" s="15"/>
      <c r="J445" s="9" t="str">
        <f t="shared" si="6"/>
        <v>USR.54</v>
      </c>
      <c r="K445" s="10">
        <f>IF(D445="",17,IF(C445="",17,_xlfn.XLOOKUP(D445,refs!$A$2:$A$21,refs!$B$2:$B$21,"")))</f>
        <v>17</v>
      </c>
      <c r="L445" t="str">
        <f>"PASSTHROUGH|"&amp;A445&amp;"^^/ s /io.in."&amp;B445&amp;".mute="&amp;E445&amp;",mode="&amp;F445&amp;",icon="&amp;G445&amp;",pol="&amp;H445&amp;",vph="&amp;I445&amp;",name="&amp;J445&amp;",col="&amp;K445&amp;","</f>
        <v>PASSTHROUGH|WING1^^/ s /io.in.USR.54.mute=0,mode=M,icon=0,pol=0,vph=,name=USR.54,col=17,</v>
      </c>
    </row>
    <row r="446" spans="1:12" ht="15.75" x14ac:dyDescent="0.25">
      <c r="A446" s="1" t="s">
        <v>66</v>
      </c>
      <c r="B446" s="6" t="s">
        <v>486</v>
      </c>
      <c r="C446" s="12"/>
      <c r="D446" s="4"/>
      <c r="E446" s="4">
        <v>0</v>
      </c>
      <c r="F446" s="4" t="s">
        <v>71</v>
      </c>
      <c r="G446" s="4">
        <v>0</v>
      </c>
      <c r="H446" s="4">
        <v>0</v>
      </c>
      <c r="I446" s="15"/>
      <c r="J446" s="9" t="str">
        <f t="shared" si="6"/>
        <v>USR.55</v>
      </c>
      <c r="K446" s="10">
        <f>IF(D446="",17,IF(C446="",17,_xlfn.XLOOKUP(D446,refs!$A$2:$A$21,refs!$B$2:$B$21,"")))</f>
        <v>17</v>
      </c>
      <c r="L446" t="str">
        <f>"PASSTHROUGH|"&amp;A446&amp;"^^/ s /io.in."&amp;B446&amp;".mute="&amp;E446&amp;",mode="&amp;F446&amp;",icon="&amp;G446&amp;",pol="&amp;H446&amp;",vph="&amp;I446&amp;",name="&amp;J446&amp;",col="&amp;K446&amp;","</f>
        <v>PASSTHROUGH|WING1^^/ s /io.in.USR.55.mute=0,mode=M,icon=0,pol=0,vph=,name=USR.55,col=17,</v>
      </c>
    </row>
    <row r="447" spans="1:12" ht="15.75" x14ac:dyDescent="0.25">
      <c r="A447" s="1" t="s">
        <v>66</v>
      </c>
      <c r="B447" s="6" t="s">
        <v>487</v>
      </c>
      <c r="C447" s="12"/>
      <c r="D447" s="4"/>
      <c r="E447" s="4">
        <v>0</v>
      </c>
      <c r="F447" s="4" t="s">
        <v>71</v>
      </c>
      <c r="G447" s="4">
        <v>0</v>
      </c>
      <c r="H447" s="4">
        <v>0</v>
      </c>
      <c r="I447" s="15"/>
      <c r="J447" s="9" t="str">
        <f t="shared" si="6"/>
        <v>USR.56</v>
      </c>
      <c r="K447" s="10">
        <f>IF(D447="",17,IF(C447="",17,_xlfn.XLOOKUP(D447,refs!$A$2:$A$21,refs!$B$2:$B$21,"")))</f>
        <v>17</v>
      </c>
      <c r="L447" t="str">
        <f>"PASSTHROUGH|"&amp;A447&amp;"^^/ s /io.in."&amp;B447&amp;".mute="&amp;E447&amp;",mode="&amp;F447&amp;",icon="&amp;G447&amp;",pol="&amp;H447&amp;",vph="&amp;I447&amp;",name="&amp;J447&amp;",col="&amp;K447&amp;","</f>
        <v>PASSTHROUGH|WING1^^/ s /io.in.USR.56.mute=0,mode=M,icon=0,pol=0,vph=,name=USR.56,col=17,</v>
      </c>
    </row>
    <row r="448" spans="1:12" ht="15.75" x14ac:dyDescent="0.25">
      <c r="A448" s="1" t="s">
        <v>66</v>
      </c>
      <c r="B448" s="6" t="s">
        <v>488</v>
      </c>
      <c r="C448" s="12"/>
      <c r="D448" s="4"/>
      <c r="E448" s="4">
        <v>0</v>
      </c>
      <c r="F448" s="4" t="s">
        <v>71</v>
      </c>
      <c r="G448" s="4">
        <v>0</v>
      </c>
      <c r="H448" s="4">
        <v>0</v>
      </c>
      <c r="I448" s="15"/>
      <c r="J448" s="9" t="str">
        <f t="shared" si="6"/>
        <v>OSC.1</v>
      </c>
      <c r="K448" s="10">
        <f>IF(D448="",17,IF(C448="",17,_xlfn.XLOOKUP(D448,refs!$A$2:$A$21,refs!$B$2:$B$21,"")))</f>
        <v>17</v>
      </c>
      <c r="L448" t="str">
        <f>"PASSTHROUGH|"&amp;A448&amp;"^^/ s /io.in."&amp;B448&amp;".mute="&amp;E448&amp;",mode="&amp;F448&amp;",icon="&amp;G448&amp;",pol="&amp;H448&amp;",vph="&amp;I448&amp;",name="&amp;J448&amp;",col="&amp;K448&amp;","</f>
        <v>PASSTHROUGH|WING1^^/ s /io.in.OSC.1.mute=0,mode=M,icon=0,pol=0,vph=,name=OSC.1,col=17,</v>
      </c>
    </row>
    <row r="449" spans="1:12" ht="15.75" x14ac:dyDescent="0.25">
      <c r="A449" s="1" t="s">
        <v>66</v>
      </c>
      <c r="B449" s="6" t="s">
        <v>489</v>
      </c>
      <c r="C449" s="12"/>
      <c r="D449" s="4"/>
      <c r="E449" s="4">
        <v>0</v>
      </c>
      <c r="F449" s="4" t="s">
        <v>71</v>
      </c>
      <c r="G449" s="4">
        <v>0</v>
      </c>
      <c r="H449" s="4">
        <v>0</v>
      </c>
      <c r="I449" s="15"/>
      <c r="J449" s="9" t="str">
        <f t="shared" si="6"/>
        <v>OSC.2</v>
      </c>
      <c r="K449" s="10">
        <f>IF(D449="",17,IF(C449="",17,_xlfn.XLOOKUP(D449,refs!$A$2:$A$21,refs!$B$2:$B$21,"")))</f>
        <v>17</v>
      </c>
      <c r="L449" t="str">
        <f>"PASSTHROUGH|"&amp;A449&amp;"^^/ s /io.in."&amp;B449&amp;".mute="&amp;E449&amp;",mode="&amp;F449&amp;",icon="&amp;G449&amp;",pol="&amp;H449&amp;",vph="&amp;I449&amp;",name="&amp;J449&amp;",col="&amp;K449&amp;","</f>
        <v>PASSTHROUGH|WING1^^/ s /io.in.OSC.2.mute=0,mode=M,icon=0,pol=0,vph=,name=OSC.2,col=17,</v>
      </c>
    </row>
  </sheetData>
  <phoneticPr fontId="2" type="noConversion"/>
  <dataValidations count="1">
    <dataValidation type="custom" showInputMessage="1" showErrorMessage="1" sqref="C2:C449" xr:uid="{32DAC709-AD84-48BA-B1D2-AF8F1480B8B5}">
      <formula1>SUMPRODUCT(--ISERR(SEARCH(MID(C2,ROW(INDIRECT("1:"&amp;LEN(C2))),1),"abcdefghijklmnopqrstuvwxyzABCDEFGHIJKLMNOPQRSTUVWXYZ1234567890.-_+"))) = 0</formula1>
    </dataValidation>
  </dataValidations>
  <printOptions gridLines="1"/>
  <pageMargins left="0.7" right="0.7" top="0.75" bottom="0.75" header="0.3" footer="0.3"/>
  <pageSetup scale="73" fitToHeight="1000" orientation="landscape" r:id="rId1"/>
  <headerFooter>
    <oddFooter>&amp;L&amp;P of &amp;N&amp;C&amp;F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CCCB2F-6958-48DD-95F0-F543BB3EE122}">
          <x14:formula1>
            <xm:f>refs!$A$2:$A$20</xm:f>
          </x14:formula1>
          <xm:sqref>D2:D449</xm:sqref>
        </x14:dataValidation>
        <x14:dataValidation type="list" showInputMessage="1" showErrorMessage="1" xr:uid="{DBB5C55D-789A-48C5-8ED5-7DCFF94F86CE}">
          <x14:formula1>
            <xm:f>refs!$A$25:$A$27</xm:f>
          </x14:formula1>
          <xm:sqref>F2:F449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C459-15F1-4A7D-A435-DE0BF1F10356}">
  <dimension ref="A1:B20"/>
  <sheetViews>
    <sheetView workbookViewId="0">
      <selection activeCell="H16" sqref="H16"/>
    </sheetView>
  </sheetViews>
  <sheetFormatPr defaultRowHeight="15" x14ac:dyDescent="0.25"/>
  <sheetData>
    <row r="1" spans="1:2" x14ac:dyDescent="0.25">
      <c r="A1" t="s">
        <v>19</v>
      </c>
    </row>
    <row r="4" spans="1:2" x14ac:dyDescent="0.25">
      <c r="A4" t="s">
        <v>491</v>
      </c>
    </row>
    <row r="5" spans="1:2" x14ac:dyDescent="0.25">
      <c r="A5" t="s">
        <v>506</v>
      </c>
    </row>
    <row r="7" spans="1:2" x14ac:dyDescent="0.25">
      <c r="A7" t="s">
        <v>492</v>
      </c>
    </row>
    <row r="8" spans="1:2" x14ac:dyDescent="0.25">
      <c r="A8" t="s">
        <v>493</v>
      </c>
    </row>
    <row r="9" spans="1:2" x14ac:dyDescent="0.25">
      <c r="A9" t="s">
        <v>496</v>
      </c>
    </row>
    <row r="10" spans="1:2" x14ac:dyDescent="0.25">
      <c r="B10" t="s">
        <v>494</v>
      </c>
    </row>
    <row r="11" spans="1:2" x14ac:dyDescent="0.25">
      <c r="B11" t="s">
        <v>495</v>
      </c>
    </row>
    <row r="12" spans="1:2" x14ac:dyDescent="0.25">
      <c r="A12" t="s">
        <v>497</v>
      </c>
    </row>
    <row r="13" spans="1:2" x14ac:dyDescent="0.25">
      <c r="A13" t="s">
        <v>498</v>
      </c>
    </row>
    <row r="14" spans="1:2" x14ac:dyDescent="0.25">
      <c r="A14" t="s">
        <v>499</v>
      </c>
    </row>
    <row r="15" spans="1:2" x14ac:dyDescent="0.25">
      <c r="A15" t="s">
        <v>500</v>
      </c>
    </row>
    <row r="16" spans="1:2" x14ac:dyDescent="0.25">
      <c r="A16" t="s">
        <v>501</v>
      </c>
    </row>
    <row r="17" spans="1:1" x14ac:dyDescent="0.25">
      <c r="A17" t="s">
        <v>502</v>
      </c>
    </row>
    <row r="18" spans="1:1" x14ac:dyDescent="0.25">
      <c r="A18" t="s">
        <v>503</v>
      </c>
    </row>
    <row r="19" spans="1:1" x14ac:dyDescent="0.25">
      <c r="A19" t="s">
        <v>504</v>
      </c>
    </row>
    <row r="20" spans="1:1" x14ac:dyDescent="0.25">
      <c r="A20" t="s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2209-86BD-417E-80EA-C5299D91A3C8}">
  <dimension ref="A1:A2"/>
  <sheetViews>
    <sheetView workbookViewId="0">
      <selection activeCell="A2" sqref="A2:XFD7"/>
    </sheetView>
  </sheetViews>
  <sheetFormatPr defaultRowHeight="15" x14ac:dyDescent="0.25"/>
  <cols>
    <col min="1" max="1" width="108" customWidth="1"/>
  </cols>
  <sheetData>
    <row r="1" spans="1:1" x14ac:dyDescent="0.25">
      <c r="A1" t="s">
        <v>67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624-2356-44D4-9E74-09E2947518D2}">
  <dimension ref="A1:B27"/>
  <sheetViews>
    <sheetView topLeftCell="A8" workbookViewId="0">
      <selection activeCell="A26" sqref="A26"/>
    </sheetView>
  </sheetViews>
  <sheetFormatPr defaultRowHeight="15" x14ac:dyDescent="0.25"/>
  <sheetData>
    <row r="1" spans="1:2" x14ac:dyDescent="0.25">
      <c r="A1" t="s">
        <v>18</v>
      </c>
    </row>
    <row r="3" spans="1:2" x14ac:dyDescent="0.25">
      <c r="A3" t="s">
        <v>0</v>
      </c>
      <c r="B3">
        <v>1</v>
      </c>
    </row>
    <row r="4" spans="1:2" x14ac:dyDescent="0.25">
      <c r="A4" t="s">
        <v>1</v>
      </c>
      <c r="B4">
        <v>2</v>
      </c>
    </row>
    <row r="5" spans="1:2" x14ac:dyDescent="0.25">
      <c r="A5" t="s">
        <v>2</v>
      </c>
      <c r="B5">
        <v>3</v>
      </c>
    </row>
    <row r="6" spans="1:2" x14ac:dyDescent="0.25">
      <c r="A6" t="s">
        <v>3</v>
      </c>
      <c r="B6">
        <v>4</v>
      </c>
    </row>
    <row r="7" spans="1:2" x14ac:dyDescent="0.25">
      <c r="A7" t="s">
        <v>4</v>
      </c>
      <c r="B7">
        <v>5</v>
      </c>
    </row>
    <row r="8" spans="1:2" x14ac:dyDescent="0.25">
      <c r="A8" t="s">
        <v>5</v>
      </c>
      <c r="B8">
        <v>6</v>
      </c>
    </row>
    <row r="9" spans="1:2" x14ac:dyDescent="0.25">
      <c r="A9" t="s">
        <v>6</v>
      </c>
      <c r="B9">
        <v>7</v>
      </c>
    </row>
    <row r="10" spans="1:2" x14ac:dyDescent="0.25">
      <c r="A10" t="s">
        <v>7</v>
      </c>
      <c r="B10">
        <v>8</v>
      </c>
    </row>
    <row r="11" spans="1:2" x14ac:dyDescent="0.25">
      <c r="A11" t="s">
        <v>8</v>
      </c>
      <c r="B11">
        <v>9</v>
      </c>
    </row>
    <row r="12" spans="1:2" x14ac:dyDescent="0.25">
      <c r="A12" t="s">
        <v>9</v>
      </c>
      <c r="B12">
        <v>10</v>
      </c>
    </row>
    <row r="13" spans="1:2" x14ac:dyDescent="0.25">
      <c r="A13" t="s">
        <v>10</v>
      </c>
      <c r="B13">
        <v>11</v>
      </c>
    </row>
    <row r="14" spans="1:2" x14ac:dyDescent="0.25">
      <c r="A14" t="s">
        <v>11</v>
      </c>
      <c r="B14">
        <v>12</v>
      </c>
    </row>
    <row r="15" spans="1:2" x14ac:dyDescent="0.25">
      <c r="A15" t="s">
        <v>12</v>
      </c>
      <c r="B15">
        <v>13</v>
      </c>
    </row>
    <row r="16" spans="1:2" x14ac:dyDescent="0.25">
      <c r="A16" t="s">
        <v>13</v>
      </c>
      <c r="B16">
        <v>14</v>
      </c>
    </row>
    <row r="17" spans="1:2" x14ac:dyDescent="0.25">
      <c r="A17" t="s">
        <v>14</v>
      </c>
      <c r="B17">
        <v>15</v>
      </c>
    </row>
    <row r="18" spans="1:2" x14ac:dyDescent="0.25">
      <c r="A18" t="s">
        <v>15</v>
      </c>
      <c r="B18">
        <v>16</v>
      </c>
    </row>
    <row r="19" spans="1:2" x14ac:dyDescent="0.25">
      <c r="A19" t="s">
        <v>16</v>
      </c>
      <c r="B19">
        <v>17</v>
      </c>
    </row>
    <row r="20" spans="1:2" x14ac:dyDescent="0.25">
      <c r="A20" t="s">
        <v>17</v>
      </c>
      <c r="B20">
        <v>18</v>
      </c>
    </row>
    <row r="24" spans="1:2" x14ac:dyDescent="0.25">
      <c r="A24" t="s">
        <v>68</v>
      </c>
    </row>
    <row r="25" spans="1:2" x14ac:dyDescent="0.25">
      <c r="A25" t="s">
        <v>71</v>
      </c>
    </row>
    <row r="26" spans="1:2" x14ac:dyDescent="0.25">
      <c r="A26" t="s">
        <v>69</v>
      </c>
    </row>
    <row r="27" spans="1:2" x14ac:dyDescent="0.25">
      <c r="A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README</vt:lpstr>
      <vt:lpstr>Change Log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Jost</dc:creator>
  <cp:lastModifiedBy>Larry Jost</cp:lastModifiedBy>
  <cp:lastPrinted>2026-10-15T20:05:15Z</cp:lastPrinted>
  <dcterms:created xsi:type="dcterms:W3CDTF">2026-10-02T21:17:16Z</dcterms:created>
  <dcterms:modified xsi:type="dcterms:W3CDTF">2026-10-28T18:27:38Z</dcterms:modified>
</cp:coreProperties>
</file>