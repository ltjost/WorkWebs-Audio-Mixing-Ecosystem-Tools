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0182c3508a7a9ff8/Larry-OD-AMD-Documents/LTCommand/Build and Run version 3 and samples/"/>
    </mc:Choice>
  </mc:AlternateContent>
  <xr:revisionPtr revIDLastSave="3" documentId="8_{59CD1921-CD26-4968-AB85-A5824C26CBDC}" xr6:coauthVersionLast="47" xr6:coauthVersionMax="47" xr10:uidLastSave="{F86F301E-E35C-4A00-9948-BCAD5782515F}"/>
  <bookViews>
    <workbookView xWindow="2385" yWindow="120" windowWidth="25335" windowHeight="12810" xr2:uid="{0B37C3A3-4DE1-4503-87CF-1DC185F4CE17}"/>
  </bookViews>
  <sheets>
    <sheet name="CUEs" sheetId="1" r:id="rId1"/>
    <sheet name="EXPORT" sheetId="3" r:id="rId2"/>
    <sheet name="README" sheetId="4" r:id="rId3"/>
    <sheet name="Change Log" sheetId="5" r:id="rId4"/>
    <sheet name="refs"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6500" i="3" l="1" a="1"/>
  <c r="A6499" i="3" a="1"/>
  <c r="A6498" i="3" a="1"/>
  <c r="A6497" i="3" a="1"/>
  <c r="A6496" i="3" a="1"/>
  <c r="A6495" i="3" a="1"/>
  <c r="A6494" i="3" a="1"/>
  <c r="A6493" i="3" a="1"/>
  <c r="A6492" i="3" a="1"/>
  <c r="A6491" i="3" a="1"/>
  <c r="A6490" i="3" a="1"/>
  <c r="A6489" i="3" a="1"/>
  <c r="A6488" i="3" a="1"/>
  <c r="A6487" i="3" a="1"/>
  <c r="A6486" i="3" a="1"/>
  <c r="A6485" i="3" a="1"/>
  <c r="A6484" i="3" a="1"/>
  <c r="A6483" i="3" a="1"/>
  <c r="A6482" i="3" a="1"/>
  <c r="A6481" i="3" a="1"/>
  <c r="A6480" i="3" a="1"/>
  <c r="A6479" i="3" a="1"/>
  <c r="A6478" i="3" a="1"/>
  <c r="A6477" i="3" a="1"/>
  <c r="A6476" i="3" a="1"/>
  <c r="A6475" i="3" a="1"/>
  <c r="A6474" i="3" a="1"/>
  <c r="A6473" i="3" a="1"/>
  <c r="A6472" i="3" a="1"/>
  <c r="A6471" i="3" a="1"/>
  <c r="A6470" i="3" a="1"/>
  <c r="A6469" i="3" a="1"/>
  <c r="A6468" i="3" a="1"/>
  <c r="A6467" i="3" a="1"/>
  <c r="A6466" i="3" a="1"/>
  <c r="A6465" i="3" a="1"/>
  <c r="A6464" i="3" a="1"/>
  <c r="A6463" i="3" a="1"/>
  <c r="A6462" i="3" a="1"/>
  <c r="A6461" i="3" a="1"/>
  <c r="A6460" i="3" a="1"/>
  <c r="A6459" i="3" a="1"/>
  <c r="A6458" i="3" a="1"/>
  <c r="A6457" i="3" a="1"/>
  <c r="A6456" i="3" a="1"/>
  <c r="A6455" i="3" a="1"/>
  <c r="A6454" i="3" a="1"/>
  <c r="A6453" i="3" a="1"/>
  <c r="A6452" i="3" a="1"/>
  <c r="A6451" i="3" a="1"/>
  <c r="A6450" i="3" a="1"/>
  <c r="A6449" i="3" a="1"/>
  <c r="A6448" i="3" a="1"/>
  <c r="A6447" i="3" a="1"/>
  <c r="A6446" i="3" a="1"/>
  <c r="A6445" i="3" a="1"/>
  <c r="A6444" i="3" a="1"/>
  <c r="A6443" i="3" a="1"/>
  <c r="A6442" i="3" a="1"/>
  <c r="A6441" i="3" a="1"/>
  <c r="A6440" i="3" a="1"/>
  <c r="A6439" i="3" a="1"/>
  <c r="A6438" i="3" a="1"/>
  <c r="A6437" i="3" a="1"/>
  <c r="A6436" i="3" a="1"/>
  <c r="A6435" i="3" a="1"/>
  <c r="A6434" i="3" a="1"/>
  <c r="A6433" i="3" a="1"/>
  <c r="A6432" i="3" a="1"/>
  <c r="A6431" i="3" a="1"/>
  <c r="A6430" i="3" a="1"/>
  <c r="A6429" i="3" a="1"/>
  <c r="A6428" i="3" a="1"/>
  <c r="A6427" i="3" a="1"/>
  <c r="A6426" i="3" a="1"/>
  <c r="A6425" i="3" a="1"/>
  <c r="A6424" i="3" a="1"/>
  <c r="A6423" i="3" a="1"/>
  <c r="A6422" i="3" a="1"/>
  <c r="A6421" i="3" a="1"/>
  <c r="A6420" i="3" a="1"/>
  <c r="A6419" i="3" a="1"/>
  <c r="A6418" i="3" a="1"/>
  <c r="A6417" i="3" a="1"/>
  <c r="A6416" i="3" a="1"/>
  <c r="A6415" i="3" a="1"/>
  <c r="A6414" i="3" a="1"/>
  <c r="A6413" i="3" a="1"/>
  <c r="A6412" i="3" a="1"/>
  <c r="A6411" i="3" a="1"/>
  <c r="A6410" i="3" a="1"/>
  <c r="A6409" i="3" a="1"/>
  <c r="A6408" i="3" a="1"/>
  <c r="A6407" i="3" a="1"/>
  <c r="A6406" i="3" a="1"/>
  <c r="A6405" i="3" a="1"/>
  <c r="A6404" i="3" a="1"/>
  <c r="A6403" i="3" a="1"/>
  <c r="A6402" i="3" a="1"/>
  <c r="A6401" i="3" a="1"/>
  <c r="A6400" i="3" a="1"/>
  <c r="A6399" i="3" a="1"/>
  <c r="A6398" i="3" a="1"/>
  <c r="A6397" i="3" a="1"/>
  <c r="A6396" i="3" a="1"/>
  <c r="A6395" i="3" a="1"/>
  <c r="A6394" i="3" a="1"/>
  <c r="A6393" i="3" a="1"/>
  <c r="A6392" i="3" a="1"/>
  <c r="A6391" i="3" a="1"/>
  <c r="A6390" i="3" a="1"/>
  <c r="A6389" i="3" a="1"/>
  <c r="A6388" i="3" a="1"/>
  <c r="A6387" i="3" a="1"/>
  <c r="A6386" i="3" a="1"/>
  <c r="A6385" i="3" a="1"/>
  <c r="A6384" i="3" a="1"/>
  <c r="A6383" i="3" a="1"/>
  <c r="A6382" i="3" a="1"/>
  <c r="A6381" i="3" a="1"/>
  <c r="A6380" i="3" a="1"/>
  <c r="A6379" i="3" a="1"/>
  <c r="A6378" i="3" a="1"/>
  <c r="A6377" i="3" a="1"/>
  <c r="A6376" i="3" a="1"/>
  <c r="A6375" i="3" a="1"/>
  <c r="A6374" i="3" a="1"/>
  <c r="A6373" i="3" a="1"/>
  <c r="A6372" i="3" a="1"/>
  <c r="A6371" i="3" a="1"/>
  <c r="A6370" i="3" a="1"/>
  <c r="A6369" i="3" a="1"/>
  <c r="A6368" i="3" a="1"/>
  <c r="A6367" i="3" a="1"/>
  <c r="A6366" i="3" a="1"/>
  <c r="A6365" i="3" a="1"/>
  <c r="A6364" i="3" a="1"/>
  <c r="A6363" i="3" a="1"/>
  <c r="A6362" i="3" a="1"/>
  <c r="A6361" i="3" a="1"/>
  <c r="A6360" i="3" a="1"/>
  <c r="A6359" i="3" a="1"/>
  <c r="A6358" i="3" a="1"/>
  <c r="A6357" i="3" a="1"/>
  <c r="A6356" i="3" a="1"/>
  <c r="A6355" i="3" a="1"/>
  <c r="A6354" i="3" a="1"/>
  <c r="A6353" i="3" a="1"/>
  <c r="A6352" i="3" a="1"/>
  <c r="A6351" i="3" a="1"/>
  <c r="A6350" i="3" a="1"/>
  <c r="A6349" i="3" a="1"/>
  <c r="A6348" i="3" a="1"/>
  <c r="A6347" i="3" a="1"/>
  <c r="A6346" i="3" a="1"/>
  <c r="A6345" i="3" a="1"/>
  <c r="A6344" i="3" a="1"/>
  <c r="A6343" i="3" a="1"/>
  <c r="A6342" i="3" a="1"/>
  <c r="A6341" i="3" a="1"/>
  <c r="A6340" i="3" a="1"/>
  <c r="A6339" i="3" a="1"/>
  <c r="A6338" i="3" a="1"/>
  <c r="A6337" i="3" a="1"/>
  <c r="A6336" i="3" a="1"/>
  <c r="A6335" i="3" a="1"/>
  <c r="A6334" i="3" a="1"/>
  <c r="A6333" i="3" a="1"/>
  <c r="A6332" i="3" a="1"/>
  <c r="A6331" i="3" a="1"/>
  <c r="A6330" i="3" a="1"/>
  <c r="A6329" i="3" a="1"/>
  <c r="A6328" i="3" a="1"/>
  <c r="A6327" i="3" a="1"/>
  <c r="A6326" i="3" a="1"/>
  <c r="A6325" i="3" a="1"/>
  <c r="A6324" i="3" a="1"/>
  <c r="A6323" i="3" a="1"/>
  <c r="A6322" i="3" a="1"/>
  <c r="A6321" i="3" a="1"/>
  <c r="A6320" i="3" a="1"/>
  <c r="A6319" i="3" a="1"/>
  <c r="A6318" i="3" a="1"/>
  <c r="A6317" i="3" a="1"/>
  <c r="A6316" i="3" a="1"/>
  <c r="A6315" i="3" a="1"/>
  <c r="A6314" i="3" a="1"/>
  <c r="A6313" i="3" a="1"/>
  <c r="A6312" i="3" a="1"/>
  <c r="A6311" i="3" a="1"/>
  <c r="A6310" i="3" a="1"/>
  <c r="A6309" i="3" a="1"/>
  <c r="A6308" i="3" a="1"/>
  <c r="A6307" i="3" a="1"/>
  <c r="A6306" i="3" a="1"/>
  <c r="A6305" i="3" a="1"/>
  <c r="A6304" i="3" a="1"/>
  <c r="A6303" i="3" a="1"/>
  <c r="A6302" i="3" a="1"/>
  <c r="A6301" i="3" a="1"/>
  <c r="A6300" i="3" a="1"/>
  <c r="A6299" i="3" a="1"/>
  <c r="A6298" i="3" a="1"/>
  <c r="A6297" i="3" a="1"/>
  <c r="A6296" i="3" a="1"/>
  <c r="A6295" i="3" a="1"/>
  <c r="A6294" i="3" a="1"/>
  <c r="A6293" i="3" a="1"/>
  <c r="A6292" i="3" a="1"/>
  <c r="A6291" i="3" a="1"/>
  <c r="A6290" i="3" a="1"/>
  <c r="A6289" i="3" a="1"/>
  <c r="A6288" i="3" a="1"/>
  <c r="A6287" i="3" a="1"/>
  <c r="A6286" i="3" a="1"/>
  <c r="A6285" i="3" a="1"/>
  <c r="A6284" i="3" a="1"/>
  <c r="A6283" i="3" a="1"/>
  <c r="A6282" i="3" a="1"/>
  <c r="A6281" i="3" a="1"/>
  <c r="A6280" i="3" a="1"/>
  <c r="A6279" i="3" a="1"/>
  <c r="A6278" i="3" a="1"/>
  <c r="A6277" i="3" a="1"/>
  <c r="A6276" i="3" a="1"/>
  <c r="A6275" i="3" a="1"/>
  <c r="A6274" i="3" a="1"/>
  <c r="A6273" i="3" a="1"/>
  <c r="A6272" i="3" a="1"/>
  <c r="A6271" i="3" a="1"/>
  <c r="A6270" i="3" a="1"/>
  <c r="A6269" i="3" a="1"/>
  <c r="A6268" i="3" a="1"/>
  <c r="A6267" i="3" a="1"/>
  <c r="A6266" i="3" a="1"/>
  <c r="A6265" i="3" a="1"/>
  <c r="A6264" i="3" a="1"/>
  <c r="A6263" i="3" a="1"/>
  <c r="A6262" i="3" a="1"/>
  <c r="A6261" i="3" a="1"/>
  <c r="A6260" i="3" a="1"/>
  <c r="A6259" i="3" a="1"/>
  <c r="A6258" i="3" a="1"/>
  <c r="A6257" i="3" a="1"/>
  <c r="A6256" i="3" a="1"/>
  <c r="A6255" i="3" a="1"/>
  <c r="A6254" i="3" a="1"/>
  <c r="A6253" i="3" a="1"/>
  <c r="A6252" i="3" a="1"/>
  <c r="A6251" i="3" a="1"/>
  <c r="A6250" i="3" a="1"/>
  <c r="A6249" i="3" a="1"/>
  <c r="A6248" i="3" a="1"/>
  <c r="A6247" i="3" a="1"/>
  <c r="A6246" i="3" a="1"/>
  <c r="A6245" i="3" a="1"/>
  <c r="A6244" i="3" a="1"/>
  <c r="A6243" i="3" a="1"/>
  <c r="A6242" i="3" a="1"/>
  <c r="A6241" i="3" a="1"/>
  <c r="A6240" i="3" a="1"/>
  <c r="A6239" i="3" a="1"/>
  <c r="A6238" i="3" a="1"/>
  <c r="A6237" i="3" a="1"/>
  <c r="A6236" i="3" a="1"/>
  <c r="A6235" i="3" a="1"/>
  <c r="A6234" i="3" a="1"/>
  <c r="A6233" i="3" a="1"/>
  <c r="A6232" i="3" a="1"/>
  <c r="A6231" i="3" a="1"/>
  <c r="A6230" i="3" a="1"/>
  <c r="A6229" i="3" a="1"/>
  <c r="A6228" i="3" a="1"/>
  <c r="A6227" i="3" a="1"/>
  <c r="A6226" i="3" a="1"/>
  <c r="A6225" i="3" a="1"/>
  <c r="A6224" i="3" a="1"/>
  <c r="A6223" i="3" a="1"/>
  <c r="A6222" i="3" a="1"/>
  <c r="A6221" i="3" a="1"/>
  <c r="A6220" i="3" a="1"/>
  <c r="A6219" i="3" a="1"/>
  <c r="A6218" i="3" a="1"/>
  <c r="A6217" i="3" a="1"/>
  <c r="A6216" i="3" a="1"/>
  <c r="A6215" i="3" a="1"/>
  <c r="A6214" i="3" a="1"/>
  <c r="A6213" i="3" a="1"/>
  <c r="A6212" i="3" a="1"/>
  <c r="A6211" i="3" a="1"/>
  <c r="A6210" i="3" a="1"/>
  <c r="A6209" i="3" a="1"/>
  <c r="A6208" i="3" a="1"/>
  <c r="A6207" i="3" a="1"/>
  <c r="A6206" i="3" a="1"/>
  <c r="A6205" i="3" a="1"/>
  <c r="A6204" i="3" a="1"/>
  <c r="A6203" i="3" a="1"/>
  <c r="A6202" i="3" a="1"/>
  <c r="A6201" i="3" a="1"/>
  <c r="A6200" i="3" a="1"/>
  <c r="A6199" i="3" a="1"/>
  <c r="A6198" i="3" a="1"/>
  <c r="A6197" i="3" a="1"/>
  <c r="A6196" i="3" a="1"/>
  <c r="A6195" i="3" a="1"/>
  <c r="A6194" i="3" a="1"/>
  <c r="A6193" i="3" a="1"/>
  <c r="A6192" i="3" a="1"/>
  <c r="A6191" i="3" a="1"/>
  <c r="A6190" i="3" a="1"/>
  <c r="A6189" i="3" a="1"/>
  <c r="A6188" i="3" a="1"/>
  <c r="A6187" i="3" a="1"/>
  <c r="A6186" i="3" a="1"/>
  <c r="A6185" i="3" a="1"/>
  <c r="A6184" i="3" a="1"/>
  <c r="A6183" i="3" a="1"/>
  <c r="A6182" i="3" a="1"/>
  <c r="A6181" i="3" a="1"/>
  <c r="A6180" i="3" a="1"/>
  <c r="A6179" i="3" a="1"/>
  <c r="A6178" i="3" a="1"/>
  <c r="A6177" i="3" a="1"/>
  <c r="A6176" i="3" a="1"/>
  <c r="A6175" i="3" a="1"/>
  <c r="A6174" i="3" a="1"/>
  <c r="A6173" i="3" a="1"/>
  <c r="A6172" i="3" a="1"/>
  <c r="A6171" i="3" a="1"/>
  <c r="A6170" i="3" a="1"/>
  <c r="A6169" i="3" a="1"/>
  <c r="A6168" i="3" a="1"/>
  <c r="A6167" i="3" a="1"/>
  <c r="A6166" i="3" a="1"/>
  <c r="A6165" i="3" a="1"/>
  <c r="A6164" i="3" a="1"/>
  <c r="A6163" i="3" a="1"/>
  <c r="A6162" i="3" a="1"/>
  <c r="A6161" i="3" a="1"/>
  <c r="A6160" i="3" a="1"/>
  <c r="A6159" i="3" a="1"/>
  <c r="A6158" i="3" a="1"/>
  <c r="A6157" i="3" a="1"/>
  <c r="A6156" i="3" a="1"/>
  <c r="A6155" i="3" a="1"/>
  <c r="A6154" i="3" a="1"/>
  <c r="A6153" i="3" a="1"/>
  <c r="A6152" i="3" a="1"/>
  <c r="A6151" i="3" a="1"/>
  <c r="A6150" i="3" a="1"/>
  <c r="A6149" i="3" a="1"/>
  <c r="A6148" i="3" a="1"/>
  <c r="A6147" i="3" a="1"/>
  <c r="A6146" i="3" a="1"/>
  <c r="A6145" i="3" a="1"/>
  <c r="A6144" i="3" a="1"/>
  <c r="A6143" i="3" a="1"/>
  <c r="A6142" i="3" a="1"/>
  <c r="A6141" i="3" a="1"/>
  <c r="A6140" i="3" a="1"/>
  <c r="A6139" i="3" a="1"/>
  <c r="A6138" i="3" a="1"/>
  <c r="A6137" i="3" a="1"/>
  <c r="A6136" i="3" a="1"/>
  <c r="A6135" i="3" a="1"/>
  <c r="A6134" i="3" a="1"/>
  <c r="A6133" i="3" a="1"/>
  <c r="A6132" i="3" a="1"/>
  <c r="A6131" i="3" a="1"/>
  <c r="A6130" i="3" a="1"/>
  <c r="A6129" i="3" a="1"/>
  <c r="A6128" i="3" a="1"/>
  <c r="A6127" i="3" a="1"/>
  <c r="A6126" i="3" a="1"/>
  <c r="A6125" i="3" a="1"/>
  <c r="A6124" i="3" a="1"/>
  <c r="A6123" i="3" a="1"/>
  <c r="A6122" i="3" a="1"/>
  <c r="A6121" i="3" a="1"/>
  <c r="A6120" i="3" a="1"/>
  <c r="A6119" i="3" a="1"/>
  <c r="A6118" i="3" a="1"/>
  <c r="A6117" i="3" a="1"/>
  <c r="A6116" i="3" a="1"/>
  <c r="A6115" i="3" a="1"/>
  <c r="A6114" i="3" a="1"/>
  <c r="A6113" i="3" a="1"/>
  <c r="A6112" i="3" a="1"/>
  <c r="A6111" i="3" a="1"/>
  <c r="A6110" i="3" a="1"/>
  <c r="A6109" i="3" a="1"/>
  <c r="A6108" i="3" a="1"/>
  <c r="A6107" i="3" a="1"/>
  <c r="A6106" i="3" a="1"/>
  <c r="A6105" i="3" a="1"/>
  <c r="A6104" i="3" a="1"/>
  <c r="A6103" i="3" a="1"/>
  <c r="A6102" i="3" a="1"/>
  <c r="A6101" i="3" a="1"/>
  <c r="A6100" i="3" a="1"/>
  <c r="A6099" i="3" a="1"/>
  <c r="A6098" i="3" a="1"/>
  <c r="A6097" i="3" a="1"/>
  <c r="A6096" i="3" a="1"/>
  <c r="A6095" i="3" a="1"/>
  <c r="A6094" i="3" a="1"/>
  <c r="A6093" i="3" a="1"/>
  <c r="A6092" i="3" a="1"/>
  <c r="A6091" i="3" a="1"/>
  <c r="A6090" i="3" a="1"/>
  <c r="A6089" i="3" a="1"/>
  <c r="A6088" i="3" a="1"/>
  <c r="A6087" i="3" a="1"/>
  <c r="A6086" i="3" a="1"/>
  <c r="A6085" i="3" a="1"/>
  <c r="A6084" i="3" a="1"/>
  <c r="A6083" i="3" a="1"/>
  <c r="A6082" i="3" a="1"/>
  <c r="A6081" i="3" a="1"/>
  <c r="A6080" i="3" a="1"/>
  <c r="A6079" i="3" a="1"/>
  <c r="A6078" i="3" a="1"/>
  <c r="A6077" i="3" a="1"/>
  <c r="A6076" i="3" a="1"/>
  <c r="A6075" i="3" a="1"/>
  <c r="A6074" i="3" a="1"/>
  <c r="A6073" i="3" a="1"/>
  <c r="A6072" i="3" a="1"/>
  <c r="A6071" i="3" a="1"/>
  <c r="A6070" i="3" a="1"/>
  <c r="A6069" i="3" a="1"/>
  <c r="A6068" i="3" a="1"/>
  <c r="A6067" i="3" a="1"/>
  <c r="A6066" i="3" a="1"/>
  <c r="A6065" i="3" a="1"/>
  <c r="A6064" i="3" a="1"/>
  <c r="A6063" i="3" a="1"/>
  <c r="A6062" i="3" a="1"/>
  <c r="A6061" i="3" a="1"/>
  <c r="A6060" i="3" a="1"/>
  <c r="A6059" i="3" a="1"/>
  <c r="A6058" i="3" a="1"/>
  <c r="A6057" i="3" a="1"/>
  <c r="A6056" i="3" a="1"/>
  <c r="A6055" i="3" a="1"/>
  <c r="A6054" i="3" a="1"/>
  <c r="A6053" i="3" a="1"/>
  <c r="A6052" i="3" a="1"/>
  <c r="A6051" i="3" a="1"/>
  <c r="A6050" i="3" a="1"/>
  <c r="A6049" i="3" a="1"/>
  <c r="A6048" i="3" a="1"/>
  <c r="A6047" i="3" a="1"/>
  <c r="A6046" i="3" a="1"/>
  <c r="A6045" i="3" a="1"/>
  <c r="A6044" i="3" a="1"/>
  <c r="A6043" i="3" a="1"/>
  <c r="A6042" i="3" a="1"/>
  <c r="A6041" i="3" a="1"/>
  <c r="A6040" i="3" a="1"/>
  <c r="A6039" i="3" a="1"/>
  <c r="A6038" i="3" a="1"/>
  <c r="A6037" i="3" a="1"/>
  <c r="A6036" i="3" a="1"/>
  <c r="A6035" i="3" a="1"/>
  <c r="A6034" i="3" a="1"/>
  <c r="A6033" i="3" a="1"/>
  <c r="A6032" i="3" a="1"/>
  <c r="A6031" i="3" a="1"/>
  <c r="A6030" i="3" a="1"/>
  <c r="A6029" i="3" a="1"/>
  <c r="A6028" i="3" a="1"/>
  <c r="A6027" i="3" a="1"/>
  <c r="A6026" i="3" a="1"/>
  <c r="A6025" i="3" a="1"/>
  <c r="A6024" i="3" a="1"/>
  <c r="A6023" i="3" a="1"/>
  <c r="A6022" i="3" a="1"/>
  <c r="A6021" i="3" a="1"/>
  <c r="A6020" i="3" a="1"/>
  <c r="A6019" i="3" a="1"/>
  <c r="A6018" i="3" a="1"/>
  <c r="A6017" i="3" a="1"/>
  <c r="A6016" i="3" a="1"/>
  <c r="A6015" i="3" a="1"/>
  <c r="A6014" i="3" a="1"/>
  <c r="A6013" i="3" a="1"/>
  <c r="A6012" i="3" a="1"/>
  <c r="A6011" i="3" a="1"/>
  <c r="A6010" i="3" a="1"/>
  <c r="A6009" i="3" a="1"/>
  <c r="A6008" i="3" a="1"/>
  <c r="A6007" i="3" a="1"/>
  <c r="A6006" i="3" a="1"/>
  <c r="A6005" i="3" a="1"/>
  <c r="A6004" i="3" a="1"/>
  <c r="A6003" i="3" a="1"/>
  <c r="A6002" i="3" a="1"/>
  <c r="A6001" i="3" a="1"/>
  <c r="A6000" i="3" a="1"/>
  <c r="A5999" i="3" a="1"/>
  <c r="A5998" i="3" a="1"/>
  <c r="A5997" i="3" a="1"/>
  <c r="A5996" i="3" a="1"/>
  <c r="A5995" i="3" a="1"/>
  <c r="A5994" i="3" a="1"/>
  <c r="A5993" i="3" a="1"/>
  <c r="A5992" i="3" a="1"/>
  <c r="A5991" i="3" a="1"/>
  <c r="A5990" i="3" a="1"/>
  <c r="A5989" i="3" a="1"/>
  <c r="A5988" i="3" a="1"/>
  <c r="A5987" i="3" a="1"/>
  <c r="A5986" i="3" a="1"/>
  <c r="A5985" i="3" a="1"/>
  <c r="A5984" i="3" a="1"/>
  <c r="A5983" i="3" a="1"/>
  <c r="A5982" i="3" a="1"/>
  <c r="A5981" i="3" a="1"/>
  <c r="A5980" i="3" a="1"/>
  <c r="A5979" i="3" a="1"/>
  <c r="A5978" i="3" a="1"/>
  <c r="A5977" i="3" a="1"/>
  <c r="A5976" i="3" a="1"/>
  <c r="A5975" i="3" a="1"/>
  <c r="A5974" i="3" a="1"/>
  <c r="A5973" i="3" a="1"/>
  <c r="A5972" i="3" a="1"/>
  <c r="A5971" i="3" a="1"/>
  <c r="A5970" i="3" a="1"/>
  <c r="A5969" i="3" a="1"/>
  <c r="A5968" i="3" a="1"/>
  <c r="A5967" i="3" a="1"/>
  <c r="A5966" i="3" a="1"/>
  <c r="A5965" i="3" a="1"/>
  <c r="A5964" i="3" a="1"/>
  <c r="A5963" i="3" a="1"/>
  <c r="A5962" i="3" a="1"/>
  <c r="A5961" i="3" a="1"/>
  <c r="A5960" i="3" a="1"/>
  <c r="A5959" i="3" a="1"/>
  <c r="A5958" i="3" a="1"/>
  <c r="A5957" i="3" a="1"/>
  <c r="A5956" i="3" a="1"/>
  <c r="A5955" i="3" a="1"/>
  <c r="A5954" i="3" a="1"/>
  <c r="A5953" i="3" a="1"/>
  <c r="A5952" i="3" a="1"/>
  <c r="A5951" i="3" a="1"/>
  <c r="A5950" i="3" a="1"/>
  <c r="A5949" i="3" a="1"/>
  <c r="A5948" i="3" a="1"/>
  <c r="A5947" i="3" a="1"/>
  <c r="A5946" i="3" a="1"/>
  <c r="A5945" i="3" a="1"/>
  <c r="A5944" i="3" a="1"/>
  <c r="A5943" i="3" a="1"/>
  <c r="A5942" i="3" a="1"/>
  <c r="A5941" i="3" a="1"/>
  <c r="A5940" i="3" a="1"/>
  <c r="A5939" i="3" a="1"/>
  <c r="A5938" i="3" a="1"/>
  <c r="A5937" i="3" a="1"/>
  <c r="A5936" i="3" a="1"/>
  <c r="A5935" i="3" a="1"/>
  <c r="A5934" i="3" a="1"/>
  <c r="A5933" i="3" a="1"/>
  <c r="A5932" i="3" a="1"/>
  <c r="A5931" i="3" a="1"/>
  <c r="A5930" i="3" a="1"/>
  <c r="A5929" i="3" a="1"/>
  <c r="A5928" i="3" a="1"/>
  <c r="A5927" i="3" a="1"/>
  <c r="A5926" i="3" a="1"/>
  <c r="A5925" i="3" a="1"/>
  <c r="A5924" i="3" a="1"/>
  <c r="A5923" i="3" a="1"/>
  <c r="A5922" i="3" a="1"/>
  <c r="A5921" i="3" a="1"/>
  <c r="A5920" i="3" a="1"/>
  <c r="A5919" i="3" a="1"/>
  <c r="A5918" i="3" a="1"/>
  <c r="A5917" i="3" a="1"/>
  <c r="A5916" i="3" a="1"/>
  <c r="A5915" i="3" a="1"/>
  <c r="A5914" i="3" a="1"/>
  <c r="A5913" i="3" a="1"/>
  <c r="A5912" i="3" a="1"/>
  <c r="A5911" i="3" a="1"/>
  <c r="A5910" i="3" a="1"/>
  <c r="A5909" i="3" a="1"/>
  <c r="A5908" i="3" a="1"/>
  <c r="A5907" i="3" a="1"/>
  <c r="A5906" i="3" a="1"/>
  <c r="A5905" i="3" a="1"/>
  <c r="A5904" i="3" a="1"/>
  <c r="A5903" i="3" a="1"/>
  <c r="A5902" i="3" a="1"/>
  <c r="A5901" i="3" a="1"/>
  <c r="A5900" i="3" a="1"/>
  <c r="A5899" i="3" a="1"/>
  <c r="A5898" i="3" a="1"/>
  <c r="A5897" i="3" a="1"/>
  <c r="A5896" i="3" a="1"/>
  <c r="A5895" i="3" a="1"/>
  <c r="A5894" i="3" a="1"/>
  <c r="A5893" i="3" a="1"/>
  <c r="A5892" i="3" a="1"/>
  <c r="A5891" i="3" a="1"/>
  <c r="A5890" i="3" a="1"/>
  <c r="A5889" i="3" a="1"/>
  <c r="A5888" i="3" a="1"/>
  <c r="A5887" i="3" a="1"/>
  <c r="A5886" i="3" a="1"/>
  <c r="A5885" i="3" a="1"/>
  <c r="A5884" i="3" a="1"/>
  <c r="A5883" i="3" a="1"/>
  <c r="A5882" i="3" a="1"/>
  <c r="A5881" i="3" a="1"/>
  <c r="A5880" i="3" a="1"/>
  <c r="A5879" i="3" a="1"/>
  <c r="A5878" i="3" a="1"/>
  <c r="A5877" i="3" a="1"/>
  <c r="A5876" i="3" a="1"/>
  <c r="A5875" i="3" a="1"/>
  <c r="A5874" i="3" a="1"/>
  <c r="A5873" i="3" a="1"/>
  <c r="A5872" i="3" a="1"/>
  <c r="A5871" i="3" a="1"/>
  <c r="A5870" i="3" a="1"/>
  <c r="A5869" i="3" a="1"/>
  <c r="A5868" i="3" a="1"/>
  <c r="A5867" i="3" a="1"/>
  <c r="A5866" i="3" a="1"/>
  <c r="A5865" i="3" a="1"/>
  <c r="A5864" i="3" a="1"/>
  <c r="A5863" i="3" a="1"/>
  <c r="A5862" i="3" a="1"/>
  <c r="A5861" i="3" a="1"/>
  <c r="A5860" i="3" a="1"/>
  <c r="A5859" i="3" a="1"/>
  <c r="A5858" i="3" a="1"/>
  <c r="A5857" i="3" a="1"/>
  <c r="A5856" i="3" a="1"/>
  <c r="A5855" i="3" a="1"/>
  <c r="A5854" i="3" a="1"/>
  <c r="A5853" i="3" a="1"/>
  <c r="A5852" i="3" a="1"/>
  <c r="A5851" i="3" a="1"/>
  <c r="A5850" i="3" a="1"/>
  <c r="A5849" i="3" a="1"/>
  <c r="A5848" i="3" a="1"/>
  <c r="A5847" i="3" a="1"/>
  <c r="A5846" i="3" a="1"/>
  <c r="A5845" i="3" a="1"/>
  <c r="A5844" i="3" a="1"/>
  <c r="A5843" i="3" a="1"/>
  <c r="A5842" i="3" a="1"/>
  <c r="A5841" i="3" a="1"/>
  <c r="A5840" i="3" a="1"/>
  <c r="A5839" i="3" a="1"/>
  <c r="A5838" i="3" a="1"/>
  <c r="A5837" i="3" a="1"/>
  <c r="A5836" i="3" a="1"/>
  <c r="A5835" i="3" a="1"/>
  <c r="A5834" i="3" a="1"/>
  <c r="A5833" i="3" a="1"/>
  <c r="A5832" i="3" a="1"/>
  <c r="A5831" i="3" a="1"/>
  <c r="A5830" i="3" a="1"/>
  <c r="A5829" i="3" a="1"/>
  <c r="A5828" i="3" a="1"/>
  <c r="A5827" i="3" a="1"/>
  <c r="A5826" i="3" a="1"/>
  <c r="A5825" i="3" a="1"/>
  <c r="A5824" i="3" a="1"/>
  <c r="A5823" i="3" a="1"/>
  <c r="A5822" i="3" a="1"/>
  <c r="A5821" i="3" a="1"/>
  <c r="A5820" i="3" a="1"/>
  <c r="A5819" i="3" a="1"/>
  <c r="A5818" i="3" a="1"/>
  <c r="A5817" i="3" a="1"/>
  <c r="A5816" i="3" a="1"/>
  <c r="A5815" i="3" a="1"/>
  <c r="A5814" i="3" a="1"/>
  <c r="A5813" i="3" a="1"/>
  <c r="A5812" i="3" a="1"/>
  <c r="A5811" i="3" a="1"/>
  <c r="A5810" i="3" a="1"/>
  <c r="A5809" i="3" a="1"/>
  <c r="A5808" i="3" a="1"/>
  <c r="A5807" i="3" a="1"/>
  <c r="A5806" i="3" a="1"/>
  <c r="A5805" i="3" a="1"/>
  <c r="A5804" i="3" a="1"/>
  <c r="A5803" i="3" a="1"/>
  <c r="A5802" i="3" a="1"/>
  <c r="A5801" i="3" a="1"/>
  <c r="A5800" i="3" a="1"/>
  <c r="A5799" i="3" a="1"/>
  <c r="A5798" i="3" a="1"/>
  <c r="A5797" i="3" a="1"/>
  <c r="A5796" i="3" a="1"/>
  <c r="A5795" i="3" a="1"/>
  <c r="A5794" i="3" a="1"/>
  <c r="A5793" i="3" a="1"/>
  <c r="A5792" i="3" a="1"/>
  <c r="A5791" i="3" a="1"/>
  <c r="A5790" i="3" a="1"/>
  <c r="A5789" i="3" a="1"/>
  <c r="A5788" i="3" a="1"/>
  <c r="A5787" i="3" a="1"/>
  <c r="A5786" i="3" a="1"/>
  <c r="A5785" i="3" a="1"/>
  <c r="A5784" i="3" a="1"/>
  <c r="A5783" i="3" a="1"/>
  <c r="A5782" i="3" a="1"/>
  <c r="A5781" i="3" a="1"/>
  <c r="A5780" i="3" a="1"/>
  <c r="A5779" i="3" a="1"/>
  <c r="A5778" i="3" a="1"/>
  <c r="A5777" i="3" a="1"/>
  <c r="A5776" i="3" a="1"/>
  <c r="A5775" i="3" a="1"/>
  <c r="A5774" i="3" a="1"/>
  <c r="A5773" i="3" a="1"/>
  <c r="A5772" i="3" a="1"/>
  <c r="A5771" i="3" a="1"/>
  <c r="A5770" i="3" a="1"/>
  <c r="A5769" i="3" a="1"/>
  <c r="A5768" i="3" a="1"/>
  <c r="A5767" i="3" a="1"/>
  <c r="A5766" i="3" a="1"/>
  <c r="A5765" i="3" a="1"/>
  <c r="A5764" i="3" a="1"/>
  <c r="A5763" i="3" a="1"/>
  <c r="A5762" i="3" a="1"/>
  <c r="A5761" i="3" a="1"/>
  <c r="A5760" i="3" a="1"/>
  <c r="A5759" i="3" a="1"/>
  <c r="A5758" i="3" a="1"/>
  <c r="A5757" i="3" a="1"/>
  <c r="A5756" i="3" a="1"/>
  <c r="A5755" i="3" a="1"/>
  <c r="A5754" i="3" a="1"/>
  <c r="A5753" i="3" a="1"/>
  <c r="A5752" i="3" a="1"/>
  <c r="A5751" i="3" a="1"/>
  <c r="A5750" i="3" a="1"/>
  <c r="A5749" i="3" a="1"/>
  <c r="A5748" i="3" a="1"/>
  <c r="A5747" i="3" a="1"/>
  <c r="A5746" i="3" a="1"/>
  <c r="A5745" i="3" a="1"/>
  <c r="A5744" i="3" a="1"/>
  <c r="A5743" i="3" a="1"/>
  <c r="A5742" i="3" a="1"/>
  <c r="A5741" i="3" a="1"/>
  <c r="A5740" i="3" a="1"/>
  <c r="A5739" i="3" a="1"/>
  <c r="A5738" i="3" a="1"/>
  <c r="A5737" i="3" a="1"/>
  <c r="A5736" i="3" a="1"/>
  <c r="A5735" i="3" a="1"/>
  <c r="A5734" i="3" a="1"/>
  <c r="A5733" i="3" a="1"/>
  <c r="A5732" i="3" a="1"/>
  <c r="A5731" i="3" a="1"/>
  <c r="A5730" i="3" a="1"/>
  <c r="A5729" i="3" a="1"/>
  <c r="A5728" i="3" a="1"/>
  <c r="A5727" i="3" a="1"/>
  <c r="A5726" i="3" a="1"/>
  <c r="A5725" i="3" a="1"/>
  <c r="A5724" i="3" a="1"/>
  <c r="A5723" i="3" a="1"/>
  <c r="A5722" i="3" a="1"/>
  <c r="A5721" i="3" a="1"/>
  <c r="A5720" i="3" a="1"/>
  <c r="A5719" i="3" a="1"/>
  <c r="A5718" i="3" a="1"/>
  <c r="A5717" i="3" a="1"/>
  <c r="A5716" i="3" a="1"/>
  <c r="A5715" i="3" a="1"/>
  <c r="A5714" i="3" a="1"/>
  <c r="A5713" i="3" a="1"/>
  <c r="A5712" i="3" a="1"/>
  <c r="A5711" i="3" a="1"/>
  <c r="A5710" i="3" a="1"/>
  <c r="A5709" i="3" a="1"/>
  <c r="A5708" i="3" a="1"/>
  <c r="A5707" i="3" a="1"/>
  <c r="A5706" i="3" a="1"/>
  <c r="A5705" i="3" a="1"/>
  <c r="A5704" i="3" a="1"/>
  <c r="A5703" i="3" a="1"/>
  <c r="A5702" i="3" a="1"/>
  <c r="A5701" i="3" a="1"/>
  <c r="A5700" i="3" a="1"/>
  <c r="A5699" i="3" a="1"/>
  <c r="A5698" i="3" a="1"/>
  <c r="A5697" i="3" a="1"/>
  <c r="A5696" i="3" a="1"/>
  <c r="A5695" i="3" a="1"/>
  <c r="A5694" i="3" a="1"/>
  <c r="A5693" i="3" a="1"/>
  <c r="A5692" i="3" a="1"/>
  <c r="A5691" i="3" a="1"/>
  <c r="A5690" i="3" a="1"/>
  <c r="A5689" i="3" a="1"/>
  <c r="A5688" i="3" a="1"/>
  <c r="A5687" i="3" a="1"/>
  <c r="A5686" i="3" a="1"/>
  <c r="A5685" i="3" a="1"/>
  <c r="A5684" i="3" a="1"/>
  <c r="A5683" i="3" a="1"/>
  <c r="A5682" i="3" a="1"/>
  <c r="A5681" i="3" a="1"/>
  <c r="A5680" i="3" a="1"/>
  <c r="A5679" i="3" a="1"/>
  <c r="A5678" i="3" a="1"/>
  <c r="A5677" i="3" a="1"/>
  <c r="A5676" i="3" a="1"/>
  <c r="A5675" i="3" a="1"/>
  <c r="A5674" i="3" a="1"/>
  <c r="A5673" i="3" a="1"/>
  <c r="A5672" i="3" a="1"/>
  <c r="A5671" i="3" a="1"/>
  <c r="A5670" i="3" a="1"/>
  <c r="A5669" i="3" a="1"/>
  <c r="A5668" i="3" a="1"/>
  <c r="A5667" i="3" a="1"/>
  <c r="A5666" i="3" a="1"/>
  <c r="A5665" i="3" a="1"/>
  <c r="A5664" i="3" a="1"/>
  <c r="A5663" i="3" a="1"/>
  <c r="A5662" i="3" a="1"/>
  <c r="A5661" i="3" a="1"/>
  <c r="A5660" i="3" a="1"/>
  <c r="A5659" i="3" a="1"/>
  <c r="A5658" i="3" a="1"/>
  <c r="A5657" i="3" a="1"/>
  <c r="A5656" i="3" a="1"/>
  <c r="A5655" i="3" a="1"/>
  <c r="A5654" i="3" a="1"/>
  <c r="A5653" i="3" a="1"/>
  <c r="A5652" i="3" a="1"/>
  <c r="A5651" i="3" a="1"/>
  <c r="A5650" i="3" a="1"/>
  <c r="A5649" i="3" a="1"/>
  <c r="A5648" i="3" a="1"/>
  <c r="A5647" i="3" a="1"/>
  <c r="A5646" i="3" a="1"/>
  <c r="A5645" i="3" a="1"/>
  <c r="A5644" i="3" a="1"/>
  <c r="A5643" i="3" a="1"/>
  <c r="A5642" i="3" a="1"/>
  <c r="A5641" i="3" a="1"/>
  <c r="A5640" i="3" a="1"/>
  <c r="A5639" i="3" a="1"/>
  <c r="A5638" i="3" a="1"/>
  <c r="A5637" i="3" a="1"/>
  <c r="A5636" i="3" a="1"/>
  <c r="A5635" i="3" a="1"/>
  <c r="A5634" i="3" a="1"/>
  <c r="A5633" i="3" a="1"/>
  <c r="A5632" i="3" a="1"/>
  <c r="A5631" i="3" a="1"/>
  <c r="A5630" i="3" a="1"/>
  <c r="A5629" i="3" a="1"/>
  <c r="A5628" i="3" a="1"/>
  <c r="A5627" i="3" a="1"/>
  <c r="A5626" i="3" a="1"/>
  <c r="A5625" i="3" a="1"/>
  <c r="A5624" i="3" a="1"/>
  <c r="A5623" i="3" a="1"/>
  <c r="A5622" i="3" a="1"/>
  <c r="A5621" i="3" a="1"/>
  <c r="A5620" i="3" a="1"/>
  <c r="A5619" i="3" a="1"/>
  <c r="A5618" i="3" a="1"/>
  <c r="A5617" i="3" a="1"/>
  <c r="A5616" i="3" a="1"/>
  <c r="A5615" i="3" a="1"/>
  <c r="A5614" i="3" a="1"/>
  <c r="A5613" i="3" a="1"/>
  <c r="A5612" i="3" a="1"/>
  <c r="A5611" i="3" a="1"/>
  <c r="A5610" i="3" a="1"/>
  <c r="A5609" i="3" a="1"/>
  <c r="A5608" i="3" a="1"/>
  <c r="A5607" i="3" a="1"/>
  <c r="A5606" i="3" a="1"/>
  <c r="A5605" i="3" a="1"/>
  <c r="A5604" i="3" a="1"/>
  <c r="A5603" i="3" a="1"/>
  <c r="A5602" i="3" a="1"/>
  <c r="A5601" i="3" a="1"/>
  <c r="A5600" i="3" a="1"/>
  <c r="A5599" i="3" a="1"/>
  <c r="A5598" i="3" a="1"/>
  <c r="A5597" i="3" a="1"/>
  <c r="A5596" i="3" a="1"/>
  <c r="A5595" i="3" a="1"/>
  <c r="A5594" i="3" a="1"/>
  <c r="A5593" i="3" a="1"/>
  <c r="A5592" i="3" a="1"/>
  <c r="A5591" i="3" a="1"/>
  <c r="A5590" i="3" a="1"/>
  <c r="A5589" i="3" a="1"/>
  <c r="A5588" i="3" a="1"/>
  <c r="A5587" i="3" a="1"/>
  <c r="A5586" i="3" a="1"/>
  <c r="A5585" i="3" a="1"/>
  <c r="A5584" i="3" a="1"/>
  <c r="A5583" i="3" a="1"/>
  <c r="A5582" i="3" a="1"/>
  <c r="A5581" i="3" a="1"/>
  <c r="A5580" i="3" a="1"/>
  <c r="A5579" i="3" a="1"/>
  <c r="A5578" i="3" a="1"/>
  <c r="A5577" i="3" a="1"/>
  <c r="A5576" i="3" a="1"/>
  <c r="A5575" i="3" a="1"/>
  <c r="A5574" i="3" a="1"/>
  <c r="A5573" i="3" a="1"/>
  <c r="A5572" i="3" a="1"/>
  <c r="A5571" i="3" a="1"/>
  <c r="A5570" i="3" a="1"/>
  <c r="A5569" i="3" a="1"/>
  <c r="A5568" i="3" a="1"/>
  <c r="A5567" i="3" a="1"/>
  <c r="A5566" i="3" a="1"/>
  <c r="A5565" i="3" a="1"/>
  <c r="A5564" i="3" a="1"/>
  <c r="A5563" i="3" a="1"/>
  <c r="A5562" i="3" a="1"/>
  <c r="A5561" i="3" a="1"/>
  <c r="A5560" i="3" a="1"/>
  <c r="A5559" i="3" a="1"/>
  <c r="A5558" i="3" a="1"/>
  <c r="A5557" i="3" a="1"/>
  <c r="A5556" i="3" a="1"/>
  <c r="A5555" i="3" a="1"/>
  <c r="A5554" i="3" a="1"/>
  <c r="A5553" i="3" a="1"/>
  <c r="A5552" i="3" a="1"/>
  <c r="A5551" i="3" a="1"/>
  <c r="A5550" i="3" a="1"/>
  <c r="A5549" i="3" a="1"/>
  <c r="A5548" i="3" a="1"/>
  <c r="A5547" i="3" a="1"/>
  <c r="A5546" i="3" a="1"/>
  <c r="A5545" i="3" a="1"/>
  <c r="A5544" i="3" a="1"/>
  <c r="A5543" i="3" a="1"/>
  <c r="A5542" i="3" a="1"/>
  <c r="A5541" i="3" a="1"/>
  <c r="A5540" i="3" a="1"/>
  <c r="A5539" i="3" a="1"/>
  <c r="A5538" i="3" a="1"/>
  <c r="A5537" i="3" a="1"/>
  <c r="A5536" i="3" a="1"/>
  <c r="A5535" i="3" a="1"/>
  <c r="A5534" i="3" a="1"/>
  <c r="A5533" i="3" a="1"/>
  <c r="A5532" i="3" a="1"/>
  <c r="A5531" i="3" a="1"/>
  <c r="A5530" i="3" a="1"/>
  <c r="A5529" i="3" a="1"/>
  <c r="A5528" i="3" a="1"/>
  <c r="A5527" i="3" a="1"/>
  <c r="A5526" i="3" a="1"/>
  <c r="A5525" i="3" a="1"/>
  <c r="A5524" i="3" a="1"/>
  <c r="A5523" i="3" a="1"/>
  <c r="A5522" i="3" a="1"/>
  <c r="A5521" i="3" a="1"/>
  <c r="A5520" i="3" a="1"/>
  <c r="A5519" i="3" a="1"/>
  <c r="A5518" i="3" a="1"/>
  <c r="A5517" i="3" a="1"/>
  <c r="A5516" i="3" a="1"/>
  <c r="A5515" i="3" a="1"/>
  <c r="A5514" i="3" a="1"/>
  <c r="A5513" i="3" a="1"/>
  <c r="A5512" i="3" a="1"/>
  <c r="A5511" i="3" a="1"/>
  <c r="A5510" i="3" a="1"/>
  <c r="A5509" i="3" a="1"/>
  <c r="A5508" i="3" a="1"/>
  <c r="A5507" i="3" a="1"/>
  <c r="A5506" i="3" a="1"/>
  <c r="A5505" i="3" a="1"/>
  <c r="A5504" i="3" a="1"/>
  <c r="A5503" i="3" a="1"/>
  <c r="A5502" i="3" a="1"/>
  <c r="A5501" i="3" a="1"/>
  <c r="A5500" i="3" a="1"/>
  <c r="A5499" i="3" a="1"/>
  <c r="A5498" i="3" a="1"/>
  <c r="A5497" i="3" a="1"/>
  <c r="A5496" i="3" a="1"/>
  <c r="A5495" i="3" a="1"/>
  <c r="A5494" i="3" a="1"/>
  <c r="A5493" i="3" a="1"/>
  <c r="A5492" i="3" a="1"/>
  <c r="A5491" i="3" a="1"/>
  <c r="A5490" i="3" a="1"/>
  <c r="A5489" i="3" a="1"/>
  <c r="A5488" i="3" a="1"/>
  <c r="A5487" i="3" a="1"/>
  <c r="A5486" i="3" a="1"/>
  <c r="A5485" i="3" a="1"/>
  <c r="A5484" i="3" a="1"/>
  <c r="A5483" i="3" a="1"/>
  <c r="A5482" i="3" a="1"/>
  <c r="A5481" i="3" a="1"/>
  <c r="A5480" i="3" a="1"/>
  <c r="A5479" i="3" a="1"/>
  <c r="A5478" i="3" a="1"/>
  <c r="A5477" i="3" a="1"/>
  <c r="A5476" i="3" a="1"/>
  <c r="A5475" i="3" a="1"/>
  <c r="A5474" i="3" a="1"/>
  <c r="A5473" i="3" a="1"/>
  <c r="A5472" i="3" a="1"/>
  <c r="A5471" i="3" a="1"/>
  <c r="A5470" i="3" a="1"/>
  <c r="A5469" i="3" a="1"/>
  <c r="A5468" i="3" a="1"/>
  <c r="A5467" i="3" a="1"/>
  <c r="A5466" i="3" a="1"/>
  <c r="A5465" i="3" a="1"/>
  <c r="A5464" i="3" a="1"/>
  <c r="A5463" i="3" a="1"/>
  <c r="A5462" i="3" a="1"/>
  <c r="A5461" i="3" a="1"/>
  <c r="A5460" i="3" a="1"/>
  <c r="A5459" i="3" a="1"/>
  <c r="A5458" i="3" a="1"/>
  <c r="A5457" i="3" a="1"/>
  <c r="A5456" i="3" a="1"/>
  <c r="A5455" i="3" a="1"/>
  <c r="A5454" i="3" a="1"/>
  <c r="A5453" i="3" a="1"/>
  <c r="A5452" i="3" a="1"/>
  <c r="A5451" i="3" a="1"/>
  <c r="A5450" i="3" a="1"/>
  <c r="A5449" i="3" a="1"/>
  <c r="A5448" i="3" a="1"/>
  <c r="A5447" i="3" a="1"/>
  <c r="A5446" i="3" a="1"/>
  <c r="A5445" i="3" a="1"/>
  <c r="A5444" i="3" a="1"/>
  <c r="A5443" i="3" a="1"/>
  <c r="A5442" i="3" a="1"/>
  <c r="A5441" i="3" a="1"/>
  <c r="A5440" i="3" a="1"/>
  <c r="A5439" i="3" a="1"/>
  <c r="A5438" i="3" a="1"/>
  <c r="A5437" i="3" a="1"/>
  <c r="A5436" i="3" a="1"/>
  <c r="A5435" i="3" a="1"/>
  <c r="A5434" i="3" a="1"/>
  <c r="A5433" i="3" a="1"/>
  <c r="A5432" i="3" a="1"/>
  <c r="A5431" i="3" a="1"/>
  <c r="A5430" i="3" a="1"/>
  <c r="A5429" i="3" a="1"/>
  <c r="A5428" i="3" a="1"/>
  <c r="A5427" i="3" a="1"/>
  <c r="A5426" i="3" a="1"/>
  <c r="A5425" i="3" a="1"/>
  <c r="A5424" i="3" a="1"/>
  <c r="A5423" i="3" a="1"/>
  <c r="A5422" i="3" a="1"/>
  <c r="A5421" i="3" a="1"/>
  <c r="A5420" i="3" a="1"/>
  <c r="A5419" i="3" a="1"/>
  <c r="A5418" i="3" a="1"/>
  <c r="A5417" i="3" a="1"/>
  <c r="A5416" i="3" a="1"/>
  <c r="A5415" i="3" a="1"/>
  <c r="A5414" i="3" a="1"/>
  <c r="A5413" i="3" a="1"/>
  <c r="A5412" i="3" a="1"/>
  <c r="A5411" i="3" a="1"/>
  <c r="A5410" i="3" a="1"/>
  <c r="A5409" i="3" a="1"/>
  <c r="A5408" i="3" a="1"/>
  <c r="A5407" i="3" a="1"/>
  <c r="A5406" i="3" a="1"/>
  <c r="A5405" i="3" a="1"/>
  <c r="A5404" i="3" a="1"/>
  <c r="A5403" i="3" a="1"/>
  <c r="A5402" i="3" a="1"/>
  <c r="A5401" i="3" a="1"/>
  <c r="A5400" i="3" a="1"/>
  <c r="A5399" i="3" a="1"/>
  <c r="A5398" i="3" a="1"/>
  <c r="A5397" i="3" a="1"/>
  <c r="A5396" i="3" a="1"/>
  <c r="A5395" i="3" a="1"/>
  <c r="A5394" i="3" a="1"/>
  <c r="A5393" i="3" a="1"/>
  <c r="A5392" i="3" a="1"/>
  <c r="A5391" i="3" a="1"/>
  <c r="A5390" i="3" a="1"/>
  <c r="A5389" i="3" a="1"/>
  <c r="A5388" i="3" a="1"/>
  <c r="A5387" i="3" a="1"/>
  <c r="A5386" i="3" a="1"/>
  <c r="A5385" i="3" a="1"/>
  <c r="A5384" i="3" a="1"/>
  <c r="A5383" i="3" a="1"/>
  <c r="A5382" i="3" a="1"/>
  <c r="A5381" i="3" a="1"/>
  <c r="A5380" i="3" a="1"/>
  <c r="A5379" i="3" a="1"/>
  <c r="A5378" i="3" a="1"/>
  <c r="A5377" i="3" a="1"/>
  <c r="A5376" i="3" a="1"/>
  <c r="A5375" i="3" a="1"/>
  <c r="A5374" i="3" a="1"/>
  <c r="A5373" i="3" a="1"/>
  <c r="A5372" i="3" a="1"/>
  <c r="A5371" i="3" a="1"/>
  <c r="A5370" i="3" a="1"/>
  <c r="A5369" i="3" a="1"/>
  <c r="A5368" i="3" a="1"/>
  <c r="A5367" i="3" a="1"/>
  <c r="A5366" i="3" a="1"/>
  <c r="A5365" i="3" a="1"/>
  <c r="A5364" i="3" a="1"/>
  <c r="A5363" i="3" a="1"/>
  <c r="A5362" i="3" a="1"/>
  <c r="A5361" i="3" a="1"/>
  <c r="A5360" i="3" a="1"/>
  <c r="A5359" i="3" a="1"/>
  <c r="A5358" i="3" a="1"/>
  <c r="A5357" i="3" a="1"/>
  <c r="A5356" i="3" a="1"/>
  <c r="A5355" i="3" a="1"/>
  <c r="A5354" i="3" a="1"/>
  <c r="A5353" i="3" a="1"/>
  <c r="A5352" i="3" a="1"/>
  <c r="A5351" i="3" a="1"/>
  <c r="A5350" i="3" a="1"/>
  <c r="A5349" i="3" a="1"/>
  <c r="A5348" i="3" a="1"/>
  <c r="A5347" i="3" a="1"/>
  <c r="A5346" i="3" a="1"/>
  <c r="A5345" i="3" a="1"/>
  <c r="A5344" i="3" a="1"/>
  <c r="A5343" i="3" a="1"/>
  <c r="A5342" i="3" a="1"/>
  <c r="A5341" i="3" a="1"/>
  <c r="A5340" i="3" a="1"/>
  <c r="A5339" i="3" a="1"/>
  <c r="A5338" i="3" a="1"/>
  <c r="A5337" i="3" a="1"/>
  <c r="A5336" i="3" a="1"/>
  <c r="A5335" i="3" a="1"/>
  <c r="A5334" i="3" a="1"/>
  <c r="A5333" i="3" a="1"/>
  <c r="A5332" i="3" a="1"/>
  <c r="A5331" i="3" a="1"/>
  <c r="A5330" i="3" a="1"/>
  <c r="A5329" i="3" a="1"/>
  <c r="A5328" i="3" a="1"/>
  <c r="A5327" i="3" a="1"/>
  <c r="A5326" i="3" a="1"/>
  <c r="A5325" i="3" a="1"/>
  <c r="A5324" i="3" a="1"/>
  <c r="A5323" i="3" a="1"/>
  <c r="A5322" i="3" a="1"/>
  <c r="A5321" i="3" a="1"/>
  <c r="A5320" i="3" a="1"/>
  <c r="A5319" i="3" a="1"/>
  <c r="A5318" i="3" a="1"/>
  <c r="A5317" i="3" a="1"/>
  <c r="A5316" i="3" a="1"/>
  <c r="A5315" i="3" a="1"/>
  <c r="A5314" i="3" a="1"/>
  <c r="A5313" i="3" a="1"/>
  <c r="A5312" i="3" a="1"/>
  <c r="A5311" i="3" a="1"/>
  <c r="A5310" i="3" a="1"/>
  <c r="A5309" i="3" a="1"/>
  <c r="A5308" i="3" a="1"/>
  <c r="A5307" i="3" a="1"/>
  <c r="A5306" i="3" a="1"/>
  <c r="A5305" i="3" a="1"/>
  <c r="A5304" i="3" a="1"/>
  <c r="A5303" i="3" a="1"/>
  <c r="A5302" i="3" a="1"/>
  <c r="A5301" i="3" a="1"/>
  <c r="A5300" i="3" a="1"/>
  <c r="A5299" i="3" a="1"/>
  <c r="A5298" i="3" a="1"/>
  <c r="A5297" i="3" a="1"/>
  <c r="A5296" i="3" a="1"/>
  <c r="A5295" i="3" a="1"/>
  <c r="A5294" i="3" a="1"/>
  <c r="A5293" i="3" a="1"/>
  <c r="A5292" i="3" a="1"/>
  <c r="A5291" i="3" a="1"/>
  <c r="A5290" i="3" a="1"/>
  <c r="A5289" i="3" a="1"/>
  <c r="A5288" i="3" a="1"/>
  <c r="A5287" i="3" a="1"/>
  <c r="A5286" i="3" a="1"/>
  <c r="A5285" i="3" a="1"/>
  <c r="A5284" i="3" a="1"/>
  <c r="A5283" i="3" a="1"/>
  <c r="A5282" i="3" a="1"/>
  <c r="A5281" i="3" a="1"/>
  <c r="A5280" i="3" a="1"/>
  <c r="A5279" i="3" a="1"/>
  <c r="A5278" i="3" a="1"/>
  <c r="A5277" i="3" a="1"/>
  <c r="A5276" i="3" a="1"/>
  <c r="A5275" i="3" a="1"/>
  <c r="A5274" i="3" a="1"/>
  <c r="A5273" i="3" a="1"/>
  <c r="A5272" i="3" a="1"/>
  <c r="A5271" i="3" a="1"/>
  <c r="A5270" i="3" a="1"/>
  <c r="A5269" i="3" a="1"/>
  <c r="A5268" i="3" a="1"/>
  <c r="A5267" i="3" a="1"/>
  <c r="A5266" i="3" a="1"/>
  <c r="A5265" i="3" a="1"/>
  <c r="A5264" i="3" a="1"/>
  <c r="A5263" i="3" a="1"/>
  <c r="A5262" i="3" a="1"/>
  <c r="A5261" i="3" a="1"/>
  <c r="A5260" i="3" a="1"/>
  <c r="A5259" i="3" a="1"/>
  <c r="A5258" i="3" a="1"/>
  <c r="A5257" i="3" a="1"/>
  <c r="A5256" i="3" a="1"/>
  <c r="A5255" i="3" a="1"/>
  <c r="A5254" i="3" a="1"/>
  <c r="A5253" i="3" a="1"/>
  <c r="A5252" i="3" a="1"/>
  <c r="A5251" i="3" a="1"/>
  <c r="A5250" i="3" a="1"/>
  <c r="A5249" i="3" a="1"/>
  <c r="A5248" i="3" a="1"/>
  <c r="A5247" i="3" a="1"/>
  <c r="A5246" i="3" a="1"/>
  <c r="A5245" i="3" a="1"/>
  <c r="A5244" i="3" a="1"/>
  <c r="A5243" i="3" a="1"/>
  <c r="A5242" i="3" a="1"/>
  <c r="A5241" i="3" a="1"/>
  <c r="A5240" i="3" a="1"/>
  <c r="A5239" i="3" a="1"/>
  <c r="A5238" i="3" a="1"/>
  <c r="A5237" i="3" a="1"/>
  <c r="A5236" i="3" a="1"/>
  <c r="A5235" i="3" a="1"/>
  <c r="A5234" i="3" a="1"/>
  <c r="A5233" i="3" a="1"/>
  <c r="A5232" i="3" a="1"/>
  <c r="A5231" i="3" a="1"/>
  <c r="A5230" i="3" a="1"/>
  <c r="A5229" i="3" a="1"/>
  <c r="A5228" i="3" a="1"/>
  <c r="A5227" i="3" a="1"/>
  <c r="A5226" i="3" a="1"/>
  <c r="A5225" i="3" a="1"/>
  <c r="A5224" i="3" a="1"/>
  <c r="A5223" i="3" a="1"/>
  <c r="A5222" i="3" a="1"/>
  <c r="A5221" i="3" a="1"/>
  <c r="A5220" i="3" a="1"/>
  <c r="A5219" i="3" a="1"/>
  <c r="A5218" i="3" a="1"/>
  <c r="A5217" i="3" a="1"/>
  <c r="A5216" i="3" a="1"/>
  <c r="A5215" i="3" a="1"/>
  <c r="A5214" i="3" a="1"/>
  <c r="A5213" i="3" a="1"/>
  <c r="A5212" i="3" a="1"/>
  <c r="A5211" i="3" a="1"/>
  <c r="A5210" i="3" a="1"/>
  <c r="A5209" i="3" a="1"/>
  <c r="A5208" i="3" a="1"/>
  <c r="A5207" i="3" a="1"/>
  <c r="A5206" i="3" a="1"/>
  <c r="A5205" i="3" a="1"/>
  <c r="A5204" i="3" a="1"/>
  <c r="A5203" i="3" a="1"/>
  <c r="A5202" i="3" a="1"/>
  <c r="A5201" i="3" a="1"/>
  <c r="A5200" i="3" a="1"/>
  <c r="A5199" i="3" a="1"/>
  <c r="A5198" i="3" a="1"/>
  <c r="A5197" i="3" a="1"/>
  <c r="A5196" i="3" a="1"/>
  <c r="A5195" i="3" a="1"/>
  <c r="A5194" i="3" a="1"/>
  <c r="A5193" i="3" a="1"/>
  <c r="A5192" i="3" a="1"/>
  <c r="A5191" i="3" a="1"/>
  <c r="A5190" i="3" a="1"/>
  <c r="A5189" i="3" a="1"/>
  <c r="A5188" i="3" a="1"/>
  <c r="A5187" i="3" a="1"/>
  <c r="A5186" i="3" a="1"/>
  <c r="A5185" i="3" a="1"/>
  <c r="A5184" i="3" a="1"/>
  <c r="A5183" i="3" a="1"/>
  <c r="A5182" i="3" a="1"/>
  <c r="A5181" i="3" a="1"/>
  <c r="A5180" i="3" a="1"/>
  <c r="A5179" i="3" a="1"/>
  <c r="A5178" i="3" a="1"/>
  <c r="A5177" i="3" a="1"/>
  <c r="A5176" i="3" a="1"/>
  <c r="A5175" i="3" a="1"/>
  <c r="A5174" i="3" a="1"/>
  <c r="A5173" i="3" a="1"/>
  <c r="A5172" i="3" a="1"/>
  <c r="A5171" i="3" a="1"/>
  <c r="A5170" i="3" a="1"/>
  <c r="A5169" i="3" a="1"/>
  <c r="A5168" i="3" a="1"/>
  <c r="A5167" i="3" a="1"/>
  <c r="A5166" i="3" a="1"/>
  <c r="A5165" i="3" a="1"/>
  <c r="A5164" i="3" a="1"/>
  <c r="A5163" i="3" a="1"/>
  <c r="A5162" i="3" a="1"/>
  <c r="A5161" i="3" a="1"/>
  <c r="A5160" i="3" a="1"/>
  <c r="A5159" i="3" a="1"/>
  <c r="A5158" i="3" a="1"/>
  <c r="A5157" i="3" a="1"/>
  <c r="A5156" i="3" a="1"/>
  <c r="A5155" i="3" a="1"/>
  <c r="A5154" i="3" a="1"/>
  <c r="A5153" i="3" a="1"/>
  <c r="A5152" i="3" a="1"/>
  <c r="A5151" i="3" a="1"/>
  <c r="A5150" i="3" a="1"/>
  <c r="A5149" i="3" a="1"/>
  <c r="A5148" i="3" a="1"/>
  <c r="A5147" i="3" a="1"/>
  <c r="A5146" i="3" a="1"/>
  <c r="A5145" i="3" a="1"/>
  <c r="A5144" i="3" a="1"/>
  <c r="A5143" i="3" a="1"/>
  <c r="A5142" i="3" a="1"/>
  <c r="A5141" i="3" a="1"/>
  <c r="A5140" i="3" a="1"/>
  <c r="A5139" i="3" a="1"/>
  <c r="A5138" i="3" a="1"/>
  <c r="A5137" i="3" a="1"/>
  <c r="A5136" i="3" a="1"/>
  <c r="A5135" i="3" a="1"/>
  <c r="A5134" i="3" a="1"/>
  <c r="A5133" i="3" a="1"/>
  <c r="A5132" i="3" a="1"/>
  <c r="A5131" i="3" a="1"/>
  <c r="A5130" i="3" a="1"/>
  <c r="A5129" i="3" a="1"/>
  <c r="A5128" i="3" a="1"/>
  <c r="A5127" i="3" a="1"/>
  <c r="A5126" i="3" a="1"/>
  <c r="A5125" i="3" a="1"/>
  <c r="A5124" i="3" a="1"/>
  <c r="A5123" i="3" a="1"/>
  <c r="A5122" i="3" a="1"/>
  <c r="A5121" i="3" a="1"/>
  <c r="A5120" i="3" a="1"/>
  <c r="A5119" i="3" a="1"/>
  <c r="A5118" i="3" a="1"/>
  <c r="A5117" i="3" a="1"/>
  <c r="A5116" i="3" a="1"/>
  <c r="A5115" i="3" a="1"/>
  <c r="A5114" i="3" a="1"/>
  <c r="A5113" i="3" a="1"/>
  <c r="A5112" i="3" a="1"/>
  <c r="A5111" i="3" a="1"/>
  <c r="A5110" i="3" a="1"/>
  <c r="A5109" i="3" a="1"/>
  <c r="A5108" i="3" a="1"/>
  <c r="A5107" i="3" a="1"/>
  <c r="A5106" i="3" a="1"/>
  <c r="A5105" i="3" a="1"/>
  <c r="A5104" i="3" a="1"/>
  <c r="A5103" i="3" a="1"/>
  <c r="A5102" i="3" a="1"/>
  <c r="A5101" i="3" a="1"/>
  <c r="A5100" i="3" a="1"/>
  <c r="A5099" i="3" a="1"/>
  <c r="A5098" i="3" a="1"/>
  <c r="A5097" i="3" a="1"/>
  <c r="A5096" i="3" a="1"/>
  <c r="A5095" i="3" a="1"/>
  <c r="A5094" i="3" a="1"/>
  <c r="A5093" i="3" a="1"/>
  <c r="A5092" i="3" a="1"/>
  <c r="A5091" i="3" a="1"/>
  <c r="A5090" i="3" a="1"/>
  <c r="A5089" i="3" a="1"/>
  <c r="A5088" i="3" a="1"/>
  <c r="A5087" i="3" a="1"/>
  <c r="A5086" i="3" a="1"/>
  <c r="A5085" i="3" a="1"/>
  <c r="A5084" i="3" a="1"/>
  <c r="A5083" i="3" a="1"/>
  <c r="A5082" i="3" a="1"/>
  <c r="A5081" i="3" a="1"/>
  <c r="A5080" i="3" a="1"/>
  <c r="A5079" i="3" a="1"/>
  <c r="A5078" i="3" a="1"/>
  <c r="A5077" i="3" a="1"/>
  <c r="A5076" i="3" a="1"/>
  <c r="A5075" i="3" a="1"/>
  <c r="A5074" i="3" a="1"/>
  <c r="A5073" i="3" a="1"/>
  <c r="A5072" i="3" a="1"/>
  <c r="A5071" i="3" a="1"/>
  <c r="A5070" i="3" a="1"/>
  <c r="A5069" i="3" a="1"/>
  <c r="A5068" i="3" a="1"/>
  <c r="A5067" i="3" a="1"/>
  <c r="A5066" i="3" a="1"/>
  <c r="A5065" i="3" a="1"/>
  <c r="A5064" i="3" a="1"/>
  <c r="A5063" i="3" a="1"/>
  <c r="A5062" i="3" a="1"/>
  <c r="A5061" i="3" a="1"/>
  <c r="A5060" i="3" a="1"/>
  <c r="A5059" i="3" a="1"/>
  <c r="A5058" i="3" a="1"/>
  <c r="A5057" i="3" a="1"/>
  <c r="A5056" i="3" a="1"/>
  <c r="A5055" i="3" a="1"/>
  <c r="A5054" i="3" a="1"/>
  <c r="A5053" i="3" a="1"/>
  <c r="A5052" i="3" a="1"/>
  <c r="A5051" i="3" a="1"/>
  <c r="A5050" i="3" a="1"/>
  <c r="A5049" i="3" a="1"/>
  <c r="A5048" i="3" a="1"/>
  <c r="A5047" i="3" a="1"/>
  <c r="A5046" i="3" a="1"/>
  <c r="A5045" i="3" a="1"/>
  <c r="A5044" i="3" a="1"/>
  <c r="A5043" i="3" a="1"/>
  <c r="A5042" i="3" a="1"/>
  <c r="A5041" i="3" a="1"/>
  <c r="A5040" i="3" a="1"/>
  <c r="A5039" i="3" a="1"/>
  <c r="A5038" i="3" a="1"/>
  <c r="A5037" i="3" a="1"/>
  <c r="A5036" i="3" a="1"/>
  <c r="A5035" i="3" a="1"/>
  <c r="A5034" i="3" a="1"/>
  <c r="A5033" i="3" a="1"/>
  <c r="A5032" i="3" a="1"/>
  <c r="A5031" i="3" a="1"/>
  <c r="A5030" i="3" a="1"/>
  <c r="A5029" i="3" a="1"/>
  <c r="A5028" i="3" a="1"/>
  <c r="A5027" i="3" a="1"/>
  <c r="A5026" i="3" a="1"/>
  <c r="A5025" i="3" a="1"/>
  <c r="A5024" i="3" a="1"/>
  <c r="A5023" i="3" a="1"/>
  <c r="A5022" i="3" a="1"/>
  <c r="A5021" i="3" a="1"/>
  <c r="A5020" i="3" a="1"/>
  <c r="A5019" i="3" a="1"/>
  <c r="A5018" i="3" a="1"/>
  <c r="A5017" i="3" a="1"/>
  <c r="A5016" i="3" a="1"/>
  <c r="A5015" i="3" a="1"/>
  <c r="A5014" i="3" a="1"/>
  <c r="A5013" i="3" a="1"/>
  <c r="A5012" i="3" a="1"/>
  <c r="A5011" i="3" a="1"/>
  <c r="A5010" i="3" a="1"/>
  <c r="A5009" i="3" a="1"/>
  <c r="A5008" i="3" a="1"/>
  <c r="A5007" i="3" a="1"/>
  <c r="A5006" i="3" a="1"/>
  <c r="A5005" i="3" a="1"/>
  <c r="A5004" i="3" a="1"/>
  <c r="A5003" i="3" a="1"/>
  <c r="A5002" i="3" a="1"/>
  <c r="A5001" i="3" a="1"/>
  <c r="A5000" i="3" a="1"/>
  <c r="A4999" i="3" a="1"/>
  <c r="A4998" i="3" a="1"/>
  <c r="A4997" i="3" a="1"/>
  <c r="A4996" i="3" a="1"/>
  <c r="A4995" i="3" a="1"/>
  <c r="A4994" i="3" a="1"/>
  <c r="A4993" i="3" a="1"/>
  <c r="A4992" i="3" a="1"/>
  <c r="A4991" i="3" a="1"/>
  <c r="A4990" i="3" a="1"/>
  <c r="A4989" i="3" a="1"/>
  <c r="A4988" i="3" a="1"/>
  <c r="A4987" i="3" a="1"/>
  <c r="A4986" i="3" a="1"/>
  <c r="A4985" i="3" a="1"/>
  <c r="A4984" i="3" a="1"/>
  <c r="A4983" i="3" a="1"/>
  <c r="A4982" i="3" a="1"/>
  <c r="A4981" i="3" a="1"/>
  <c r="A4980" i="3" a="1"/>
  <c r="A4979" i="3" a="1"/>
  <c r="A4978" i="3" a="1"/>
  <c r="A4977" i="3" a="1"/>
  <c r="A4976" i="3" a="1"/>
  <c r="A4975" i="3" a="1"/>
  <c r="A4974" i="3" a="1"/>
  <c r="A4973" i="3" a="1"/>
  <c r="A4972" i="3" a="1"/>
  <c r="A4971" i="3" a="1"/>
  <c r="A4970" i="3" a="1"/>
  <c r="A4969" i="3" a="1"/>
  <c r="A4968" i="3" a="1"/>
  <c r="A4967" i="3" a="1"/>
  <c r="A4966" i="3" a="1"/>
  <c r="A4965" i="3" a="1"/>
  <c r="A4964" i="3" a="1"/>
  <c r="A4963" i="3" a="1"/>
  <c r="A4962" i="3" a="1"/>
  <c r="A4961" i="3" a="1"/>
  <c r="A4960" i="3" a="1"/>
  <c r="A4959" i="3" a="1"/>
  <c r="A4958" i="3" a="1"/>
  <c r="A4957" i="3" a="1"/>
  <c r="A4956" i="3" a="1"/>
  <c r="A4955" i="3" a="1"/>
  <c r="A4954" i="3" a="1"/>
  <c r="A4953" i="3" a="1"/>
  <c r="A4952" i="3" a="1"/>
  <c r="A4951" i="3" a="1"/>
  <c r="A4950" i="3" a="1"/>
  <c r="A4949" i="3" a="1"/>
  <c r="A4948" i="3" a="1"/>
  <c r="A4947" i="3" a="1"/>
  <c r="A4946" i="3" a="1"/>
  <c r="A4945" i="3" a="1"/>
  <c r="A4944" i="3" a="1"/>
  <c r="A4943" i="3" a="1"/>
  <c r="A4942" i="3" a="1"/>
  <c r="A4941" i="3" a="1"/>
  <c r="A4940" i="3" a="1"/>
  <c r="A4939" i="3" a="1"/>
  <c r="A4938" i="3" a="1"/>
  <c r="A4937" i="3" a="1"/>
  <c r="A4936" i="3" a="1"/>
  <c r="A4935" i="3" a="1"/>
  <c r="A4934" i="3" a="1"/>
  <c r="A4933" i="3" a="1"/>
  <c r="A4932" i="3" a="1"/>
  <c r="A4931" i="3" a="1"/>
  <c r="A4930" i="3" a="1"/>
  <c r="A4929" i="3" a="1"/>
  <c r="A4928" i="3" a="1"/>
  <c r="A4927" i="3" a="1"/>
  <c r="A4926" i="3" a="1"/>
  <c r="A4925" i="3" a="1"/>
  <c r="A4924" i="3" a="1"/>
  <c r="A4923" i="3" a="1"/>
  <c r="A4922" i="3" a="1"/>
  <c r="A4921" i="3" a="1"/>
  <c r="A4920" i="3" a="1"/>
  <c r="A4919" i="3" a="1"/>
  <c r="A4918" i="3" a="1"/>
  <c r="A4917" i="3" a="1"/>
  <c r="A4916" i="3" a="1"/>
  <c r="A4915" i="3" a="1"/>
  <c r="A4914" i="3" a="1"/>
  <c r="A4913" i="3" a="1"/>
  <c r="A4912" i="3" a="1"/>
  <c r="A4911" i="3" a="1"/>
  <c r="A4910" i="3" a="1"/>
  <c r="A4909" i="3" a="1"/>
  <c r="A4908" i="3" a="1"/>
  <c r="A4907" i="3" a="1"/>
  <c r="A4906" i="3" a="1"/>
  <c r="A4905" i="3" a="1"/>
  <c r="A4904" i="3" a="1"/>
  <c r="A4903" i="3" a="1"/>
  <c r="A4902" i="3" a="1"/>
  <c r="A4901" i="3" a="1"/>
  <c r="A4900" i="3" a="1"/>
  <c r="A4899" i="3" a="1"/>
  <c r="A4898" i="3" a="1"/>
  <c r="A4897" i="3" a="1"/>
  <c r="A4896" i="3" a="1"/>
  <c r="A4895" i="3" a="1"/>
  <c r="A4894" i="3" a="1"/>
  <c r="A4893" i="3" a="1"/>
  <c r="A4892" i="3" a="1"/>
  <c r="A4891" i="3" a="1"/>
  <c r="A4890" i="3" a="1"/>
  <c r="A4889" i="3" a="1"/>
  <c r="A4888" i="3" a="1"/>
  <c r="A4887" i="3" a="1"/>
  <c r="A4886" i="3" a="1"/>
  <c r="A4885" i="3" a="1"/>
  <c r="A4884" i="3" a="1"/>
  <c r="A4883" i="3" a="1"/>
  <c r="A4882" i="3" a="1"/>
  <c r="A4881" i="3" a="1"/>
  <c r="A4880" i="3" a="1"/>
  <c r="A4879" i="3" a="1"/>
  <c r="A4878" i="3" a="1"/>
  <c r="A4877" i="3" a="1"/>
  <c r="A4876" i="3" a="1"/>
  <c r="A4875" i="3" a="1"/>
  <c r="A4874" i="3" a="1"/>
  <c r="A4873" i="3" a="1"/>
  <c r="A4872" i="3" a="1"/>
  <c r="A4871" i="3" a="1"/>
  <c r="A4870" i="3" a="1"/>
  <c r="A4869" i="3" a="1"/>
  <c r="A4868" i="3" a="1"/>
  <c r="A4867" i="3" a="1"/>
  <c r="A4866" i="3" a="1"/>
  <c r="A4865" i="3" a="1"/>
  <c r="A4864" i="3" a="1"/>
  <c r="A4863" i="3" a="1"/>
  <c r="A4862" i="3" a="1"/>
  <c r="A4861" i="3" a="1"/>
  <c r="A4860" i="3" a="1"/>
  <c r="A4859" i="3" a="1"/>
  <c r="A4858" i="3" a="1"/>
  <c r="A4857" i="3" a="1"/>
  <c r="A4856" i="3" a="1"/>
  <c r="A4855" i="3" a="1"/>
  <c r="A4854" i="3" a="1"/>
  <c r="A4853" i="3" a="1"/>
  <c r="A4852" i="3" a="1"/>
  <c r="A4851" i="3" a="1"/>
  <c r="A4850" i="3" a="1"/>
  <c r="A4849" i="3" a="1"/>
  <c r="A4848" i="3" a="1"/>
  <c r="A4847" i="3" a="1"/>
  <c r="A4846" i="3" a="1"/>
  <c r="A4845" i="3" a="1"/>
  <c r="A4844" i="3" a="1"/>
  <c r="A4843" i="3" a="1"/>
  <c r="A4842" i="3" a="1"/>
  <c r="A4841" i="3" a="1"/>
  <c r="A4840" i="3" a="1"/>
  <c r="A4839" i="3" a="1"/>
  <c r="A4838" i="3" a="1"/>
  <c r="A4837" i="3" a="1"/>
  <c r="A4836" i="3" a="1"/>
  <c r="A4835" i="3" a="1"/>
  <c r="A4834" i="3" a="1"/>
  <c r="A4833" i="3" a="1"/>
  <c r="A4832" i="3" a="1"/>
  <c r="A4831" i="3" a="1"/>
  <c r="A4830" i="3" a="1"/>
  <c r="A4829" i="3" a="1"/>
  <c r="A4828" i="3" a="1"/>
  <c r="A4827" i="3" a="1"/>
  <c r="A4826" i="3" a="1"/>
  <c r="A4825" i="3" a="1"/>
  <c r="A4824" i="3" a="1"/>
  <c r="A4823" i="3" a="1"/>
  <c r="A4822" i="3" a="1"/>
  <c r="A4821" i="3" a="1"/>
  <c r="A4820" i="3" a="1"/>
  <c r="A4819" i="3" a="1"/>
  <c r="A4818" i="3" a="1"/>
  <c r="A4817" i="3" a="1"/>
  <c r="A4816" i="3" a="1"/>
  <c r="A4815" i="3" a="1"/>
  <c r="A4814" i="3" a="1"/>
  <c r="A4813" i="3" a="1"/>
  <c r="A4812" i="3" a="1"/>
  <c r="A4811" i="3" a="1"/>
  <c r="A4810" i="3" a="1"/>
  <c r="A4809" i="3" a="1"/>
  <c r="A4808" i="3" a="1"/>
  <c r="A4807" i="3" a="1"/>
  <c r="A4806" i="3" a="1"/>
  <c r="A4805" i="3" a="1"/>
  <c r="A4804" i="3" a="1"/>
  <c r="A4803" i="3" a="1"/>
  <c r="A4802" i="3" a="1"/>
  <c r="A4801" i="3" a="1"/>
  <c r="A4800" i="3" a="1"/>
  <c r="A4799" i="3" a="1"/>
  <c r="A4798" i="3" a="1"/>
  <c r="A4797" i="3" a="1"/>
  <c r="A4796" i="3" a="1"/>
  <c r="A4795" i="3" a="1"/>
  <c r="A4794" i="3" a="1"/>
  <c r="A4793" i="3" a="1"/>
  <c r="A4792" i="3" a="1"/>
  <c r="A4791" i="3" a="1"/>
  <c r="A4790" i="3" a="1"/>
  <c r="A4789" i="3" a="1"/>
  <c r="A4788" i="3" a="1"/>
  <c r="A4787" i="3" a="1"/>
  <c r="A4786" i="3" a="1"/>
  <c r="A4785" i="3" a="1"/>
  <c r="A4784" i="3" a="1"/>
  <c r="A4783" i="3" a="1"/>
  <c r="A4782" i="3" a="1"/>
  <c r="A4781" i="3" a="1"/>
  <c r="A4780" i="3" a="1"/>
  <c r="A4779" i="3" a="1"/>
  <c r="A4778" i="3" a="1"/>
  <c r="A4777" i="3" a="1"/>
  <c r="A4776" i="3" a="1"/>
  <c r="A4775" i="3" a="1"/>
  <c r="A4774" i="3" a="1"/>
  <c r="A4773" i="3" a="1"/>
  <c r="A4772" i="3" a="1"/>
  <c r="A4771" i="3" a="1"/>
  <c r="A4770" i="3" a="1"/>
  <c r="A4769" i="3" a="1"/>
  <c r="A4768" i="3" a="1"/>
  <c r="A4767" i="3" a="1"/>
  <c r="A4766" i="3" a="1"/>
  <c r="A4765" i="3" a="1"/>
  <c r="A4764" i="3" a="1"/>
  <c r="A4763" i="3" a="1"/>
  <c r="A4762" i="3" a="1"/>
  <c r="A4761" i="3" a="1"/>
  <c r="A4760" i="3" a="1"/>
  <c r="A4759" i="3" a="1"/>
  <c r="A4758" i="3" a="1"/>
  <c r="A4757" i="3" a="1"/>
  <c r="A4756" i="3" a="1"/>
  <c r="A4755" i="3" a="1"/>
  <c r="A4754" i="3" a="1"/>
  <c r="A4753" i="3" a="1"/>
  <c r="A4752" i="3" a="1"/>
  <c r="A4751" i="3" a="1"/>
  <c r="A4750" i="3" a="1"/>
  <c r="A4749" i="3" a="1"/>
  <c r="A4748" i="3" a="1"/>
  <c r="A4747" i="3" a="1"/>
  <c r="A4746" i="3" a="1"/>
  <c r="A4745" i="3" a="1"/>
  <c r="A4744" i="3" a="1"/>
  <c r="A4743" i="3" a="1"/>
  <c r="A4742" i="3" a="1"/>
  <c r="A4741" i="3" a="1"/>
  <c r="A4740" i="3" a="1"/>
  <c r="A4739" i="3" a="1"/>
  <c r="A4738" i="3" a="1"/>
  <c r="A4737" i="3" a="1"/>
  <c r="A4736" i="3" a="1"/>
  <c r="A4735" i="3" a="1"/>
  <c r="A4734" i="3" a="1"/>
  <c r="A4733" i="3" a="1"/>
  <c r="A4732" i="3" a="1"/>
  <c r="A4731" i="3" a="1"/>
  <c r="A4730" i="3" a="1"/>
  <c r="A4729" i="3" a="1"/>
  <c r="A4728" i="3" a="1"/>
  <c r="A4727" i="3" a="1"/>
  <c r="A4726" i="3" a="1"/>
  <c r="A4725" i="3" a="1"/>
  <c r="A4724" i="3" a="1"/>
  <c r="A4723" i="3" a="1"/>
  <c r="A4722" i="3" a="1"/>
  <c r="A4721" i="3" a="1"/>
  <c r="A4720" i="3" a="1"/>
  <c r="A4719" i="3" a="1"/>
  <c r="A4718" i="3" a="1"/>
  <c r="A4717" i="3" a="1"/>
  <c r="A4716" i="3" a="1"/>
  <c r="A4715" i="3" a="1"/>
  <c r="A4714" i="3" a="1"/>
  <c r="A4713" i="3" a="1"/>
  <c r="A4712" i="3" a="1"/>
  <c r="A4711" i="3" a="1"/>
  <c r="A4710" i="3" a="1"/>
  <c r="A4709" i="3" a="1"/>
  <c r="A4708" i="3" a="1"/>
  <c r="A4707" i="3" a="1"/>
  <c r="A4706" i="3" a="1"/>
  <c r="A4705" i="3" a="1"/>
  <c r="A4704" i="3" a="1"/>
  <c r="A4703" i="3" a="1"/>
  <c r="A4702" i="3" a="1"/>
  <c r="A4701" i="3" a="1"/>
  <c r="A4700" i="3" a="1"/>
  <c r="A4699" i="3" a="1"/>
  <c r="A4698" i="3" a="1"/>
  <c r="A4697" i="3" a="1"/>
  <c r="A4696" i="3" a="1"/>
  <c r="A4695" i="3" a="1"/>
  <c r="A4694" i="3" a="1"/>
  <c r="A4693" i="3" a="1"/>
  <c r="A4692" i="3" a="1"/>
  <c r="A4691" i="3" a="1"/>
  <c r="A4690" i="3" a="1"/>
  <c r="A4689" i="3" a="1"/>
  <c r="A4688" i="3" a="1"/>
  <c r="A4687" i="3" a="1"/>
  <c r="A4686" i="3" a="1"/>
  <c r="A4685" i="3" a="1"/>
  <c r="A4684" i="3" a="1"/>
  <c r="A4683" i="3" a="1"/>
  <c r="A4682" i="3" a="1"/>
  <c r="A4681" i="3" a="1"/>
  <c r="A4680" i="3" a="1"/>
  <c r="A4679" i="3" a="1"/>
  <c r="A4678" i="3" a="1"/>
  <c r="A4677" i="3" a="1"/>
  <c r="A4676" i="3" a="1"/>
  <c r="A4675" i="3" a="1"/>
  <c r="A4674" i="3" a="1"/>
  <c r="A4673" i="3" a="1"/>
  <c r="A4672" i="3" a="1"/>
  <c r="A4671" i="3" a="1"/>
  <c r="A4670" i="3" a="1"/>
  <c r="A4669" i="3" a="1"/>
  <c r="A4668" i="3" a="1"/>
  <c r="A4667" i="3" a="1"/>
  <c r="A4666" i="3" a="1"/>
  <c r="A4665" i="3" a="1"/>
  <c r="A4664" i="3" a="1"/>
  <c r="A4663" i="3" a="1"/>
  <c r="A4662" i="3" a="1"/>
  <c r="A4661" i="3" a="1"/>
  <c r="A4660" i="3" a="1"/>
  <c r="A4659" i="3" a="1"/>
  <c r="A4658" i="3" a="1"/>
  <c r="A4657" i="3" a="1"/>
  <c r="A4656" i="3" a="1"/>
  <c r="A4655" i="3" a="1"/>
  <c r="A4654" i="3" a="1"/>
  <c r="A4653" i="3" a="1"/>
  <c r="A4652" i="3" a="1"/>
  <c r="A4651" i="3" a="1"/>
  <c r="A4650" i="3" a="1"/>
  <c r="A4649" i="3" a="1"/>
  <c r="A4648" i="3" a="1"/>
  <c r="A4647" i="3" a="1"/>
  <c r="A4646" i="3" a="1"/>
  <c r="A4645" i="3" a="1"/>
  <c r="A4644" i="3" a="1"/>
  <c r="A4643" i="3" a="1"/>
  <c r="A4642" i="3" a="1"/>
  <c r="A4641" i="3" a="1"/>
  <c r="A4640" i="3" a="1"/>
  <c r="A4639" i="3" a="1"/>
  <c r="A4638" i="3" a="1"/>
  <c r="A4637" i="3" a="1"/>
  <c r="A4636" i="3" a="1"/>
  <c r="A4635" i="3" a="1"/>
  <c r="A4634" i="3" a="1"/>
  <c r="A4633" i="3" a="1"/>
  <c r="A4632" i="3" a="1"/>
  <c r="A4631" i="3" a="1"/>
  <c r="A4630" i="3" a="1"/>
  <c r="A4629" i="3" a="1"/>
  <c r="A4628" i="3" a="1"/>
  <c r="A4627" i="3" a="1"/>
  <c r="A4626" i="3" a="1"/>
  <c r="A4625" i="3" a="1"/>
  <c r="A4624" i="3" a="1"/>
  <c r="A4623" i="3" a="1"/>
  <c r="A4622" i="3" a="1"/>
  <c r="A4621" i="3" a="1"/>
  <c r="A4620" i="3" a="1"/>
  <c r="A4619" i="3" a="1"/>
  <c r="A4618" i="3" a="1"/>
  <c r="A4617" i="3" a="1"/>
  <c r="A4616" i="3" a="1"/>
  <c r="A4615" i="3" a="1"/>
  <c r="A4614" i="3" a="1"/>
  <c r="A4613" i="3" a="1"/>
  <c r="A4612" i="3" a="1"/>
  <c r="A4611" i="3" a="1"/>
  <c r="A4610" i="3" a="1"/>
  <c r="A4609" i="3" a="1"/>
  <c r="A4608" i="3" a="1"/>
  <c r="A4607" i="3" a="1"/>
  <c r="A4606" i="3" a="1"/>
  <c r="A4605" i="3" a="1"/>
  <c r="A4604" i="3" a="1"/>
  <c r="A4603" i="3" a="1"/>
  <c r="A4602" i="3" a="1"/>
  <c r="A4601" i="3" a="1"/>
  <c r="A4600" i="3" a="1"/>
  <c r="A4599" i="3" a="1"/>
  <c r="A4598" i="3" a="1"/>
  <c r="A4597" i="3" a="1"/>
  <c r="A4596" i="3" a="1"/>
  <c r="A4595" i="3" a="1"/>
  <c r="A4594" i="3" a="1"/>
  <c r="A4593" i="3" a="1"/>
  <c r="A4592" i="3" a="1"/>
  <c r="A4591" i="3" a="1"/>
  <c r="A4590" i="3" a="1"/>
  <c r="A4589" i="3" a="1"/>
  <c r="A4588" i="3" a="1"/>
  <c r="A4587" i="3" a="1"/>
  <c r="A4586" i="3" a="1"/>
  <c r="A4585" i="3" a="1"/>
  <c r="A4584" i="3" a="1"/>
  <c r="A4583" i="3" a="1"/>
  <c r="A4582" i="3" a="1"/>
  <c r="A4581" i="3" a="1"/>
  <c r="A4580" i="3" a="1"/>
  <c r="A4579" i="3" a="1"/>
  <c r="A4578" i="3" a="1"/>
  <c r="A4577" i="3" a="1"/>
  <c r="A4576" i="3" a="1"/>
  <c r="A4575" i="3" a="1"/>
  <c r="A4574" i="3" a="1"/>
  <c r="A4573" i="3" a="1"/>
  <c r="A4572" i="3" a="1"/>
  <c r="A4571" i="3" a="1"/>
  <c r="A4570" i="3" a="1"/>
  <c r="A4569" i="3" a="1"/>
  <c r="A4568" i="3" a="1"/>
  <c r="A4567" i="3" a="1"/>
  <c r="A4566" i="3" a="1"/>
  <c r="A4565" i="3" a="1"/>
  <c r="A4564" i="3" a="1"/>
  <c r="A4563" i="3" a="1"/>
  <c r="A4562" i="3" a="1"/>
  <c r="A4561" i="3" a="1"/>
  <c r="A4560" i="3" a="1"/>
  <c r="A4559" i="3" a="1"/>
  <c r="A4558" i="3" a="1"/>
  <c r="A4557" i="3" a="1"/>
  <c r="A4556" i="3" a="1"/>
  <c r="A4555" i="3" a="1"/>
  <c r="A4554" i="3" a="1"/>
  <c r="A4553" i="3" a="1"/>
  <c r="A4552" i="3" a="1"/>
  <c r="A4551" i="3" a="1"/>
  <c r="A4550" i="3" a="1"/>
  <c r="A4549" i="3" a="1"/>
  <c r="A4548" i="3" a="1"/>
  <c r="A4547" i="3" a="1"/>
  <c r="A4546" i="3" a="1"/>
  <c r="A4545" i="3" a="1"/>
  <c r="A4544" i="3" a="1"/>
  <c r="A4543" i="3" a="1"/>
  <c r="A4542" i="3" a="1"/>
  <c r="A4541" i="3" a="1"/>
  <c r="A4540" i="3" a="1"/>
  <c r="A4539" i="3" a="1"/>
  <c r="A4538" i="3" a="1"/>
  <c r="A4537" i="3" a="1"/>
  <c r="A4536" i="3" a="1"/>
  <c r="A4535" i="3" a="1"/>
  <c r="A4534" i="3" a="1"/>
  <c r="A4533" i="3" a="1"/>
  <c r="A4532" i="3" a="1"/>
  <c r="A4531" i="3" a="1"/>
  <c r="A4530" i="3" a="1"/>
  <c r="A4529" i="3" a="1"/>
  <c r="A4528" i="3" a="1"/>
  <c r="A4527" i="3" a="1"/>
  <c r="A4526" i="3" a="1"/>
  <c r="A4525" i="3" a="1"/>
  <c r="A4524" i="3" a="1"/>
  <c r="A4523" i="3" a="1"/>
  <c r="A4522" i="3" a="1"/>
  <c r="A4521" i="3" a="1"/>
  <c r="A4520" i="3" a="1"/>
  <c r="A4519" i="3" a="1"/>
  <c r="A4518" i="3" a="1"/>
  <c r="A4517" i="3" a="1"/>
  <c r="A4516" i="3" a="1"/>
  <c r="A4515" i="3" a="1"/>
  <c r="A4514" i="3" a="1"/>
  <c r="A4513" i="3" a="1"/>
  <c r="A4512" i="3" a="1"/>
  <c r="A4511" i="3" a="1"/>
  <c r="A4510" i="3" a="1"/>
  <c r="A4509" i="3" a="1"/>
  <c r="A4508" i="3" a="1"/>
  <c r="A4507" i="3" a="1"/>
  <c r="A4506" i="3" a="1"/>
  <c r="A4505" i="3" a="1"/>
  <c r="A4504" i="3" a="1"/>
  <c r="A4503" i="3" a="1"/>
  <c r="A4502" i="3" a="1"/>
  <c r="A4501" i="3" a="1"/>
  <c r="A4500" i="3" a="1"/>
  <c r="A4499" i="3" a="1"/>
  <c r="A4498" i="3" a="1"/>
  <c r="A4497" i="3" a="1"/>
  <c r="A4496" i="3" a="1"/>
  <c r="A4495" i="3" a="1"/>
  <c r="A4494" i="3" a="1"/>
  <c r="A4493" i="3" a="1"/>
  <c r="A4492" i="3" a="1"/>
  <c r="A4491" i="3" a="1"/>
  <c r="A4490" i="3" a="1"/>
  <c r="A4489" i="3" a="1"/>
  <c r="A4488" i="3" a="1"/>
  <c r="A4487" i="3" a="1"/>
  <c r="A4486" i="3" a="1"/>
  <c r="A4485" i="3" a="1"/>
  <c r="A4484" i="3" a="1"/>
  <c r="A4483" i="3" a="1"/>
  <c r="A4482" i="3" a="1"/>
  <c r="A4481" i="3" a="1"/>
  <c r="A4480" i="3" a="1"/>
  <c r="A4479" i="3" a="1"/>
  <c r="A4478" i="3" a="1"/>
  <c r="A4477" i="3" a="1"/>
  <c r="A4476" i="3" a="1"/>
  <c r="A4475" i="3" a="1"/>
  <c r="A4474" i="3" a="1"/>
  <c r="A4473" i="3" a="1"/>
  <c r="A4472" i="3" a="1"/>
  <c r="A4471" i="3" a="1"/>
  <c r="A4470" i="3" a="1"/>
  <c r="A4469" i="3" a="1"/>
  <c r="A4468" i="3" a="1"/>
  <c r="A4467" i="3" a="1"/>
  <c r="A4466" i="3" a="1"/>
  <c r="A4465" i="3" a="1"/>
  <c r="A4464" i="3" a="1"/>
  <c r="A4463" i="3" a="1"/>
  <c r="A4462" i="3" a="1"/>
  <c r="A4461" i="3" a="1"/>
  <c r="A4460" i="3" a="1"/>
  <c r="A4459" i="3" a="1"/>
  <c r="A4458" i="3" a="1"/>
  <c r="A4457" i="3" a="1"/>
  <c r="A4456" i="3" a="1"/>
  <c r="A4455" i="3" a="1"/>
  <c r="A4454" i="3" a="1"/>
  <c r="A4453" i="3" a="1"/>
  <c r="A4452" i="3" a="1"/>
  <c r="A4451" i="3" a="1"/>
  <c r="A4450" i="3" a="1"/>
  <c r="A4449" i="3" a="1"/>
  <c r="A4448" i="3" a="1"/>
  <c r="A4447" i="3" a="1"/>
  <c r="A4446" i="3" a="1"/>
  <c r="A4445" i="3" a="1"/>
  <c r="A4444" i="3" a="1"/>
  <c r="A4443" i="3" a="1"/>
  <c r="A4442" i="3" a="1"/>
  <c r="A4441" i="3" a="1"/>
  <c r="A4440" i="3" a="1"/>
  <c r="A4439" i="3" a="1"/>
  <c r="A4438" i="3" a="1"/>
  <c r="A4437" i="3" a="1"/>
  <c r="A4436" i="3" a="1"/>
  <c r="A4435" i="3" a="1"/>
  <c r="A4434" i="3" a="1"/>
  <c r="A4433" i="3" a="1"/>
  <c r="A4432" i="3" a="1"/>
  <c r="A4431" i="3" a="1"/>
  <c r="A4430" i="3" a="1"/>
  <c r="A4429" i="3" a="1"/>
  <c r="A4428" i="3" a="1"/>
  <c r="A4427" i="3" a="1"/>
  <c r="A4426" i="3" a="1"/>
  <c r="A4425" i="3" a="1"/>
  <c r="A4424" i="3" a="1"/>
  <c r="A4423" i="3" a="1"/>
  <c r="A4422" i="3" a="1"/>
  <c r="A4421" i="3" a="1"/>
  <c r="A4420" i="3" a="1"/>
  <c r="A4419" i="3" a="1"/>
  <c r="A4418" i="3" a="1"/>
  <c r="A4417" i="3" a="1"/>
  <c r="A4416" i="3" a="1"/>
  <c r="A4415" i="3" a="1"/>
  <c r="A4414" i="3" a="1"/>
  <c r="A4413" i="3" a="1"/>
  <c r="A4412" i="3" a="1"/>
  <c r="A4411" i="3" a="1"/>
  <c r="A4410" i="3" a="1"/>
  <c r="A4409" i="3" a="1"/>
  <c r="A4408" i="3" a="1"/>
  <c r="A4407" i="3" a="1"/>
  <c r="A4406" i="3" a="1"/>
  <c r="A4405" i="3" a="1"/>
  <c r="A4404" i="3" a="1"/>
  <c r="A4403" i="3" a="1"/>
  <c r="A4402" i="3" a="1"/>
  <c r="A4401" i="3" a="1"/>
  <c r="A4400" i="3" a="1"/>
  <c r="A4399" i="3" a="1"/>
  <c r="A4398" i="3" a="1"/>
  <c r="A4397" i="3" a="1"/>
  <c r="A4396" i="3" a="1"/>
  <c r="A4395" i="3" a="1"/>
  <c r="A4394" i="3" a="1"/>
  <c r="A4393" i="3" a="1"/>
  <c r="A4392" i="3" a="1"/>
  <c r="A4391" i="3" a="1"/>
  <c r="A4390" i="3" a="1"/>
  <c r="A4389" i="3" a="1"/>
  <c r="A4388" i="3" a="1"/>
  <c r="A4387" i="3" a="1"/>
  <c r="A4386" i="3" a="1"/>
  <c r="A4385" i="3" a="1"/>
  <c r="A4384" i="3" a="1"/>
  <c r="A4383" i="3" a="1"/>
  <c r="A4382" i="3" a="1"/>
  <c r="A4381" i="3" a="1"/>
  <c r="A4380" i="3" a="1"/>
  <c r="A4379" i="3" a="1"/>
  <c r="A4378" i="3" a="1"/>
  <c r="A4377" i="3" a="1"/>
  <c r="A4376" i="3" a="1"/>
  <c r="A4375" i="3" a="1"/>
  <c r="A4374" i="3" a="1"/>
  <c r="A4373" i="3" a="1"/>
  <c r="A4372" i="3" a="1"/>
  <c r="A4371" i="3" a="1"/>
  <c r="A4370" i="3" a="1"/>
  <c r="A4369" i="3" a="1"/>
  <c r="A4368" i="3" a="1"/>
  <c r="A4367" i="3" a="1"/>
  <c r="A4366" i="3" a="1"/>
  <c r="A4365" i="3" a="1"/>
  <c r="A4364" i="3" a="1"/>
  <c r="A4363" i="3" a="1"/>
  <c r="A4362" i="3" a="1"/>
  <c r="A4361" i="3" a="1"/>
  <c r="A4360" i="3" a="1"/>
  <c r="A4359" i="3" a="1"/>
  <c r="A4358" i="3" a="1"/>
  <c r="A4357" i="3" a="1"/>
  <c r="A4356" i="3" a="1"/>
  <c r="A4355" i="3" a="1"/>
  <c r="A4354" i="3" a="1"/>
  <c r="A4353" i="3" a="1"/>
  <c r="A4352" i="3" a="1"/>
  <c r="A4351" i="3" a="1"/>
  <c r="A4350" i="3" a="1"/>
  <c r="A4349" i="3" a="1"/>
  <c r="A4348" i="3" a="1"/>
  <c r="A4347" i="3" a="1"/>
  <c r="A4346" i="3" a="1"/>
  <c r="A4345" i="3" a="1"/>
  <c r="A4344" i="3" a="1"/>
  <c r="A4343" i="3" a="1"/>
  <c r="A4342" i="3" a="1"/>
  <c r="A4341" i="3" a="1"/>
  <c r="A4340" i="3" a="1"/>
  <c r="A4339" i="3" a="1"/>
  <c r="A4338" i="3" a="1"/>
  <c r="A4337" i="3" a="1"/>
  <c r="A4336" i="3" a="1"/>
  <c r="A4335" i="3" a="1"/>
  <c r="A4334" i="3" a="1"/>
  <c r="A4333" i="3" a="1"/>
  <c r="A4332" i="3" a="1"/>
  <c r="A4331" i="3" a="1"/>
  <c r="A4330" i="3" a="1"/>
  <c r="A4329" i="3" a="1"/>
  <c r="A4328" i="3" a="1"/>
  <c r="A4327" i="3" a="1"/>
  <c r="A4326" i="3" a="1"/>
  <c r="A4325" i="3" a="1"/>
  <c r="A4324" i="3" a="1"/>
  <c r="A4323" i="3" a="1"/>
  <c r="A4322" i="3" a="1"/>
  <c r="A4321" i="3" a="1"/>
  <c r="A4320" i="3" a="1"/>
  <c r="A4319" i="3" a="1"/>
  <c r="A4318" i="3" a="1"/>
  <c r="A4317" i="3" a="1"/>
  <c r="A4316" i="3" a="1"/>
  <c r="A4315" i="3" a="1"/>
  <c r="A4314" i="3" a="1"/>
  <c r="A4313" i="3" a="1"/>
  <c r="A4312" i="3" a="1"/>
  <c r="A4311" i="3" a="1"/>
  <c r="A4310" i="3" a="1"/>
  <c r="A4309" i="3" a="1"/>
  <c r="A4308" i="3" a="1"/>
  <c r="A4307" i="3" a="1"/>
  <c r="A4306" i="3" a="1"/>
  <c r="A4305" i="3" a="1"/>
  <c r="A4304" i="3" a="1"/>
  <c r="A4303" i="3" a="1"/>
  <c r="A4302" i="3" a="1"/>
  <c r="A4301" i="3" a="1"/>
  <c r="A4300" i="3" a="1"/>
  <c r="A4299" i="3" a="1"/>
  <c r="A4298" i="3" a="1"/>
  <c r="A4297" i="3" a="1"/>
  <c r="A4296" i="3" a="1"/>
  <c r="A4295" i="3" a="1"/>
  <c r="A4294" i="3" a="1"/>
  <c r="A4293" i="3" a="1"/>
  <c r="A4292" i="3" a="1"/>
  <c r="A4291" i="3" a="1"/>
  <c r="A4290" i="3" a="1"/>
  <c r="A4289" i="3" a="1"/>
  <c r="A4288" i="3" a="1"/>
  <c r="A4287" i="3" a="1"/>
  <c r="A4286" i="3" a="1"/>
  <c r="A4285" i="3" a="1"/>
  <c r="A4284" i="3" a="1"/>
  <c r="A4283" i="3" a="1"/>
  <c r="A4282" i="3" a="1"/>
  <c r="A4281" i="3" a="1"/>
  <c r="A4280" i="3" a="1"/>
  <c r="A4279" i="3" a="1"/>
  <c r="A4278" i="3" a="1"/>
  <c r="A4277" i="3" a="1"/>
  <c r="A4276" i="3" a="1"/>
  <c r="A4275" i="3" a="1"/>
  <c r="A4274" i="3" a="1"/>
  <c r="A4273" i="3" a="1"/>
  <c r="A4272" i="3" a="1"/>
  <c r="A4271" i="3" a="1"/>
  <c r="A4270" i="3" a="1"/>
  <c r="A4269" i="3" a="1"/>
  <c r="A4268" i="3" a="1"/>
  <c r="A4267" i="3" a="1"/>
  <c r="A4266" i="3" a="1"/>
  <c r="A4265" i="3" a="1"/>
  <c r="A4264" i="3" a="1"/>
  <c r="A4263" i="3" a="1"/>
  <c r="A4262" i="3" a="1"/>
  <c r="A4261" i="3" a="1"/>
  <c r="A4260" i="3" a="1"/>
  <c r="A4259" i="3" a="1"/>
  <c r="A4258" i="3" a="1"/>
  <c r="A4257" i="3" a="1"/>
  <c r="A4256" i="3" a="1"/>
  <c r="A4255" i="3" a="1"/>
  <c r="A4254" i="3" a="1"/>
  <c r="A4253" i="3" a="1"/>
  <c r="A4252" i="3" a="1"/>
  <c r="A4251" i="3" a="1"/>
  <c r="A4250" i="3" a="1"/>
  <c r="A4249" i="3" a="1"/>
  <c r="A4248" i="3" a="1"/>
  <c r="A4247" i="3" a="1"/>
  <c r="A4246" i="3" a="1"/>
  <c r="A4245" i="3" a="1"/>
  <c r="A4244" i="3" a="1"/>
  <c r="A4243" i="3" a="1"/>
  <c r="A4242" i="3" a="1"/>
  <c r="A4241" i="3" a="1"/>
  <c r="A4240" i="3" a="1"/>
  <c r="A4239" i="3" a="1"/>
  <c r="A4238" i="3" a="1"/>
  <c r="A4237" i="3" a="1"/>
  <c r="A4236" i="3" a="1"/>
  <c r="A4235" i="3" a="1"/>
  <c r="A4234" i="3" a="1"/>
  <c r="A4233" i="3" a="1"/>
  <c r="A4232" i="3" a="1"/>
  <c r="A4231" i="3" a="1"/>
  <c r="A4230" i="3" a="1"/>
  <c r="A4229" i="3" a="1"/>
  <c r="A4228" i="3" a="1"/>
  <c r="A4227" i="3" a="1"/>
  <c r="A4226" i="3" a="1"/>
  <c r="A4225" i="3" a="1"/>
  <c r="A4224" i="3" a="1"/>
  <c r="A4223" i="3" a="1"/>
  <c r="A4222" i="3" a="1"/>
  <c r="A4221" i="3" a="1"/>
  <c r="A4220" i="3" a="1"/>
  <c r="A4219" i="3" a="1"/>
  <c r="A4218" i="3" a="1"/>
  <c r="A4217" i="3" a="1"/>
  <c r="A4216" i="3" a="1"/>
  <c r="A4215" i="3" a="1"/>
  <c r="A4214" i="3" a="1"/>
  <c r="A4213" i="3" a="1"/>
  <c r="A4212" i="3" a="1"/>
  <c r="A4211" i="3" a="1"/>
  <c r="A4210" i="3" a="1"/>
  <c r="A4209" i="3" a="1"/>
  <c r="A4208" i="3" a="1"/>
  <c r="A4207" i="3" a="1"/>
  <c r="A4206" i="3" a="1"/>
  <c r="A4205" i="3" a="1"/>
  <c r="A4204" i="3" a="1"/>
  <c r="A4203" i="3" a="1"/>
  <c r="A4202" i="3" a="1"/>
  <c r="A4201" i="3" a="1"/>
  <c r="A4200" i="3" a="1"/>
  <c r="A4199" i="3" a="1"/>
  <c r="A4198" i="3" a="1"/>
  <c r="A4197" i="3" a="1"/>
  <c r="A4196" i="3" a="1"/>
  <c r="A4195" i="3" a="1"/>
  <c r="A4194" i="3" a="1"/>
  <c r="A4193" i="3" a="1"/>
  <c r="A4192" i="3" a="1"/>
  <c r="A4191" i="3" a="1"/>
  <c r="A4190" i="3" a="1"/>
  <c r="A4189" i="3" a="1"/>
  <c r="A4188" i="3" a="1"/>
  <c r="A4187" i="3" a="1"/>
  <c r="A4186" i="3" a="1"/>
  <c r="A4185" i="3" a="1"/>
  <c r="A4184" i="3" a="1"/>
  <c r="A4183" i="3" a="1"/>
  <c r="A4182" i="3" a="1"/>
  <c r="A4181" i="3" a="1"/>
  <c r="A4180" i="3" a="1"/>
  <c r="A4179" i="3" a="1"/>
  <c r="A4178" i="3" a="1"/>
  <c r="A4177" i="3" a="1"/>
  <c r="A4176" i="3" a="1"/>
  <c r="A4175" i="3" a="1"/>
  <c r="A4174" i="3" a="1"/>
  <c r="A4173" i="3" a="1"/>
  <c r="A4172" i="3" a="1"/>
  <c r="A4171" i="3" a="1"/>
  <c r="A4170" i="3" a="1"/>
  <c r="A4169" i="3" a="1"/>
  <c r="A4168" i="3" a="1"/>
  <c r="A4167" i="3" a="1"/>
  <c r="A4166" i="3" a="1"/>
  <c r="A4165" i="3" a="1"/>
  <c r="A4164" i="3" a="1"/>
  <c r="A4163" i="3" a="1"/>
  <c r="A4162" i="3" a="1"/>
  <c r="A4161" i="3" a="1"/>
  <c r="A4160" i="3" a="1"/>
  <c r="A4159" i="3" a="1"/>
  <c r="A4158" i="3" a="1"/>
  <c r="A4157" i="3" a="1"/>
  <c r="A4156" i="3" a="1"/>
  <c r="A4155" i="3" a="1"/>
  <c r="A4154" i="3" a="1"/>
  <c r="A4153" i="3" a="1"/>
  <c r="A4152" i="3" a="1"/>
  <c r="A4151" i="3" a="1"/>
  <c r="A4150" i="3" a="1"/>
  <c r="A4149" i="3" a="1"/>
  <c r="A4148" i="3" a="1"/>
  <c r="A4147" i="3" a="1"/>
  <c r="A4146" i="3" a="1"/>
  <c r="A4145" i="3" a="1"/>
  <c r="A4144" i="3" a="1"/>
  <c r="A4143" i="3" a="1"/>
  <c r="A4142" i="3" a="1"/>
  <c r="A4141" i="3" a="1"/>
  <c r="A4140" i="3" a="1"/>
  <c r="A4139" i="3" a="1"/>
  <c r="A4138" i="3" a="1"/>
  <c r="A4137" i="3" a="1"/>
  <c r="A4136" i="3" a="1"/>
  <c r="A4135" i="3" a="1"/>
  <c r="A4134" i="3" a="1"/>
  <c r="A4133" i="3" a="1"/>
  <c r="A4132" i="3" a="1"/>
  <c r="A4131" i="3" a="1"/>
  <c r="A4130" i="3" a="1"/>
  <c r="A4129" i="3" a="1"/>
  <c r="A4128" i="3" a="1"/>
  <c r="A4127" i="3" a="1"/>
  <c r="A4126" i="3" a="1"/>
  <c r="A4125" i="3" a="1"/>
  <c r="A4124" i="3" a="1"/>
  <c r="A4123" i="3" a="1"/>
  <c r="A4122" i="3" a="1"/>
  <c r="A4121" i="3" a="1"/>
  <c r="A4120" i="3" a="1"/>
  <c r="A4119" i="3" a="1"/>
  <c r="A4118" i="3" a="1"/>
  <c r="A4117" i="3" a="1"/>
  <c r="A4116" i="3" a="1"/>
  <c r="A4115" i="3" a="1"/>
  <c r="A4114" i="3" a="1"/>
  <c r="A4113" i="3" a="1"/>
  <c r="A4112" i="3" a="1"/>
  <c r="A4111" i="3" a="1"/>
  <c r="A4110" i="3" a="1"/>
  <c r="A4109" i="3" a="1"/>
  <c r="A4108" i="3" a="1"/>
  <c r="A4107" i="3" a="1"/>
  <c r="A4106" i="3" a="1"/>
  <c r="A4105" i="3" a="1"/>
  <c r="A4104" i="3" a="1"/>
  <c r="A4103" i="3" a="1"/>
  <c r="A4102" i="3" a="1"/>
  <c r="A4101" i="3" a="1"/>
  <c r="A4100" i="3" a="1"/>
  <c r="A4099" i="3" a="1"/>
  <c r="A4098" i="3" a="1"/>
  <c r="A4097" i="3" a="1"/>
  <c r="A4096" i="3" a="1"/>
  <c r="A4095" i="3" a="1"/>
  <c r="A4094" i="3" a="1"/>
  <c r="A4093" i="3" a="1"/>
  <c r="A4092" i="3" a="1"/>
  <c r="A4091" i="3" a="1"/>
  <c r="A4090" i="3" a="1"/>
  <c r="A4089" i="3" a="1"/>
  <c r="A4088" i="3" a="1"/>
  <c r="A4087" i="3" a="1"/>
  <c r="A4086" i="3" a="1"/>
  <c r="A4085" i="3" a="1"/>
  <c r="A4084" i="3" a="1"/>
  <c r="A4083" i="3" a="1"/>
  <c r="A4082" i="3" a="1"/>
  <c r="A4081" i="3" a="1"/>
  <c r="A4080" i="3" a="1"/>
  <c r="A4079" i="3" a="1"/>
  <c r="A4078" i="3" a="1"/>
  <c r="A4077" i="3" a="1"/>
  <c r="A4076" i="3" a="1"/>
  <c r="A4075" i="3" a="1"/>
  <c r="A4074" i="3" a="1"/>
  <c r="A4073" i="3" a="1"/>
  <c r="A4072" i="3" a="1"/>
  <c r="A4071" i="3" a="1"/>
  <c r="A4070" i="3" a="1"/>
  <c r="A4069" i="3" a="1"/>
  <c r="A4068" i="3" a="1"/>
  <c r="A4067" i="3" a="1"/>
  <c r="A4066" i="3" a="1"/>
  <c r="A4065" i="3" a="1"/>
  <c r="A4064" i="3" a="1"/>
  <c r="A4063" i="3" a="1"/>
  <c r="A4062" i="3" a="1"/>
  <c r="A4061" i="3" a="1"/>
  <c r="A4060" i="3" a="1"/>
  <c r="A4059" i="3" a="1"/>
  <c r="A4058" i="3" a="1"/>
  <c r="A4057" i="3" a="1"/>
  <c r="A4056" i="3" a="1"/>
  <c r="A4055" i="3" a="1"/>
  <c r="A4054" i="3" a="1"/>
  <c r="A4053" i="3" a="1"/>
  <c r="A4052" i="3" a="1"/>
  <c r="A4051" i="3" a="1"/>
  <c r="A4050" i="3" a="1"/>
  <c r="A4049" i="3" a="1"/>
  <c r="A4048" i="3" a="1"/>
  <c r="A4047" i="3" a="1"/>
  <c r="A4046" i="3" a="1"/>
  <c r="A4045" i="3" a="1"/>
  <c r="A4044" i="3" a="1"/>
  <c r="A4043" i="3" a="1"/>
  <c r="A4042" i="3" a="1"/>
  <c r="A4041" i="3" a="1"/>
  <c r="A4040" i="3" a="1"/>
  <c r="A4039" i="3" a="1"/>
  <c r="A4038" i="3" a="1"/>
  <c r="A4037" i="3" a="1"/>
  <c r="A4036" i="3" a="1"/>
  <c r="A4035" i="3" a="1"/>
  <c r="A4034" i="3" a="1"/>
  <c r="A4033" i="3" a="1"/>
  <c r="A4032" i="3" a="1"/>
  <c r="A4031" i="3" a="1"/>
  <c r="A4030" i="3" a="1"/>
  <c r="A4029" i="3" a="1"/>
  <c r="A4028" i="3" a="1"/>
  <c r="A4027" i="3" a="1"/>
  <c r="A4026" i="3" a="1"/>
  <c r="A4025" i="3" a="1"/>
  <c r="A4024" i="3" a="1"/>
  <c r="A4023" i="3" a="1"/>
  <c r="A4022" i="3" a="1"/>
  <c r="A4021" i="3" a="1"/>
  <c r="A4020" i="3" a="1"/>
  <c r="A4019" i="3" a="1"/>
  <c r="A4018" i="3" a="1"/>
  <c r="A4017" i="3" a="1"/>
  <c r="A4016" i="3" a="1"/>
  <c r="A4015" i="3" a="1"/>
  <c r="A4014" i="3" a="1"/>
  <c r="A4013" i="3" a="1"/>
  <c r="A4012" i="3" a="1"/>
  <c r="A4011" i="3" a="1"/>
  <c r="A4010" i="3" a="1"/>
  <c r="A4009" i="3" a="1"/>
  <c r="A4008" i="3" a="1"/>
  <c r="A4007" i="3" a="1"/>
  <c r="A4006" i="3" a="1"/>
  <c r="A4005" i="3" a="1"/>
  <c r="A4004" i="3" a="1"/>
  <c r="A4003" i="3" a="1"/>
  <c r="A4002" i="3" a="1"/>
  <c r="A4001" i="3" a="1"/>
  <c r="A4000" i="3" a="1"/>
  <c r="A3999" i="3" a="1"/>
  <c r="A3998" i="3" a="1"/>
  <c r="A3997" i="3" a="1"/>
  <c r="A3996" i="3" a="1"/>
  <c r="A3995" i="3" a="1"/>
  <c r="A3994" i="3" a="1"/>
  <c r="A3993" i="3" a="1"/>
  <c r="A3992" i="3" a="1"/>
  <c r="A3991" i="3" a="1"/>
  <c r="A3990" i="3" a="1"/>
  <c r="A3989" i="3" a="1"/>
  <c r="A3988" i="3" a="1"/>
  <c r="A3987" i="3" a="1"/>
  <c r="A3986" i="3" a="1"/>
  <c r="A3985" i="3" a="1"/>
  <c r="A3984" i="3" a="1"/>
  <c r="A3983" i="3" a="1"/>
  <c r="A3982" i="3" a="1"/>
  <c r="A3981" i="3" a="1"/>
  <c r="A3980" i="3" a="1"/>
  <c r="A3979" i="3" a="1"/>
  <c r="A3978" i="3" a="1"/>
  <c r="A3977" i="3" a="1"/>
  <c r="A3976" i="3" a="1"/>
  <c r="A3975" i="3" a="1"/>
  <c r="A3974" i="3" a="1"/>
  <c r="A3973" i="3" a="1"/>
  <c r="A3972" i="3" a="1"/>
  <c r="A3971" i="3" a="1"/>
  <c r="A3970" i="3" a="1"/>
  <c r="A3969" i="3" a="1"/>
  <c r="A3968" i="3" a="1"/>
  <c r="A3967" i="3" a="1"/>
  <c r="A3966" i="3" a="1"/>
  <c r="A3965" i="3" a="1"/>
  <c r="A3964" i="3" a="1"/>
  <c r="A3963" i="3" a="1"/>
  <c r="A3962" i="3" a="1"/>
  <c r="A3961" i="3" a="1"/>
  <c r="A3960" i="3" a="1"/>
  <c r="A3959" i="3" a="1"/>
  <c r="A3958" i="3" a="1"/>
  <c r="A3957" i="3" a="1"/>
  <c r="A3956" i="3" a="1"/>
  <c r="A3955" i="3" a="1"/>
  <c r="A3954" i="3" a="1"/>
  <c r="A3953" i="3" a="1"/>
  <c r="A3952" i="3" a="1"/>
  <c r="A3951" i="3" a="1"/>
  <c r="A3950" i="3" a="1"/>
  <c r="A3949" i="3" a="1"/>
  <c r="A3948" i="3" a="1"/>
  <c r="A3947" i="3" a="1"/>
  <c r="A3946" i="3" a="1"/>
  <c r="A3945" i="3" a="1"/>
  <c r="A3944" i="3" a="1"/>
  <c r="A3943" i="3" a="1"/>
  <c r="A3942" i="3" a="1"/>
  <c r="A3941" i="3" a="1"/>
  <c r="A3940" i="3" a="1"/>
  <c r="A3939" i="3" a="1"/>
  <c r="A3938" i="3" a="1"/>
  <c r="A3937" i="3" a="1"/>
  <c r="A3936" i="3" a="1"/>
  <c r="A3935" i="3" a="1"/>
  <c r="A3934" i="3" a="1"/>
  <c r="A3933" i="3" a="1"/>
  <c r="A3932" i="3" a="1"/>
  <c r="A3931" i="3" a="1"/>
  <c r="A3930" i="3" a="1"/>
  <c r="A3929" i="3" a="1"/>
  <c r="A3928" i="3" a="1"/>
  <c r="A3927" i="3" a="1"/>
  <c r="A3926" i="3" a="1"/>
  <c r="A3925" i="3" a="1"/>
  <c r="A3924" i="3" a="1"/>
  <c r="A3923" i="3" a="1"/>
  <c r="A3922" i="3" a="1"/>
  <c r="A3921" i="3" a="1"/>
  <c r="A3920" i="3" a="1"/>
  <c r="A3919" i="3" a="1"/>
  <c r="A3918" i="3" a="1"/>
  <c r="A3917" i="3" a="1"/>
  <c r="A3916" i="3" a="1"/>
  <c r="A3915" i="3" a="1"/>
  <c r="A3914" i="3" a="1"/>
  <c r="A3913" i="3" a="1"/>
  <c r="A3912" i="3" a="1"/>
  <c r="A3911" i="3" a="1"/>
  <c r="A3910" i="3" a="1"/>
  <c r="A3909" i="3" a="1"/>
  <c r="A3908" i="3" a="1"/>
  <c r="A3907" i="3" a="1"/>
  <c r="A3906" i="3" a="1"/>
  <c r="A3905" i="3" a="1"/>
  <c r="A3904" i="3" a="1"/>
  <c r="A3903" i="3" a="1"/>
  <c r="A3902" i="3" a="1"/>
  <c r="A3901" i="3" a="1"/>
  <c r="A3900" i="3" a="1"/>
  <c r="A3899" i="3" a="1"/>
  <c r="A3898" i="3" a="1"/>
  <c r="A3897" i="3" a="1"/>
  <c r="A3896" i="3" a="1"/>
  <c r="A3895" i="3" a="1"/>
  <c r="A3894" i="3" a="1"/>
  <c r="A3893" i="3" a="1"/>
  <c r="A3892" i="3" a="1"/>
  <c r="A3891" i="3" a="1"/>
  <c r="A3890" i="3" a="1"/>
  <c r="A3889" i="3" a="1"/>
  <c r="A3888" i="3" a="1"/>
  <c r="A3887" i="3" a="1"/>
  <c r="A3886" i="3" a="1"/>
  <c r="A3885" i="3" a="1"/>
  <c r="A3884" i="3" a="1"/>
  <c r="A3883" i="3" a="1"/>
  <c r="A3882" i="3" a="1"/>
  <c r="A3881" i="3" a="1"/>
  <c r="A3880" i="3" a="1"/>
  <c r="A3879" i="3" a="1"/>
  <c r="A3878" i="3" a="1"/>
  <c r="A3877" i="3" a="1"/>
  <c r="A3876" i="3" a="1"/>
  <c r="A3875" i="3" a="1"/>
  <c r="A3874" i="3" a="1"/>
  <c r="A3873" i="3" a="1"/>
  <c r="A3872" i="3" a="1"/>
  <c r="A3871" i="3" a="1"/>
  <c r="A3870" i="3" a="1"/>
  <c r="A3869" i="3" a="1"/>
  <c r="A3868" i="3" a="1"/>
  <c r="A3867" i="3" a="1"/>
  <c r="A3866" i="3" a="1"/>
  <c r="A3865" i="3" a="1"/>
  <c r="A3864" i="3" a="1"/>
  <c r="A3863" i="3" a="1"/>
  <c r="A3862" i="3" a="1"/>
  <c r="A3861" i="3" a="1"/>
  <c r="A3860" i="3" a="1"/>
  <c r="A3859" i="3" a="1"/>
  <c r="A3858" i="3" a="1"/>
  <c r="A3857" i="3" a="1"/>
  <c r="A3856" i="3" a="1"/>
  <c r="A3855" i="3" a="1"/>
  <c r="A3854" i="3" a="1"/>
  <c r="A3853" i="3" a="1"/>
  <c r="A3852" i="3" a="1"/>
  <c r="A3851" i="3" a="1"/>
  <c r="A3850" i="3" a="1"/>
  <c r="A3849" i="3" a="1"/>
  <c r="A3848" i="3" a="1"/>
  <c r="A3847" i="3" a="1"/>
  <c r="A3846" i="3" a="1"/>
  <c r="A3845" i="3" a="1"/>
  <c r="A3844" i="3" a="1"/>
  <c r="A3843" i="3" a="1"/>
  <c r="A3842" i="3" a="1"/>
  <c r="A3841" i="3" a="1"/>
  <c r="A3840" i="3" a="1"/>
  <c r="A3839" i="3" a="1"/>
  <c r="A3838" i="3" a="1"/>
  <c r="A3837" i="3" a="1"/>
  <c r="A3836" i="3" a="1"/>
  <c r="A3835" i="3" a="1"/>
  <c r="A3834" i="3" a="1"/>
  <c r="A3833" i="3" a="1"/>
  <c r="A3832" i="3" a="1"/>
  <c r="A3831" i="3" a="1"/>
  <c r="A3830" i="3" a="1"/>
  <c r="A3829" i="3" a="1"/>
  <c r="A3828" i="3" a="1"/>
  <c r="A3827" i="3" a="1"/>
  <c r="A3826" i="3" a="1"/>
  <c r="A3825" i="3" a="1"/>
  <c r="A3824" i="3" a="1"/>
  <c r="A3823" i="3" a="1"/>
  <c r="A3822" i="3" a="1"/>
  <c r="A3821" i="3" a="1"/>
  <c r="A3820" i="3" a="1"/>
  <c r="A3819" i="3" a="1"/>
  <c r="A3818" i="3" a="1"/>
  <c r="A3817" i="3" a="1"/>
  <c r="A3816" i="3" a="1"/>
  <c r="A3815" i="3" a="1"/>
  <c r="A3814" i="3" a="1"/>
  <c r="A3813" i="3" a="1"/>
  <c r="A3812" i="3" a="1"/>
  <c r="A3811" i="3" a="1"/>
  <c r="A3810" i="3" a="1"/>
  <c r="A3809" i="3" a="1"/>
  <c r="A3808" i="3" a="1"/>
  <c r="A3807" i="3" a="1"/>
  <c r="A3806" i="3" a="1"/>
  <c r="A3805" i="3" a="1"/>
  <c r="A3804" i="3" a="1"/>
  <c r="A3803" i="3" a="1"/>
  <c r="A3802" i="3" a="1"/>
  <c r="A3801" i="3" a="1"/>
  <c r="A3800" i="3" a="1"/>
  <c r="A3799" i="3" a="1"/>
  <c r="A3798" i="3" a="1"/>
  <c r="A3797" i="3" a="1"/>
  <c r="A3796" i="3" a="1"/>
  <c r="A3795" i="3" a="1"/>
  <c r="A3794" i="3" a="1"/>
  <c r="A3793" i="3" a="1"/>
  <c r="A3792" i="3" a="1"/>
  <c r="A3791" i="3" a="1"/>
  <c r="A3790" i="3" a="1"/>
  <c r="A3789" i="3" a="1"/>
  <c r="A3788" i="3" a="1"/>
  <c r="A3787" i="3" a="1"/>
  <c r="A3786" i="3" a="1"/>
  <c r="A3785" i="3" a="1"/>
  <c r="A3784" i="3" a="1"/>
  <c r="A3783" i="3" a="1"/>
  <c r="A3782" i="3" a="1"/>
  <c r="A3781" i="3" a="1"/>
  <c r="A3780" i="3" a="1"/>
  <c r="A3779" i="3" a="1"/>
  <c r="A3778" i="3" a="1"/>
  <c r="A3777" i="3" a="1"/>
  <c r="A3776" i="3" a="1"/>
  <c r="A3775" i="3" a="1"/>
  <c r="A3774" i="3" a="1"/>
  <c r="A3773" i="3" a="1"/>
  <c r="A3772" i="3" a="1"/>
  <c r="A3771" i="3" a="1"/>
  <c r="A3770" i="3" a="1"/>
  <c r="A3769" i="3" a="1"/>
  <c r="A3768" i="3" a="1"/>
  <c r="A3767" i="3" a="1"/>
  <c r="A3766" i="3" a="1"/>
  <c r="A3765" i="3" a="1"/>
  <c r="A3764" i="3" a="1"/>
  <c r="A3763" i="3" a="1"/>
  <c r="A3762" i="3" a="1"/>
  <c r="A3761" i="3" a="1"/>
  <c r="A3760" i="3" a="1"/>
  <c r="A3759" i="3" a="1"/>
  <c r="A3758" i="3" a="1"/>
  <c r="A3757" i="3" a="1"/>
  <c r="A3756" i="3" a="1"/>
  <c r="A3755" i="3" a="1"/>
  <c r="A3754" i="3" a="1"/>
  <c r="A3753" i="3" a="1"/>
  <c r="A3752" i="3" a="1"/>
  <c r="A3751" i="3" a="1"/>
  <c r="A3750" i="3" a="1"/>
  <c r="A3749" i="3" a="1"/>
  <c r="A3748" i="3" a="1"/>
  <c r="A3747" i="3" a="1"/>
  <c r="A3746" i="3" a="1"/>
  <c r="A3745" i="3" a="1"/>
  <c r="A3744" i="3" a="1"/>
  <c r="A3743" i="3" a="1"/>
  <c r="A3742" i="3" a="1"/>
  <c r="A3741" i="3" a="1"/>
  <c r="A3740" i="3" a="1"/>
  <c r="A3739" i="3" a="1"/>
  <c r="A3738" i="3" a="1"/>
  <c r="A3737" i="3" a="1"/>
  <c r="A3736" i="3" a="1"/>
  <c r="A3735" i="3" a="1"/>
  <c r="A3734" i="3" a="1"/>
  <c r="A3733" i="3" a="1"/>
  <c r="A3732" i="3" a="1"/>
  <c r="A3731" i="3" a="1"/>
  <c r="A3730" i="3" a="1"/>
  <c r="A3729" i="3" a="1"/>
  <c r="A3728" i="3" a="1"/>
  <c r="A3727" i="3" a="1"/>
  <c r="A3726" i="3" a="1"/>
  <c r="A3725" i="3" a="1"/>
  <c r="A3724" i="3" a="1"/>
  <c r="A3723" i="3" a="1"/>
  <c r="A3722" i="3" a="1"/>
  <c r="A3721" i="3" a="1"/>
  <c r="A3720" i="3" a="1"/>
  <c r="A3719" i="3" a="1"/>
  <c r="A3718" i="3" a="1"/>
  <c r="A3717" i="3" a="1"/>
  <c r="A3716" i="3" a="1"/>
  <c r="A3715" i="3" a="1"/>
  <c r="A3714" i="3" a="1"/>
  <c r="A3713" i="3" a="1"/>
  <c r="A3712" i="3" a="1"/>
  <c r="A3711" i="3" a="1"/>
  <c r="A3710" i="3" a="1"/>
  <c r="A3709" i="3" a="1"/>
  <c r="A3708" i="3" a="1"/>
  <c r="A3707" i="3" a="1"/>
  <c r="A3706" i="3" a="1"/>
  <c r="A3705" i="3" a="1"/>
  <c r="A3704" i="3" a="1"/>
  <c r="A3703" i="3" a="1"/>
  <c r="A3702" i="3" a="1"/>
  <c r="A3701" i="3" a="1"/>
  <c r="A3700" i="3" a="1"/>
  <c r="A3699" i="3" a="1"/>
  <c r="A3698" i="3" a="1"/>
  <c r="A3697" i="3" a="1"/>
  <c r="A3696" i="3" a="1"/>
  <c r="A3695" i="3" a="1"/>
  <c r="A3694" i="3" a="1"/>
  <c r="A3693" i="3" a="1"/>
  <c r="A3692" i="3" a="1"/>
  <c r="A3691" i="3" a="1"/>
  <c r="A3690" i="3" a="1"/>
  <c r="A3689" i="3" a="1"/>
  <c r="A3688" i="3" a="1"/>
  <c r="A3687" i="3" a="1"/>
  <c r="A3686" i="3" a="1"/>
  <c r="A3685" i="3" a="1"/>
  <c r="A3684" i="3" a="1"/>
  <c r="A3683" i="3" a="1"/>
  <c r="A3682" i="3" a="1"/>
  <c r="A3681" i="3" a="1"/>
  <c r="A3680" i="3" a="1"/>
  <c r="A3679" i="3" a="1"/>
  <c r="A3678" i="3" a="1"/>
  <c r="A3677" i="3" a="1"/>
  <c r="A3676" i="3" a="1"/>
  <c r="A3675" i="3" a="1"/>
  <c r="A3674" i="3" a="1"/>
  <c r="A3673" i="3" a="1"/>
  <c r="A3672" i="3" a="1"/>
  <c r="A3671" i="3" a="1"/>
  <c r="A3670" i="3" a="1"/>
  <c r="A3669" i="3" a="1"/>
  <c r="A3668" i="3" a="1"/>
  <c r="A3667" i="3" a="1"/>
  <c r="A3666" i="3" a="1"/>
  <c r="A3665" i="3" a="1"/>
  <c r="A3664" i="3" a="1"/>
  <c r="A3663" i="3" a="1"/>
  <c r="A3662" i="3" a="1"/>
  <c r="A3661" i="3" a="1"/>
  <c r="A3660" i="3" a="1"/>
  <c r="A3659" i="3" a="1"/>
  <c r="A3658" i="3" a="1"/>
  <c r="A3657" i="3" a="1"/>
  <c r="A3656" i="3" a="1"/>
  <c r="A3655" i="3" a="1"/>
  <c r="A3654" i="3" a="1"/>
  <c r="A3653" i="3" a="1"/>
  <c r="A3652" i="3" a="1"/>
  <c r="A3651" i="3" a="1"/>
  <c r="A3650" i="3" a="1"/>
  <c r="A3649" i="3" a="1"/>
  <c r="A3648" i="3" a="1"/>
  <c r="A3647" i="3" a="1"/>
  <c r="A3646" i="3" a="1"/>
  <c r="A3645" i="3" a="1"/>
  <c r="A3644" i="3" a="1"/>
  <c r="A3643" i="3" a="1"/>
  <c r="A3642" i="3" a="1"/>
  <c r="A3641" i="3" a="1"/>
  <c r="A3640" i="3" a="1"/>
  <c r="A3639" i="3" a="1"/>
  <c r="A3638" i="3" a="1"/>
  <c r="A3637" i="3" a="1"/>
  <c r="A3636" i="3" a="1"/>
  <c r="A3635" i="3" a="1"/>
  <c r="A3634" i="3" a="1"/>
  <c r="A3633" i="3" a="1"/>
  <c r="A3632" i="3" a="1"/>
  <c r="A3631" i="3" a="1"/>
  <c r="A3630" i="3" a="1"/>
  <c r="A3629" i="3" a="1"/>
  <c r="A3628" i="3" a="1"/>
  <c r="A3627" i="3" a="1"/>
  <c r="A3626" i="3" a="1"/>
  <c r="A3625" i="3" a="1"/>
  <c r="A3624" i="3" a="1"/>
  <c r="A3623" i="3" a="1"/>
  <c r="A3622" i="3" a="1"/>
  <c r="A3621" i="3" a="1"/>
  <c r="A3620" i="3" a="1"/>
  <c r="A3619" i="3" a="1"/>
  <c r="A3618" i="3" a="1"/>
  <c r="A3617" i="3" a="1"/>
  <c r="A3616" i="3" a="1"/>
  <c r="A3615" i="3" a="1"/>
  <c r="A3614" i="3" a="1"/>
  <c r="A3613" i="3" a="1"/>
  <c r="A3612" i="3" a="1"/>
  <c r="A3611" i="3" a="1"/>
  <c r="A3610" i="3" a="1"/>
  <c r="A3609" i="3" a="1"/>
  <c r="A3608" i="3" a="1"/>
  <c r="A3607" i="3" a="1"/>
  <c r="A3606" i="3" a="1"/>
  <c r="A3605" i="3" a="1"/>
  <c r="A3604" i="3" a="1"/>
  <c r="A3603" i="3" a="1"/>
  <c r="A3602" i="3" a="1"/>
  <c r="A3601" i="3" a="1"/>
  <c r="A3600" i="3" a="1"/>
  <c r="A3599" i="3" a="1"/>
  <c r="A3598" i="3" a="1"/>
  <c r="A3597" i="3" a="1"/>
  <c r="A3596" i="3" a="1"/>
  <c r="A3595" i="3" a="1"/>
  <c r="A3594" i="3" a="1"/>
  <c r="A3593" i="3" a="1"/>
  <c r="A3592" i="3" a="1"/>
  <c r="A3591" i="3" a="1"/>
  <c r="A3590" i="3" a="1"/>
  <c r="A3589" i="3" a="1"/>
  <c r="A3588" i="3" a="1"/>
  <c r="A3587" i="3" a="1"/>
  <c r="A3586" i="3" a="1"/>
  <c r="A3585" i="3" a="1"/>
  <c r="A3584" i="3" a="1"/>
  <c r="A3583" i="3" a="1"/>
  <c r="A3582" i="3" a="1"/>
  <c r="A3581" i="3" a="1"/>
  <c r="A3580" i="3" a="1"/>
  <c r="A3579" i="3" a="1"/>
  <c r="A3578" i="3" a="1"/>
  <c r="A3577" i="3" a="1"/>
  <c r="A3576" i="3" a="1"/>
  <c r="A3575" i="3" a="1"/>
  <c r="A3574" i="3" a="1"/>
  <c r="A3573" i="3" a="1"/>
  <c r="A3572" i="3" a="1"/>
  <c r="A3571" i="3" a="1"/>
  <c r="A3570" i="3" a="1"/>
  <c r="A3569" i="3" a="1"/>
  <c r="A3568" i="3" a="1"/>
  <c r="A3567" i="3" a="1"/>
  <c r="A3566" i="3" a="1"/>
  <c r="A3565" i="3" a="1"/>
  <c r="A3564" i="3" a="1"/>
  <c r="A3563" i="3" a="1"/>
  <c r="A3562" i="3" a="1"/>
  <c r="A3561" i="3" a="1"/>
  <c r="A3560" i="3" a="1"/>
  <c r="A3559" i="3" a="1"/>
  <c r="A3558" i="3" a="1"/>
  <c r="A3557" i="3" a="1"/>
  <c r="A3556" i="3" a="1"/>
  <c r="A3555" i="3" a="1"/>
  <c r="A3554" i="3" a="1"/>
  <c r="A3553" i="3" a="1"/>
  <c r="A3552" i="3" a="1"/>
  <c r="A3551" i="3" a="1"/>
  <c r="A3550" i="3" a="1"/>
  <c r="A3549" i="3" a="1"/>
  <c r="A3548" i="3" a="1"/>
  <c r="A3547" i="3" a="1"/>
  <c r="A3546" i="3" a="1"/>
  <c r="A3545" i="3" a="1"/>
  <c r="A3544" i="3" a="1"/>
  <c r="A3543" i="3" a="1"/>
  <c r="A3542" i="3" a="1"/>
  <c r="A3541" i="3" a="1"/>
  <c r="A3540" i="3" a="1"/>
  <c r="A3539" i="3" a="1"/>
  <c r="A3538" i="3" a="1"/>
  <c r="A3537" i="3" a="1"/>
  <c r="A3536" i="3" a="1"/>
  <c r="A3535" i="3" a="1"/>
  <c r="A3534" i="3" a="1"/>
  <c r="A3533" i="3" a="1"/>
  <c r="A3532" i="3" a="1"/>
  <c r="A3531" i="3" a="1"/>
  <c r="A3530" i="3" a="1"/>
  <c r="A3529" i="3" a="1"/>
  <c r="A3528" i="3" a="1"/>
  <c r="A3527" i="3" a="1"/>
  <c r="A3526" i="3" a="1"/>
  <c r="A3525" i="3" a="1"/>
  <c r="A3524" i="3" a="1"/>
  <c r="A3523" i="3" a="1"/>
  <c r="A3522" i="3" a="1"/>
  <c r="A3521" i="3" a="1"/>
  <c r="A3520" i="3" a="1"/>
  <c r="A3519" i="3" a="1"/>
  <c r="A3518" i="3" a="1"/>
  <c r="A3517" i="3" a="1"/>
  <c r="A3516" i="3" a="1"/>
  <c r="A3515" i="3" a="1"/>
  <c r="A3514" i="3" a="1"/>
  <c r="A3513" i="3" a="1"/>
  <c r="A3512" i="3" a="1"/>
  <c r="A3511" i="3" a="1"/>
  <c r="A3510" i="3" a="1"/>
  <c r="A3509" i="3" a="1"/>
  <c r="A3508" i="3" a="1"/>
  <c r="A3507" i="3" a="1"/>
  <c r="A3506" i="3" a="1"/>
  <c r="A3505" i="3" a="1"/>
  <c r="A3504" i="3" a="1"/>
  <c r="A3503" i="3" a="1"/>
  <c r="A3502" i="3" a="1"/>
  <c r="A3501" i="3" a="1"/>
  <c r="A3500" i="3" a="1"/>
  <c r="A3499" i="3" a="1"/>
  <c r="A3498" i="3" a="1"/>
  <c r="A3497" i="3" a="1"/>
  <c r="A3496" i="3" a="1"/>
  <c r="A3495" i="3" a="1"/>
  <c r="A3494" i="3" a="1"/>
  <c r="A3493" i="3" a="1"/>
  <c r="A3492" i="3" a="1"/>
  <c r="A3491" i="3" a="1"/>
  <c r="A3490" i="3" a="1"/>
  <c r="A3489" i="3" a="1"/>
  <c r="A3488" i="3" a="1"/>
  <c r="A3487" i="3" a="1"/>
  <c r="A3486" i="3" a="1"/>
  <c r="A3485" i="3" a="1"/>
  <c r="A3484" i="3" a="1"/>
  <c r="A3483" i="3" a="1"/>
  <c r="A3482" i="3" a="1"/>
  <c r="A3481" i="3" a="1"/>
  <c r="A3480" i="3" a="1"/>
  <c r="A3479" i="3" a="1"/>
  <c r="A3478" i="3" a="1"/>
  <c r="A3477" i="3" a="1"/>
  <c r="A3476" i="3" a="1"/>
  <c r="A3475" i="3" a="1"/>
  <c r="A3474" i="3" a="1"/>
  <c r="A3473" i="3" a="1"/>
  <c r="A3472" i="3" a="1"/>
  <c r="A3471" i="3" a="1"/>
  <c r="A3470" i="3" a="1"/>
  <c r="A3469" i="3" a="1"/>
  <c r="A3468" i="3" a="1"/>
  <c r="A3467" i="3" a="1"/>
  <c r="A3466" i="3" a="1"/>
  <c r="A3465" i="3" a="1"/>
  <c r="A3464" i="3" a="1"/>
  <c r="A3463" i="3" a="1"/>
  <c r="A3462" i="3" a="1"/>
  <c r="A3461" i="3" a="1"/>
  <c r="A3460" i="3" a="1"/>
  <c r="A3459" i="3" a="1"/>
  <c r="A3458" i="3" a="1"/>
  <c r="A3457" i="3" a="1"/>
  <c r="A3456" i="3" a="1"/>
  <c r="A3455" i="3" a="1"/>
  <c r="A3454" i="3" a="1"/>
  <c r="A3453" i="3" a="1"/>
  <c r="A3452" i="3" a="1"/>
  <c r="A3451" i="3" a="1"/>
  <c r="A3450" i="3" a="1"/>
  <c r="A3449" i="3" a="1"/>
  <c r="A3448" i="3" a="1"/>
  <c r="A3447" i="3" a="1"/>
  <c r="A3446" i="3" a="1"/>
  <c r="A3445" i="3" a="1"/>
  <c r="A3444" i="3" a="1"/>
  <c r="A3443" i="3" a="1"/>
  <c r="A3442" i="3" a="1"/>
  <c r="A3441" i="3" a="1"/>
  <c r="A3440" i="3" a="1"/>
  <c r="A3439" i="3" a="1"/>
  <c r="A3438" i="3" a="1"/>
  <c r="A3437" i="3" a="1"/>
  <c r="A3436" i="3" a="1"/>
  <c r="A3435" i="3" a="1"/>
  <c r="A3434" i="3" a="1"/>
  <c r="A3433" i="3" a="1"/>
  <c r="A3432" i="3" a="1"/>
  <c r="A3431" i="3" a="1"/>
  <c r="A3430" i="3" a="1"/>
  <c r="A3429" i="3" a="1"/>
  <c r="A3428" i="3" a="1"/>
  <c r="A3427" i="3" a="1"/>
  <c r="A3426" i="3" a="1"/>
  <c r="A3425" i="3" a="1"/>
  <c r="A3424" i="3" a="1"/>
  <c r="A3423" i="3" a="1"/>
  <c r="A3422" i="3" a="1"/>
  <c r="A3421" i="3" a="1"/>
  <c r="A3420" i="3" a="1"/>
  <c r="A3419" i="3" a="1"/>
  <c r="A3418" i="3" a="1"/>
  <c r="A3417" i="3" a="1"/>
  <c r="A3416" i="3" a="1"/>
  <c r="A3415" i="3" a="1"/>
  <c r="A3414" i="3" a="1"/>
  <c r="A3413" i="3" a="1"/>
  <c r="A3412" i="3" a="1"/>
  <c r="A3411" i="3" a="1"/>
  <c r="A3410" i="3" a="1"/>
  <c r="A3409" i="3" a="1"/>
  <c r="A3408" i="3" a="1"/>
  <c r="A3407" i="3" a="1"/>
  <c r="A3406" i="3" a="1"/>
  <c r="A3405" i="3" a="1"/>
  <c r="A3404" i="3" a="1"/>
  <c r="A3403" i="3" a="1"/>
  <c r="A3402" i="3" a="1"/>
  <c r="A3401" i="3" a="1"/>
  <c r="A3400" i="3" a="1"/>
  <c r="A3399" i="3" a="1"/>
  <c r="A3398" i="3" a="1"/>
  <c r="A3397" i="3" a="1"/>
  <c r="A3396" i="3" a="1"/>
  <c r="A3395" i="3" a="1"/>
  <c r="A3394" i="3" a="1"/>
  <c r="A3393" i="3" a="1"/>
  <c r="A3392" i="3" a="1"/>
  <c r="A3391" i="3" a="1"/>
  <c r="A3390" i="3" a="1"/>
  <c r="A3389" i="3" a="1"/>
  <c r="A3388" i="3" a="1"/>
  <c r="A3387" i="3" a="1"/>
  <c r="A3386" i="3" a="1"/>
  <c r="A3385" i="3" a="1"/>
  <c r="A3384" i="3" a="1"/>
  <c r="A3383" i="3" a="1"/>
  <c r="A3382" i="3" a="1"/>
  <c r="A3381" i="3" a="1"/>
  <c r="A3380" i="3" a="1"/>
  <c r="A3379" i="3" a="1"/>
  <c r="A3378" i="3" a="1"/>
  <c r="A3377" i="3" a="1"/>
  <c r="A3376" i="3" a="1"/>
  <c r="A3375" i="3" a="1"/>
  <c r="A3374" i="3" a="1"/>
  <c r="A3373" i="3" a="1"/>
  <c r="A3372" i="3" a="1"/>
  <c r="A3371" i="3" a="1"/>
  <c r="A3370" i="3" a="1"/>
  <c r="A3369" i="3" a="1"/>
  <c r="A3368" i="3" a="1"/>
  <c r="A3367" i="3" a="1"/>
  <c r="A3366" i="3" a="1"/>
  <c r="A3365" i="3" a="1"/>
  <c r="A3364" i="3" a="1"/>
  <c r="A3363" i="3" a="1"/>
  <c r="A3362" i="3" a="1"/>
  <c r="A3361" i="3" a="1"/>
  <c r="A3360" i="3" a="1"/>
  <c r="A3359" i="3" a="1"/>
  <c r="A3358" i="3" a="1"/>
  <c r="A3357" i="3" a="1"/>
  <c r="A3356" i="3" a="1"/>
  <c r="A3355" i="3" a="1"/>
  <c r="A3354" i="3" a="1"/>
  <c r="A3353" i="3" a="1"/>
  <c r="A3352" i="3" a="1"/>
  <c r="A3351" i="3" a="1"/>
  <c r="A3350" i="3" a="1"/>
  <c r="A3349" i="3" a="1"/>
  <c r="A3348" i="3" a="1"/>
  <c r="A3347" i="3" a="1"/>
  <c r="A3346" i="3" a="1"/>
  <c r="A3345" i="3" a="1"/>
  <c r="A3344" i="3" a="1"/>
  <c r="A3343" i="3" a="1"/>
  <c r="A3342" i="3" a="1"/>
  <c r="A3341" i="3" a="1"/>
  <c r="A3340" i="3" a="1"/>
  <c r="A3339" i="3" a="1"/>
  <c r="A3338" i="3" a="1"/>
  <c r="A3337" i="3" a="1"/>
  <c r="A3336" i="3" a="1"/>
  <c r="A3335" i="3" a="1"/>
  <c r="A3334" i="3" a="1"/>
  <c r="A3333" i="3" a="1"/>
  <c r="A3332" i="3" a="1"/>
  <c r="A3331" i="3" a="1"/>
  <c r="A3330" i="3" a="1"/>
  <c r="A3329" i="3" a="1"/>
  <c r="A3328" i="3" a="1"/>
  <c r="A3327" i="3" a="1"/>
  <c r="A3326" i="3" a="1"/>
  <c r="A3325" i="3" a="1"/>
  <c r="A3324" i="3" a="1"/>
  <c r="A3323" i="3" a="1"/>
  <c r="A3322" i="3" a="1"/>
  <c r="A3321" i="3" a="1"/>
  <c r="A3320" i="3" a="1"/>
  <c r="A3319" i="3" a="1"/>
  <c r="A3318" i="3" a="1"/>
  <c r="A3317" i="3" a="1"/>
  <c r="A3316" i="3" a="1"/>
  <c r="A3315" i="3" a="1"/>
  <c r="A3314" i="3" a="1"/>
  <c r="A3313" i="3" a="1"/>
  <c r="A3312" i="3" a="1"/>
  <c r="A3311" i="3" a="1"/>
  <c r="A3310" i="3" a="1"/>
  <c r="A3309" i="3" a="1"/>
  <c r="A3308" i="3" a="1"/>
  <c r="A3307" i="3" a="1"/>
  <c r="A3306" i="3" a="1"/>
  <c r="A3305" i="3" a="1"/>
  <c r="A3304" i="3" a="1"/>
  <c r="A3303" i="3" a="1"/>
  <c r="A3302" i="3" a="1"/>
  <c r="A3301" i="3" a="1"/>
  <c r="A3300" i="3" a="1"/>
  <c r="A3299" i="3" a="1"/>
  <c r="A3298" i="3" a="1"/>
  <c r="A3297" i="3" a="1"/>
  <c r="A3296" i="3" a="1"/>
  <c r="A3295" i="3" a="1"/>
  <c r="A3294" i="3" a="1"/>
  <c r="A3293" i="3" a="1"/>
  <c r="A3292" i="3" a="1"/>
  <c r="A3291" i="3" a="1"/>
  <c r="A3290" i="3" a="1"/>
  <c r="A3289" i="3" a="1"/>
  <c r="A3288" i="3" a="1"/>
  <c r="A3287" i="3" a="1"/>
  <c r="A3286" i="3" a="1"/>
  <c r="A3285" i="3" a="1"/>
  <c r="A3284" i="3" a="1"/>
  <c r="A3283" i="3" a="1"/>
  <c r="A3282" i="3" a="1"/>
  <c r="A3281" i="3" a="1"/>
  <c r="A3280" i="3" a="1"/>
  <c r="A3279" i="3" a="1"/>
  <c r="A3278" i="3" a="1"/>
  <c r="A3277" i="3" a="1"/>
  <c r="A3276" i="3" a="1"/>
  <c r="A3275" i="3" a="1"/>
  <c r="A3274" i="3" a="1"/>
  <c r="A3273" i="3" a="1"/>
  <c r="A3272" i="3" a="1"/>
  <c r="A3271" i="3" a="1"/>
  <c r="A3270" i="3" a="1"/>
  <c r="A3269" i="3" a="1"/>
  <c r="A3268" i="3" a="1"/>
  <c r="A3267" i="3" a="1"/>
  <c r="A3266" i="3" a="1"/>
  <c r="A3265" i="3" a="1"/>
  <c r="A3264" i="3" a="1"/>
  <c r="A3263" i="3" a="1"/>
  <c r="A3262" i="3" a="1"/>
  <c r="A3261" i="3" a="1"/>
  <c r="A3260" i="3" a="1"/>
  <c r="A3259" i="3" a="1"/>
  <c r="A3258" i="3" a="1"/>
  <c r="A3257" i="3" a="1"/>
  <c r="A3256" i="3" a="1"/>
  <c r="A3255" i="3" a="1"/>
  <c r="A3254" i="3" a="1"/>
  <c r="A3253" i="3" a="1"/>
  <c r="A3252" i="3" a="1"/>
  <c r="A3251" i="3" a="1"/>
  <c r="A3250" i="3" a="1"/>
  <c r="A3249" i="3" a="1"/>
  <c r="A3248" i="3" a="1"/>
  <c r="A3247" i="3" a="1"/>
  <c r="A3246" i="3" a="1"/>
  <c r="A3245" i="3" a="1"/>
  <c r="A3244" i="3" a="1"/>
  <c r="A3243" i="3" a="1"/>
  <c r="A3242" i="3" a="1"/>
  <c r="A3241" i="3" a="1"/>
  <c r="A3240" i="3" a="1"/>
  <c r="A3239" i="3" a="1"/>
  <c r="A3238" i="3" a="1"/>
  <c r="A3237" i="3" a="1"/>
  <c r="A3236" i="3" a="1"/>
  <c r="A3235" i="3" a="1"/>
  <c r="A3234" i="3" a="1"/>
  <c r="A3233" i="3" a="1"/>
  <c r="A3232" i="3" a="1"/>
  <c r="A3231" i="3" a="1"/>
  <c r="A3230" i="3" a="1"/>
  <c r="A3229" i="3" a="1"/>
  <c r="A3228" i="3" a="1"/>
  <c r="A3227" i="3" a="1"/>
  <c r="A3226" i="3" a="1"/>
  <c r="A3225" i="3" a="1"/>
  <c r="A3224" i="3" a="1"/>
  <c r="A3223" i="3" a="1"/>
  <c r="A3222" i="3" a="1"/>
  <c r="A3221" i="3" a="1"/>
  <c r="A3220" i="3" a="1"/>
  <c r="A3219" i="3" a="1"/>
  <c r="A3218" i="3" a="1"/>
  <c r="A3217" i="3" a="1"/>
  <c r="A3216" i="3" a="1"/>
  <c r="A3215" i="3" a="1"/>
  <c r="A3214" i="3" a="1"/>
  <c r="A3213" i="3" a="1"/>
  <c r="A3212" i="3" a="1"/>
  <c r="A3211" i="3" a="1"/>
  <c r="A3210" i="3" a="1"/>
  <c r="A3209" i="3" a="1"/>
  <c r="A3208" i="3" a="1"/>
  <c r="A3207" i="3" a="1"/>
  <c r="A3206" i="3" a="1"/>
  <c r="A3205" i="3" a="1"/>
  <c r="A3204" i="3" a="1"/>
  <c r="A3203" i="3" a="1"/>
  <c r="A3202" i="3" a="1"/>
  <c r="A3201" i="3" a="1"/>
  <c r="A3200" i="3" a="1"/>
  <c r="A3199" i="3" a="1"/>
  <c r="A3198" i="3" a="1"/>
  <c r="A3197" i="3" a="1"/>
  <c r="A3196" i="3" a="1"/>
  <c r="A3195" i="3" a="1"/>
  <c r="A3194" i="3" a="1"/>
  <c r="A3193" i="3" a="1"/>
  <c r="A3192" i="3" a="1"/>
  <c r="A3191" i="3" a="1"/>
  <c r="A3190" i="3" a="1"/>
  <c r="A3189" i="3" a="1"/>
  <c r="A3188" i="3" a="1"/>
  <c r="A3187" i="3" a="1"/>
  <c r="A3186" i="3" a="1"/>
  <c r="A3185" i="3" a="1"/>
  <c r="A3184" i="3" a="1"/>
  <c r="A3183" i="3" a="1"/>
  <c r="A3182" i="3" a="1"/>
  <c r="A3181" i="3" a="1"/>
  <c r="A3180" i="3" a="1"/>
  <c r="A3179" i="3" a="1"/>
  <c r="A3178" i="3" a="1"/>
  <c r="A3177" i="3" a="1"/>
  <c r="A3176" i="3" a="1"/>
  <c r="A3175" i="3" a="1"/>
  <c r="A3174" i="3" a="1"/>
  <c r="A3173" i="3" a="1"/>
  <c r="A3172" i="3" a="1"/>
  <c r="A3171" i="3" a="1"/>
  <c r="A3170" i="3" a="1"/>
  <c r="A3169" i="3" a="1"/>
  <c r="A3168" i="3" a="1"/>
  <c r="A3167" i="3" a="1"/>
  <c r="A3166" i="3" a="1"/>
  <c r="A3165" i="3" a="1"/>
  <c r="A3164" i="3" a="1"/>
  <c r="A3163" i="3" a="1"/>
  <c r="A3162" i="3" a="1"/>
  <c r="A3161" i="3" a="1"/>
  <c r="A3160" i="3" a="1"/>
  <c r="A3159" i="3" a="1"/>
  <c r="A3158" i="3" a="1"/>
  <c r="A3157" i="3" a="1"/>
  <c r="A3156" i="3" a="1"/>
  <c r="A3155" i="3" a="1"/>
  <c r="A3154" i="3" a="1"/>
  <c r="A3153" i="3" a="1"/>
  <c r="A3152" i="3" a="1"/>
  <c r="A3151" i="3" a="1"/>
  <c r="A3150" i="3" a="1"/>
  <c r="A3149" i="3" a="1"/>
  <c r="A3148" i="3" a="1"/>
  <c r="A3147" i="3" a="1"/>
  <c r="A3146" i="3" a="1"/>
  <c r="A3145" i="3" a="1"/>
  <c r="A3144" i="3" a="1"/>
  <c r="A3143" i="3" a="1"/>
  <c r="A3142" i="3" a="1"/>
  <c r="A3141" i="3" a="1"/>
  <c r="A3140" i="3" a="1"/>
  <c r="A3139" i="3" a="1"/>
  <c r="A3138" i="3" a="1"/>
  <c r="A3137" i="3" a="1"/>
  <c r="A3136" i="3" a="1"/>
  <c r="A3135" i="3" a="1"/>
  <c r="A3134" i="3" a="1"/>
  <c r="A3133" i="3" a="1"/>
  <c r="A3132" i="3" a="1"/>
  <c r="A3131" i="3" a="1"/>
  <c r="A3130" i="3" a="1"/>
  <c r="A3129" i="3" a="1"/>
  <c r="A3128" i="3" a="1"/>
  <c r="A3127" i="3" a="1"/>
  <c r="A3126" i="3" a="1"/>
  <c r="A3125" i="3" a="1"/>
  <c r="A3124" i="3" a="1"/>
  <c r="A3123" i="3" a="1"/>
  <c r="A3122" i="3" a="1"/>
  <c r="A3121" i="3" a="1"/>
  <c r="A3120" i="3" a="1"/>
  <c r="A3119" i="3" a="1"/>
  <c r="A3118" i="3" a="1"/>
  <c r="A3117" i="3" a="1"/>
  <c r="A3116" i="3" a="1"/>
  <c r="A3115" i="3" a="1"/>
  <c r="A3114" i="3" a="1"/>
  <c r="A3113" i="3" a="1"/>
  <c r="A3112" i="3" a="1"/>
  <c r="A3111" i="3" a="1"/>
  <c r="A3110" i="3" a="1"/>
  <c r="A3109" i="3" a="1"/>
  <c r="A3108" i="3" a="1"/>
  <c r="A3107" i="3" a="1"/>
  <c r="A3106" i="3" a="1"/>
  <c r="A3105" i="3" a="1"/>
  <c r="A3104" i="3" a="1"/>
  <c r="A3103" i="3" a="1"/>
  <c r="A3102" i="3" a="1"/>
  <c r="A3101" i="3" a="1"/>
  <c r="A3100" i="3" a="1"/>
  <c r="A3099" i="3" a="1"/>
  <c r="A3098" i="3" a="1"/>
  <c r="A3097" i="3" a="1"/>
  <c r="A3096" i="3" a="1"/>
  <c r="A3095" i="3" a="1"/>
  <c r="A3094" i="3" a="1"/>
  <c r="A3093" i="3" a="1"/>
  <c r="A3092" i="3" a="1"/>
  <c r="A3091" i="3" a="1"/>
  <c r="A3090" i="3" a="1"/>
  <c r="A3089" i="3" a="1"/>
  <c r="A3088" i="3" a="1"/>
  <c r="A3087" i="3" a="1"/>
  <c r="A3086" i="3" a="1"/>
  <c r="A3085" i="3" a="1"/>
  <c r="A3084" i="3" a="1"/>
  <c r="A3083" i="3" a="1"/>
  <c r="A3082" i="3" a="1"/>
  <c r="A3081" i="3" a="1"/>
  <c r="A3080" i="3" a="1"/>
  <c r="A3079" i="3" a="1"/>
  <c r="A3078" i="3" a="1"/>
  <c r="A3077" i="3" a="1"/>
  <c r="A3076" i="3" a="1"/>
  <c r="A3075" i="3" a="1"/>
  <c r="A3074" i="3" a="1"/>
  <c r="A3073" i="3" a="1"/>
  <c r="A3072" i="3" a="1"/>
  <c r="A3071" i="3" a="1"/>
  <c r="A3070" i="3" a="1"/>
  <c r="A3069" i="3" a="1"/>
  <c r="A3068" i="3" a="1"/>
  <c r="A3067" i="3" a="1"/>
  <c r="A3066" i="3" a="1"/>
  <c r="A3065" i="3" a="1"/>
  <c r="A3064" i="3" a="1"/>
  <c r="A3063" i="3" a="1"/>
  <c r="A3062" i="3" a="1"/>
  <c r="A3061" i="3" a="1"/>
  <c r="A3060" i="3" a="1"/>
  <c r="A3059" i="3" a="1"/>
  <c r="A3058" i="3" a="1"/>
  <c r="A3057" i="3" a="1"/>
  <c r="A3056" i="3" a="1"/>
  <c r="A3055" i="3" a="1"/>
  <c r="A3054" i="3" a="1"/>
  <c r="A3053" i="3" a="1"/>
  <c r="A3052" i="3" a="1"/>
  <c r="A3051" i="3" a="1"/>
  <c r="A3050" i="3" a="1"/>
  <c r="A3049" i="3" a="1"/>
  <c r="A3048" i="3" a="1"/>
  <c r="A3047" i="3" a="1"/>
  <c r="A3046" i="3" a="1"/>
  <c r="A3045" i="3" a="1"/>
  <c r="A3044" i="3" a="1"/>
  <c r="A3043" i="3" a="1"/>
  <c r="A3042" i="3" a="1"/>
  <c r="A3041" i="3" a="1"/>
  <c r="A3040" i="3" a="1"/>
  <c r="A3039" i="3" a="1"/>
  <c r="A3038" i="3" a="1"/>
  <c r="A3037" i="3" a="1"/>
  <c r="A3036" i="3" a="1"/>
  <c r="A3035" i="3" a="1"/>
  <c r="A3034" i="3" a="1"/>
  <c r="A3033" i="3" a="1"/>
  <c r="A3032" i="3" a="1"/>
  <c r="A3031" i="3" a="1"/>
  <c r="A3030" i="3" a="1"/>
  <c r="A3029" i="3" a="1"/>
  <c r="A3028" i="3" a="1"/>
  <c r="A3027" i="3" a="1"/>
  <c r="A3026" i="3" a="1"/>
  <c r="A3025" i="3" a="1"/>
  <c r="A3024" i="3" a="1"/>
  <c r="A3023" i="3" a="1"/>
  <c r="A3022" i="3" a="1"/>
  <c r="A3021" i="3" a="1"/>
  <c r="A3020" i="3" a="1"/>
  <c r="A3019" i="3" a="1"/>
  <c r="A3018" i="3" a="1"/>
  <c r="A3017" i="3" a="1"/>
  <c r="A3016" i="3" a="1"/>
  <c r="A3015" i="3" a="1"/>
  <c r="A3014" i="3" a="1"/>
  <c r="A3013" i="3" a="1"/>
  <c r="A3012" i="3" a="1"/>
  <c r="A3011" i="3" a="1"/>
  <c r="A3010" i="3" a="1"/>
  <c r="A3009" i="3" a="1"/>
  <c r="A3008" i="3" a="1"/>
  <c r="A3007" i="3" a="1"/>
  <c r="A3006" i="3" a="1"/>
  <c r="A3005" i="3" a="1"/>
  <c r="A3004" i="3" a="1"/>
  <c r="A3003" i="3" a="1"/>
  <c r="A3002" i="3" a="1"/>
  <c r="A3001" i="3" a="1"/>
  <c r="A3000" i="3" a="1"/>
  <c r="A2999" i="3" a="1"/>
  <c r="A2998" i="3" a="1"/>
  <c r="A2997" i="3" a="1"/>
  <c r="A2996" i="3" a="1"/>
  <c r="A2995" i="3" a="1"/>
  <c r="A2994" i="3" a="1"/>
  <c r="A2993" i="3" a="1"/>
  <c r="A2992" i="3" a="1"/>
  <c r="A2991" i="3" a="1"/>
  <c r="A2990" i="3" a="1"/>
  <c r="A2989" i="3" a="1"/>
  <c r="A2988" i="3" a="1"/>
  <c r="A2987" i="3" a="1"/>
  <c r="A2986" i="3" a="1"/>
  <c r="A2985" i="3" a="1"/>
  <c r="A2984" i="3" a="1"/>
  <c r="A2983" i="3" a="1"/>
  <c r="A2982" i="3" a="1"/>
  <c r="A2981" i="3" a="1"/>
  <c r="A2980" i="3" a="1"/>
  <c r="A2979" i="3" a="1"/>
  <c r="A2978" i="3" a="1"/>
  <c r="A2977" i="3" a="1"/>
  <c r="A2976" i="3" a="1"/>
  <c r="A2975" i="3" a="1"/>
  <c r="A2974" i="3" a="1"/>
  <c r="A2973" i="3" a="1"/>
  <c r="A2972" i="3" a="1"/>
  <c r="A2971" i="3" a="1"/>
  <c r="A2970" i="3" a="1"/>
  <c r="A2969" i="3" a="1"/>
  <c r="A2968" i="3" a="1"/>
  <c r="A2967" i="3" a="1"/>
  <c r="A2966" i="3" a="1"/>
  <c r="A2965" i="3" a="1"/>
  <c r="A2964" i="3" a="1"/>
  <c r="A2963" i="3" a="1"/>
  <c r="A2962" i="3" a="1"/>
  <c r="A2961" i="3" a="1"/>
  <c r="A2960" i="3" a="1"/>
  <c r="A2959" i="3" a="1"/>
  <c r="A2958" i="3" a="1"/>
  <c r="A2957" i="3" a="1"/>
  <c r="A2956" i="3" a="1"/>
  <c r="A2955" i="3" a="1"/>
  <c r="A2954" i="3" a="1"/>
  <c r="A2953" i="3" a="1"/>
  <c r="A2952" i="3" a="1"/>
  <c r="A2951" i="3" a="1"/>
  <c r="A2950" i="3" a="1"/>
  <c r="A2949" i="3" a="1"/>
  <c r="A2948" i="3" a="1"/>
  <c r="A2947" i="3" a="1"/>
  <c r="A2946" i="3" a="1"/>
  <c r="A2945" i="3" a="1"/>
  <c r="A2944" i="3" a="1"/>
  <c r="A2943" i="3" a="1"/>
  <c r="A2942" i="3" a="1"/>
  <c r="A2941" i="3" a="1"/>
  <c r="A2940" i="3" a="1"/>
  <c r="A2939" i="3" a="1"/>
  <c r="A2938" i="3" a="1"/>
  <c r="A2937" i="3" a="1"/>
  <c r="A2936" i="3" a="1"/>
  <c r="A2935" i="3" a="1"/>
  <c r="A2934" i="3" a="1"/>
  <c r="A2933" i="3" a="1"/>
  <c r="A2932" i="3" a="1"/>
  <c r="A2931" i="3" a="1"/>
  <c r="A2930" i="3" a="1"/>
  <c r="A2929" i="3" a="1"/>
  <c r="A2928" i="3" a="1"/>
  <c r="A2927" i="3" a="1"/>
  <c r="A2926" i="3" a="1"/>
  <c r="A2925" i="3" a="1"/>
  <c r="A2924" i="3" a="1"/>
  <c r="A2923" i="3" a="1"/>
  <c r="A2922" i="3" a="1"/>
  <c r="A2921" i="3" a="1"/>
  <c r="A2920" i="3" a="1"/>
  <c r="A2919" i="3" a="1"/>
  <c r="A2918" i="3" a="1"/>
  <c r="A2917" i="3" a="1"/>
  <c r="A2916" i="3" a="1"/>
  <c r="A2915" i="3" a="1"/>
  <c r="A2914" i="3" a="1"/>
  <c r="A2913" i="3" a="1"/>
  <c r="A2912" i="3" a="1"/>
  <c r="A2911" i="3" a="1"/>
  <c r="A2910" i="3" a="1"/>
  <c r="A2909" i="3" a="1"/>
  <c r="A2908" i="3" a="1"/>
  <c r="A2907" i="3" a="1"/>
  <c r="A2906" i="3" a="1"/>
  <c r="A2905" i="3" a="1"/>
  <c r="A2904" i="3" a="1"/>
  <c r="A2903" i="3" a="1"/>
  <c r="A2902" i="3" a="1"/>
  <c r="A2901" i="3" a="1"/>
  <c r="A2900" i="3" a="1"/>
  <c r="A2899" i="3" a="1"/>
  <c r="A2898" i="3" a="1"/>
  <c r="A2897" i="3" a="1"/>
  <c r="A2896" i="3" a="1"/>
  <c r="A2895" i="3" a="1"/>
  <c r="A2894" i="3" a="1"/>
  <c r="A2893" i="3" a="1"/>
  <c r="A2892" i="3" a="1"/>
  <c r="A2891" i="3" a="1"/>
  <c r="A2890" i="3" a="1"/>
  <c r="A2889" i="3" a="1"/>
  <c r="A2888" i="3" a="1"/>
  <c r="A2887" i="3" a="1"/>
  <c r="A2886" i="3" a="1"/>
  <c r="A2885" i="3" a="1"/>
  <c r="A2884" i="3" a="1"/>
  <c r="A2883" i="3" a="1"/>
  <c r="A2882" i="3" a="1"/>
  <c r="A2881" i="3" a="1"/>
  <c r="A2880" i="3" a="1"/>
  <c r="A2879" i="3" a="1"/>
  <c r="A2878" i="3" a="1"/>
  <c r="A2877" i="3" a="1"/>
  <c r="A2876" i="3" a="1"/>
  <c r="A2875" i="3" a="1"/>
  <c r="A2874" i="3" a="1"/>
  <c r="A2873" i="3" a="1"/>
  <c r="A2872" i="3" a="1"/>
  <c r="A2871" i="3" a="1"/>
  <c r="A2870" i="3" a="1"/>
  <c r="A2869" i="3" a="1"/>
  <c r="A2868" i="3" a="1"/>
  <c r="A2867" i="3" a="1"/>
  <c r="A2866" i="3" a="1"/>
  <c r="A2865" i="3" a="1"/>
  <c r="A2864" i="3" a="1"/>
  <c r="A2863" i="3" a="1"/>
  <c r="A2862" i="3" a="1"/>
  <c r="A2861" i="3" a="1"/>
  <c r="A2860" i="3" a="1"/>
  <c r="A2859" i="3" a="1"/>
  <c r="A2858" i="3" a="1"/>
  <c r="A2857" i="3" a="1"/>
  <c r="A2856" i="3" a="1"/>
  <c r="A2855" i="3" a="1"/>
  <c r="A2854" i="3" a="1"/>
  <c r="A2853" i="3" a="1"/>
  <c r="A2852" i="3" a="1"/>
  <c r="A2851" i="3" a="1"/>
  <c r="A2850" i="3" a="1"/>
  <c r="A2849" i="3" a="1"/>
  <c r="A2848" i="3" a="1"/>
  <c r="A2847" i="3" a="1"/>
  <c r="A2846" i="3" a="1"/>
  <c r="A2845" i="3" a="1"/>
  <c r="A2844" i="3" a="1"/>
  <c r="A2843" i="3" a="1"/>
  <c r="A2842" i="3" a="1"/>
  <c r="A2841" i="3" a="1"/>
  <c r="A2840" i="3" a="1"/>
  <c r="A2839" i="3" a="1"/>
  <c r="A2838" i="3" a="1"/>
  <c r="A2837" i="3" a="1"/>
  <c r="A2836" i="3" a="1"/>
  <c r="A2835" i="3" a="1"/>
  <c r="A2834" i="3" a="1"/>
  <c r="A2833" i="3" a="1"/>
  <c r="A2832" i="3" a="1"/>
  <c r="A2831" i="3" a="1"/>
  <c r="A2830" i="3" a="1"/>
  <c r="A2829" i="3" a="1"/>
  <c r="A2828" i="3" a="1"/>
  <c r="A2827" i="3" a="1"/>
  <c r="A2826" i="3" a="1"/>
  <c r="A2825" i="3" a="1"/>
  <c r="A2824" i="3" a="1"/>
  <c r="A2823" i="3" a="1"/>
  <c r="A2822" i="3" a="1"/>
  <c r="A2821" i="3" a="1"/>
  <c r="A2820" i="3" a="1"/>
  <c r="A2819" i="3" a="1"/>
  <c r="A2818" i="3" a="1"/>
  <c r="A2817" i="3" a="1"/>
  <c r="A2816" i="3" a="1"/>
  <c r="A2815" i="3" a="1"/>
  <c r="A2814" i="3" a="1"/>
  <c r="A2813" i="3" a="1"/>
  <c r="A2812" i="3" a="1"/>
  <c r="A2811" i="3" a="1"/>
  <c r="A2810" i="3" a="1"/>
  <c r="A2809" i="3" a="1"/>
  <c r="A2808" i="3" a="1"/>
  <c r="A2807" i="3" a="1"/>
  <c r="A2806" i="3" a="1"/>
  <c r="A2805" i="3" a="1"/>
  <c r="A2804" i="3" a="1"/>
  <c r="A2803" i="3" a="1"/>
  <c r="A2802" i="3" a="1"/>
  <c r="A2801" i="3" a="1"/>
  <c r="A2800" i="3" a="1"/>
  <c r="A2799" i="3" a="1"/>
  <c r="A2798" i="3" a="1"/>
  <c r="A2797" i="3" a="1"/>
  <c r="A2796" i="3" a="1"/>
  <c r="A2795" i="3" a="1"/>
  <c r="A2794" i="3" a="1"/>
  <c r="A2793" i="3" a="1"/>
  <c r="A2792" i="3" a="1"/>
  <c r="A2791" i="3" a="1"/>
  <c r="A2790" i="3" a="1"/>
  <c r="A2789" i="3" a="1"/>
  <c r="A2788" i="3" a="1"/>
  <c r="A2787" i="3" a="1"/>
  <c r="A2786" i="3" a="1"/>
  <c r="A2785" i="3" a="1"/>
  <c r="A2784" i="3" a="1"/>
  <c r="A2783" i="3" a="1"/>
  <c r="A2782" i="3" a="1"/>
  <c r="A2781" i="3" a="1"/>
  <c r="A2780" i="3" a="1"/>
  <c r="A2779" i="3" a="1"/>
  <c r="A2778" i="3" a="1"/>
  <c r="A2777" i="3" a="1"/>
  <c r="A2776" i="3" a="1"/>
  <c r="A2775" i="3" a="1"/>
  <c r="A2774" i="3" a="1"/>
  <c r="A2773" i="3" a="1"/>
  <c r="A2772" i="3" a="1"/>
  <c r="A2771" i="3" a="1"/>
  <c r="A2770" i="3" a="1"/>
  <c r="A2769" i="3" a="1"/>
  <c r="A2768" i="3" a="1"/>
  <c r="A2767" i="3" a="1"/>
  <c r="A2766" i="3" a="1"/>
  <c r="A2765" i="3" a="1"/>
  <c r="A2764" i="3" a="1"/>
  <c r="A2763" i="3" a="1"/>
  <c r="A2762" i="3" a="1"/>
  <c r="A2761" i="3" a="1"/>
  <c r="A2760" i="3" a="1"/>
  <c r="A2759" i="3" a="1"/>
  <c r="A2758" i="3" a="1"/>
  <c r="A2757" i="3" a="1"/>
  <c r="A2756" i="3" a="1"/>
  <c r="A2755" i="3" a="1"/>
  <c r="A2754" i="3" a="1"/>
  <c r="A2753" i="3" a="1"/>
  <c r="A2752" i="3" a="1"/>
  <c r="A2751" i="3" a="1"/>
  <c r="A2750" i="3" a="1"/>
  <c r="A2749" i="3" a="1"/>
  <c r="A2748" i="3" a="1"/>
  <c r="A2747" i="3" a="1"/>
  <c r="A2746" i="3" a="1"/>
  <c r="A2745" i="3" a="1"/>
  <c r="A2744" i="3" a="1"/>
  <c r="A2743" i="3" a="1"/>
  <c r="A2742" i="3" a="1"/>
  <c r="A2741" i="3" a="1"/>
  <c r="A2740" i="3" a="1"/>
  <c r="A2739" i="3" a="1"/>
  <c r="A2738" i="3" a="1"/>
  <c r="A2737" i="3" a="1"/>
  <c r="A2736" i="3" a="1"/>
  <c r="A2735" i="3" a="1"/>
  <c r="A2734" i="3" a="1"/>
  <c r="A2733" i="3" a="1"/>
  <c r="A2732" i="3" a="1"/>
  <c r="A2731" i="3" a="1"/>
  <c r="A2730" i="3" a="1"/>
  <c r="A2729" i="3" a="1"/>
  <c r="A2728" i="3" a="1"/>
  <c r="A2727" i="3" a="1"/>
  <c r="A2726" i="3" a="1"/>
  <c r="A2725" i="3" a="1"/>
  <c r="A2724" i="3" a="1"/>
  <c r="A2723" i="3" a="1"/>
  <c r="A2722" i="3" a="1"/>
  <c r="A2721" i="3" a="1"/>
  <c r="A2720" i="3" a="1"/>
  <c r="A2719" i="3" a="1"/>
  <c r="A2718" i="3" a="1"/>
  <c r="A2717" i="3" a="1"/>
  <c r="A2716" i="3" a="1"/>
  <c r="A2715" i="3" a="1"/>
  <c r="A2714" i="3" a="1"/>
  <c r="A2713" i="3" a="1"/>
  <c r="A2712" i="3" a="1"/>
  <c r="A2711" i="3" a="1"/>
  <c r="A2710" i="3" a="1"/>
  <c r="A2709" i="3" a="1"/>
  <c r="A2708" i="3" a="1"/>
  <c r="A2707" i="3" a="1"/>
  <c r="A2706" i="3" a="1"/>
  <c r="A2705" i="3" a="1"/>
  <c r="A2704" i="3" a="1"/>
  <c r="A2703" i="3" a="1"/>
  <c r="A2702" i="3" a="1"/>
  <c r="A2701" i="3" a="1"/>
  <c r="A2700" i="3" a="1"/>
  <c r="A2699" i="3" a="1"/>
  <c r="A2698" i="3" a="1"/>
  <c r="A2697" i="3" a="1"/>
  <c r="A2696" i="3" a="1"/>
  <c r="A2695" i="3" a="1"/>
  <c r="A2694" i="3" a="1"/>
  <c r="A2693" i="3" a="1"/>
  <c r="A2692" i="3" a="1"/>
  <c r="A2691" i="3" a="1"/>
  <c r="A2690" i="3" a="1"/>
  <c r="A2689" i="3" a="1"/>
  <c r="A2688" i="3" a="1"/>
  <c r="A2687" i="3" a="1"/>
  <c r="A2686" i="3" a="1"/>
  <c r="A2685" i="3" a="1"/>
  <c r="A2684" i="3" a="1"/>
  <c r="A2683" i="3" a="1"/>
  <c r="A2682" i="3" a="1"/>
  <c r="A2681" i="3" a="1"/>
  <c r="A2680" i="3" a="1"/>
  <c r="A2679" i="3" a="1"/>
  <c r="A2678" i="3" a="1"/>
  <c r="A2677" i="3" a="1"/>
  <c r="A2676" i="3" a="1"/>
  <c r="A2675" i="3" a="1"/>
  <c r="A2674" i="3" a="1"/>
  <c r="A2673" i="3" a="1"/>
  <c r="A2672" i="3" a="1"/>
  <c r="A2671" i="3" a="1"/>
  <c r="A2670" i="3" a="1"/>
  <c r="A2669" i="3" a="1"/>
  <c r="A2668" i="3" a="1"/>
  <c r="A2667" i="3" a="1"/>
  <c r="A2666" i="3" a="1"/>
  <c r="A2665" i="3" a="1"/>
  <c r="A2664" i="3" a="1"/>
  <c r="A2663" i="3" a="1"/>
  <c r="A2662" i="3" a="1"/>
  <c r="A2661" i="3" a="1"/>
  <c r="A2660" i="3" a="1"/>
  <c r="A2659" i="3" a="1"/>
  <c r="A2658" i="3" a="1"/>
  <c r="A2657" i="3" a="1"/>
  <c r="A2656" i="3" a="1"/>
  <c r="A2655" i="3" a="1"/>
  <c r="A2654" i="3" a="1"/>
  <c r="A2653" i="3" a="1"/>
  <c r="A2652" i="3" a="1"/>
  <c r="A2651" i="3" a="1"/>
  <c r="A2650" i="3" a="1"/>
  <c r="A2649" i="3" a="1"/>
  <c r="A2648" i="3" a="1"/>
  <c r="A2647" i="3" a="1"/>
  <c r="A2646" i="3" a="1"/>
  <c r="A2645" i="3" a="1"/>
  <c r="A2644" i="3" a="1"/>
  <c r="A2643" i="3" a="1"/>
  <c r="A2642" i="3" a="1"/>
  <c r="A2641" i="3" a="1"/>
  <c r="A2640" i="3" a="1"/>
  <c r="A2639" i="3" a="1"/>
  <c r="A2638" i="3" a="1"/>
  <c r="A2637" i="3" a="1"/>
  <c r="A2636" i="3" a="1"/>
  <c r="A2635" i="3" a="1"/>
  <c r="A2634" i="3" a="1"/>
  <c r="A2633" i="3" a="1"/>
  <c r="A2632" i="3" a="1"/>
  <c r="A2631" i="3" a="1"/>
  <c r="A2630" i="3" a="1"/>
  <c r="A2629" i="3" a="1"/>
  <c r="A2628" i="3" a="1"/>
  <c r="A2627" i="3" a="1"/>
  <c r="A2626" i="3" a="1"/>
  <c r="A2625" i="3" a="1"/>
  <c r="A2624" i="3" a="1"/>
  <c r="A2623" i="3" a="1"/>
  <c r="A2622" i="3" a="1"/>
  <c r="A2621" i="3" a="1"/>
  <c r="A2620" i="3" a="1"/>
  <c r="A2619" i="3" a="1"/>
  <c r="A2618" i="3" a="1"/>
  <c r="A2617" i="3" a="1"/>
  <c r="A2616" i="3" a="1"/>
  <c r="A2615" i="3" a="1"/>
  <c r="A2614" i="3" a="1"/>
  <c r="A2613" i="3" a="1"/>
  <c r="A2612" i="3" a="1"/>
  <c r="A2611" i="3" a="1"/>
  <c r="A2610" i="3" a="1"/>
  <c r="A2609" i="3" a="1"/>
  <c r="A2608" i="3" a="1"/>
  <c r="A2607" i="3" a="1"/>
  <c r="A2606" i="3" a="1"/>
  <c r="A2605" i="3" a="1"/>
  <c r="A2604" i="3" a="1"/>
  <c r="A2603" i="3" a="1"/>
  <c r="A2602" i="3" a="1"/>
  <c r="A2601" i="3" a="1"/>
  <c r="A2600" i="3" a="1"/>
  <c r="A2599" i="3" a="1"/>
  <c r="A2598" i="3" a="1"/>
  <c r="A2597" i="3" a="1"/>
  <c r="A2596" i="3" a="1"/>
  <c r="A2595" i="3" a="1"/>
  <c r="A2594" i="3" a="1"/>
  <c r="A2593" i="3" a="1"/>
  <c r="A2592" i="3" a="1"/>
  <c r="A2591" i="3" a="1"/>
  <c r="A2590" i="3" a="1"/>
  <c r="A2589" i="3" a="1"/>
  <c r="A2588" i="3" a="1"/>
  <c r="A2587" i="3" a="1"/>
  <c r="A2586" i="3" a="1"/>
  <c r="A2585" i="3" a="1"/>
  <c r="A2584" i="3" a="1"/>
  <c r="A2583" i="3" a="1"/>
  <c r="A2582" i="3" a="1"/>
  <c r="A2581" i="3" a="1"/>
  <c r="A2580" i="3" a="1"/>
  <c r="A2579" i="3" a="1"/>
  <c r="A2578" i="3" a="1"/>
  <c r="A2577" i="3" a="1"/>
  <c r="A2576" i="3" a="1"/>
  <c r="A2575" i="3" a="1"/>
  <c r="A2574" i="3" a="1"/>
  <c r="A2573" i="3" a="1"/>
  <c r="A2572" i="3" a="1"/>
  <c r="A2571" i="3" a="1"/>
  <c r="A2570" i="3" a="1"/>
  <c r="A2569" i="3" a="1"/>
  <c r="A2568" i="3" a="1"/>
  <c r="A2567" i="3" a="1"/>
  <c r="A2566" i="3" a="1"/>
  <c r="A2565" i="3" a="1"/>
  <c r="A2564" i="3" a="1"/>
  <c r="A2563" i="3" a="1"/>
  <c r="A2562" i="3" a="1"/>
  <c r="A2561" i="3" a="1"/>
  <c r="A2560" i="3" a="1"/>
  <c r="A2559" i="3" a="1"/>
  <c r="A2558" i="3" a="1"/>
  <c r="A2557" i="3" a="1"/>
  <c r="A2556" i="3" a="1"/>
  <c r="A2555" i="3" a="1"/>
  <c r="A2554" i="3" a="1"/>
  <c r="A2553" i="3" a="1"/>
  <c r="A2552" i="3" a="1"/>
  <c r="A2551" i="3" a="1"/>
  <c r="A2550" i="3" a="1"/>
  <c r="A2549" i="3" a="1"/>
  <c r="A2548" i="3" a="1"/>
  <c r="A2547" i="3" a="1"/>
  <c r="A2546" i="3" a="1"/>
  <c r="A2545" i="3" a="1"/>
  <c r="A2544" i="3" a="1"/>
  <c r="A2543" i="3" a="1"/>
  <c r="A2542" i="3" a="1"/>
  <c r="A2541" i="3" a="1"/>
  <c r="A2540" i="3" a="1"/>
  <c r="A2539" i="3" a="1"/>
  <c r="A2538" i="3" a="1"/>
  <c r="A2537" i="3" a="1"/>
  <c r="A2536" i="3" a="1"/>
  <c r="A2535" i="3" a="1"/>
  <c r="A2534" i="3" a="1"/>
  <c r="A2533" i="3" a="1"/>
  <c r="A2532" i="3" a="1"/>
  <c r="A2531" i="3" a="1"/>
  <c r="A2530" i="3" a="1"/>
  <c r="A2529" i="3" a="1"/>
  <c r="A2528" i="3" a="1"/>
  <c r="A2527" i="3" a="1"/>
  <c r="A2526" i="3" a="1"/>
  <c r="A2525" i="3" a="1"/>
  <c r="A2524" i="3" a="1"/>
  <c r="A2523" i="3" a="1"/>
  <c r="A2522" i="3" a="1"/>
  <c r="A2521" i="3" a="1"/>
  <c r="A2520" i="3" a="1"/>
  <c r="A2519" i="3" a="1"/>
  <c r="A2518" i="3" a="1"/>
  <c r="A2517" i="3" a="1"/>
  <c r="A2516" i="3" a="1"/>
  <c r="A2515" i="3" a="1"/>
  <c r="A2514" i="3" a="1"/>
  <c r="A2513" i="3" a="1"/>
  <c r="A2512" i="3" a="1"/>
  <c r="A2511" i="3" a="1"/>
  <c r="A2510" i="3" a="1"/>
  <c r="A2509" i="3" a="1"/>
  <c r="A2508" i="3" a="1"/>
  <c r="A2507" i="3" a="1"/>
  <c r="A2506" i="3" a="1"/>
  <c r="A2505" i="3" a="1"/>
  <c r="A2504" i="3" a="1"/>
  <c r="A2503" i="3" a="1"/>
  <c r="A2502" i="3" a="1"/>
  <c r="A2501" i="3" a="1"/>
  <c r="A2500" i="3" a="1"/>
  <c r="A2499" i="3" a="1"/>
  <c r="A2498" i="3" a="1"/>
  <c r="A2497" i="3" a="1"/>
  <c r="A2496" i="3" a="1"/>
  <c r="A2495" i="3" a="1"/>
  <c r="A2494" i="3" a="1"/>
  <c r="A2493" i="3" a="1"/>
  <c r="A2492" i="3" a="1"/>
  <c r="A2491" i="3" a="1"/>
  <c r="A2490" i="3" a="1"/>
  <c r="A2489" i="3" a="1"/>
  <c r="A2488" i="3" a="1"/>
  <c r="A2487" i="3" a="1"/>
  <c r="A2486" i="3" a="1"/>
  <c r="A2485" i="3" a="1"/>
  <c r="A2484" i="3" a="1"/>
  <c r="A2483" i="3" a="1"/>
  <c r="A2482" i="3" a="1"/>
  <c r="A2481" i="3" a="1"/>
  <c r="A2480" i="3" a="1"/>
  <c r="A2479" i="3" a="1"/>
  <c r="A2478" i="3" a="1"/>
  <c r="A2477" i="3" a="1"/>
  <c r="A2476" i="3" a="1"/>
  <c r="A2475" i="3" a="1"/>
  <c r="A2474" i="3" a="1"/>
  <c r="A2473" i="3" a="1"/>
  <c r="A2472" i="3" a="1"/>
  <c r="A2471" i="3" a="1"/>
  <c r="A2470" i="3" a="1"/>
  <c r="A2469" i="3" a="1"/>
  <c r="A2468" i="3" a="1"/>
  <c r="A2467" i="3" a="1"/>
  <c r="A2466" i="3" a="1"/>
  <c r="A2465" i="3" a="1"/>
  <c r="A2464" i="3" a="1"/>
  <c r="A2463" i="3" a="1"/>
  <c r="A2462" i="3" a="1"/>
  <c r="A2461" i="3" a="1"/>
  <c r="A2460" i="3" a="1"/>
  <c r="A2459" i="3" a="1"/>
  <c r="A2458" i="3" a="1"/>
  <c r="A2457" i="3" a="1"/>
  <c r="A2456" i="3" a="1"/>
  <c r="A2455" i="3" a="1"/>
  <c r="A2454" i="3" a="1"/>
  <c r="A2453" i="3" a="1"/>
  <c r="A2452" i="3" a="1"/>
  <c r="A2451" i="3" a="1"/>
  <c r="A2450" i="3" a="1"/>
  <c r="A2449" i="3" a="1"/>
  <c r="A2448" i="3" a="1"/>
  <c r="A2447" i="3" a="1"/>
  <c r="A2446" i="3" a="1"/>
  <c r="A2445" i="3" a="1"/>
  <c r="A2444" i="3" a="1"/>
  <c r="A2443" i="3" a="1"/>
  <c r="A2442" i="3" a="1"/>
  <c r="A2441" i="3" a="1"/>
  <c r="A2440" i="3" a="1"/>
  <c r="A2439" i="3" a="1"/>
  <c r="A2438" i="3" a="1"/>
  <c r="A2437" i="3" a="1"/>
  <c r="A2436" i="3" a="1"/>
  <c r="A2435" i="3" a="1"/>
  <c r="A2434" i="3" a="1"/>
  <c r="A2433" i="3" a="1"/>
  <c r="A2432" i="3" a="1"/>
  <c r="A2431" i="3" a="1"/>
  <c r="A2430" i="3" a="1"/>
  <c r="A2429" i="3" a="1"/>
  <c r="A2428" i="3" a="1"/>
  <c r="A2427" i="3" a="1"/>
  <c r="A2426" i="3" a="1"/>
  <c r="A2425" i="3" a="1"/>
  <c r="A2424" i="3" a="1"/>
  <c r="A2423" i="3" a="1"/>
  <c r="A2422" i="3" a="1"/>
  <c r="A2421" i="3" a="1"/>
  <c r="A2420" i="3" a="1"/>
  <c r="A2419" i="3" a="1"/>
  <c r="A2418" i="3" a="1"/>
  <c r="A2417" i="3" a="1"/>
  <c r="A2416" i="3" a="1"/>
  <c r="A2415" i="3" a="1"/>
  <c r="A2414" i="3" a="1"/>
  <c r="A2413" i="3" a="1"/>
  <c r="A2412" i="3" a="1"/>
  <c r="A2411" i="3" a="1"/>
  <c r="A2410" i="3" a="1"/>
  <c r="A2409" i="3" a="1"/>
  <c r="A2408" i="3" a="1"/>
  <c r="A2407" i="3" a="1"/>
  <c r="A2406" i="3" a="1"/>
  <c r="A2405" i="3" a="1"/>
  <c r="A2404" i="3" a="1"/>
  <c r="A2403" i="3" a="1"/>
  <c r="A2402" i="3" a="1"/>
  <c r="A2401" i="3" a="1"/>
  <c r="A2400" i="3" a="1"/>
  <c r="A2399" i="3" a="1"/>
  <c r="A2398" i="3" a="1"/>
  <c r="A2397" i="3" a="1"/>
  <c r="A2396" i="3" a="1"/>
  <c r="A2395" i="3" a="1"/>
  <c r="A2394" i="3" a="1"/>
  <c r="A2393" i="3" a="1"/>
  <c r="A2392" i="3" a="1"/>
  <c r="A2391" i="3" a="1"/>
  <c r="A2390" i="3" a="1"/>
  <c r="A2389" i="3" a="1"/>
  <c r="A2388" i="3" a="1"/>
  <c r="A2387" i="3" a="1"/>
  <c r="A2386" i="3" a="1"/>
  <c r="A2385" i="3" a="1"/>
  <c r="A2384" i="3" a="1"/>
  <c r="A2383" i="3" a="1"/>
  <c r="A2382" i="3" a="1"/>
  <c r="A2381" i="3" a="1"/>
  <c r="A2380" i="3" a="1"/>
  <c r="A2379" i="3" a="1"/>
  <c r="A2378" i="3" a="1"/>
  <c r="A2377" i="3" a="1"/>
  <c r="A2376" i="3" a="1"/>
  <c r="A2375" i="3" a="1"/>
  <c r="A2374" i="3" a="1"/>
  <c r="A2373" i="3" a="1"/>
  <c r="A2372" i="3" a="1"/>
  <c r="A2371" i="3" a="1"/>
  <c r="A2370" i="3" a="1"/>
  <c r="A2369" i="3" a="1"/>
  <c r="A2368" i="3" a="1"/>
  <c r="A2367" i="3" a="1"/>
  <c r="A2366" i="3" a="1"/>
  <c r="A2365" i="3" a="1"/>
  <c r="A2364" i="3" a="1"/>
  <c r="A2363" i="3" a="1"/>
  <c r="A2362" i="3" a="1"/>
  <c r="A2361" i="3" a="1"/>
  <c r="A2360" i="3" a="1"/>
  <c r="A2359" i="3" a="1"/>
  <c r="A2358" i="3" a="1"/>
  <c r="A2357" i="3" a="1"/>
  <c r="A2356" i="3" a="1"/>
  <c r="A2355" i="3" a="1"/>
  <c r="A2354" i="3" a="1"/>
  <c r="A2353" i="3" a="1"/>
  <c r="A2352" i="3" a="1"/>
  <c r="A2351" i="3" a="1"/>
  <c r="A2350" i="3" a="1"/>
  <c r="A2349" i="3" a="1"/>
  <c r="A2348" i="3" a="1"/>
  <c r="A2347" i="3" a="1"/>
  <c r="A2346" i="3" a="1"/>
  <c r="A2345" i="3" a="1"/>
  <c r="A2344" i="3" a="1"/>
  <c r="A2343" i="3" a="1"/>
  <c r="A2342" i="3" a="1"/>
  <c r="A2341" i="3" a="1"/>
  <c r="A2340" i="3" a="1"/>
  <c r="A2339" i="3" a="1"/>
  <c r="A2338" i="3" a="1"/>
  <c r="A2337" i="3" a="1"/>
  <c r="A2336" i="3" a="1"/>
  <c r="A2335" i="3" a="1"/>
  <c r="A2334" i="3" a="1"/>
  <c r="A2333" i="3" a="1"/>
  <c r="A2332" i="3" a="1"/>
  <c r="A2331" i="3" a="1"/>
  <c r="A2330" i="3" a="1"/>
  <c r="A2329" i="3" a="1"/>
  <c r="A2328" i="3" a="1"/>
  <c r="A2327" i="3" a="1"/>
  <c r="A2326" i="3" a="1"/>
  <c r="A2325" i="3" a="1"/>
  <c r="A2324" i="3" a="1"/>
  <c r="A2323" i="3" a="1"/>
  <c r="A2322" i="3" a="1"/>
  <c r="A2321" i="3" a="1"/>
  <c r="A2320" i="3" a="1"/>
  <c r="A2319" i="3" a="1"/>
  <c r="A2318" i="3" a="1"/>
  <c r="A2317" i="3" a="1"/>
  <c r="A2316" i="3" a="1"/>
  <c r="A2315" i="3" a="1"/>
  <c r="A2314" i="3" a="1"/>
  <c r="A2313" i="3" a="1"/>
  <c r="A2312" i="3" a="1"/>
  <c r="A2311" i="3" a="1"/>
  <c r="A2310" i="3" a="1"/>
  <c r="A2309" i="3" a="1"/>
  <c r="A2308" i="3" a="1"/>
  <c r="A2307" i="3" a="1"/>
  <c r="A2306" i="3" a="1"/>
  <c r="A2305" i="3" a="1"/>
  <c r="A2304" i="3" a="1"/>
  <c r="A2303" i="3" a="1"/>
  <c r="A2302" i="3" a="1"/>
  <c r="A2301" i="3" a="1"/>
  <c r="A2300" i="3" a="1"/>
  <c r="A2299" i="3" a="1"/>
  <c r="A2298" i="3" a="1"/>
  <c r="A2297" i="3" a="1"/>
  <c r="A2296" i="3" a="1"/>
  <c r="A2295" i="3" a="1"/>
  <c r="A2294" i="3" a="1"/>
  <c r="A2293" i="3" a="1"/>
  <c r="A2292" i="3" a="1"/>
  <c r="A2291" i="3" a="1"/>
  <c r="A2290" i="3" a="1"/>
  <c r="A2289" i="3" a="1"/>
  <c r="A2288" i="3" a="1"/>
  <c r="A2287" i="3" a="1"/>
  <c r="A2286" i="3" a="1"/>
  <c r="A2285" i="3" a="1"/>
  <c r="A2284" i="3" a="1"/>
  <c r="A2283" i="3" a="1"/>
  <c r="A2282" i="3" a="1"/>
  <c r="A2281" i="3" a="1"/>
  <c r="A2280" i="3" a="1"/>
  <c r="A2279" i="3" a="1"/>
  <c r="A2278" i="3" a="1"/>
  <c r="A2277" i="3" a="1"/>
  <c r="A2276" i="3" a="1"/>
  <c r="A2275" i="3" a="1"/>
  <c r="A2274" i="3" a="1"/>
  <c r="A2273" i="3" a="1"/>
  <c r="A2272" i="3" a="1"/>
  <c r="A2271" i="3" a="1"/>
  <c r="A2270" i="3" a="1"/>
  <c r="A2269" i="3" a="1"/>
  <c r="A2268" i="3" a="1"/>
  <c r="A2267" i="3" a="1"/>
  <c r="A2266" i="3" a="1"/>
  <c r="A2265" i="3" a="1"/>
  <c r="A2264" i="3" a="1"/>
  <c r="A2263" i="3" a="1"/>
  <c r="A2262" i="3" a="1"/>
  <c r="A2261" i="3" a="1"/>
  <c r="A2260" i="3" a="1"/>
  <c r="A2259" i="3" a="1"/>
  <c r="A2258" i="3" a="1"/>
  <c r="A2257" i="3" a="1"/>
  <c r="A2256" i="3" a="1"/>
  <c r="A2255" i="3" a="1"/>
  <c r="A2254" i="3" a="1"/>
  <c r="A2253" i="3" a="1"/>
  <c r="A2252" i="3" a="1"/>
  <c r="A2251" i="3" a="1"/>
  <c r="A2250" i="3" a="1"/>
  <c r="A2249" i="3" a="1"/>
  <c r="A2248" i="3" a="1"/>
  <c r="A2247" i="3" a="1"/>
  <c r="A2246" i="3" a="1"/>
  <c r="A2245" i="3" a="1"/>
  <c r="A2244" i="3" a="1"/>
  <c r="A2243" i="3" a="1"/>
  <c r="A2242" i="3" a="1"/>
  <c r="A2241" i="3" a="1"/>
  <c r="A2240" i="3" a="1"/>
  <c r="A2239" i="3" a="1"/>
  <c r="A2238" i="3" a="1"/>
  <c r="A2237" i="3" a="1"/>
  <c r="A2236" i="3" a="1"/>
  <c r="A2235" i="3" a="1"/>
  <c r="A2234" i="3" a="1"/>
  <c r="A2233" i="3" a="1"/>
  <c r="A2232" i="3" a="1"/>
  <c r="A2231" i="3" a="1"/>
  <c r="A2230" i="3" a="1"/>
  <c r="A2229" i="3" a="1"/>
  <c r="A2228" i="3" a="1"/>
  <c r="A2227" i="3" a="1"/>
  <c r="A2226" i="3" a="1"/>
  <c r="A2225" i="3" a="1"/>
  <c r="A2224" i="3" a="1"/>
  <c r="A2223" i="3" a="1"/>
  <c r="A2222" i="3" a="1"/>
  <c r="A2221" i="3" a="1"/>
  <c r="A2220" i="3" a="1"/>
  <c r="A2219" i="3" a="1"/>
  <c r="A2218" i="3" a="1"/>
  <c r="A2217" i="3" a="1"/>
  <c r="A2216" i="3" a="1"/>
  <c r="A2215" i="3" a="1"/>
  <c r="A2214" i="3" a="1"/>
  <c r="A2213" i="3" a="1"/>
  <c r="A2212" i="3" a="1"/>
  <c r="A2211" i="3" a="1"/>
  <c r="A2210" i="3" a="1"/>
  <c r="A2209" i="3" a="1"/>
  <c r="A2208" i="3" a="1"/>
  <c r="A2207" i="3" a="1"/>
  <c r="A2206" i="3" a="1"/>
  <c r="A2205" i="3" a="1"/>
  <c r="A2204" i="3" a="1"/>
  <c r="A2203" i="3" a="1"/>
  <c r="A2202" i="3" a="1"/>
  <c r="A2201" i="3" a="1"/>
  <c r="A2200" i="3" a="1"/>
  <c r="A2199" i="3" a="1"/>
  <c r="A2198" i="3" a="1"/>
  <c r="A2197" i="3" a="1"/>
  <c r="A2196" i="3" a="1"/>
  <c r="A2195" i="3" a="1"/>
  <c r="A2194" i="3" a="1"/>
  <c r="A2193" i="3" a="1"/>
  <c r="A2192" i="3" a="1"/>
  <c r="A2191" i="3" a="1"/>
  <c r="A2190" i="3" a="1"/>
  <c r="A2189" i="3" a="1"/>
  <c r="A2188" i="3" a="1"/>
  <c r="A2187" i="3" a="1"/>
  <c r="A2186" i="3" a="1"/>
  <c r="A2185" i="3" a="1"/>
  <c r="A2184" i="3" a="1"/>
  <c r="A2183" i="3" a="1"/>
  <c r="A2182" i="3" a="1"/>
  <c r="A2181" i="3" a="1"/>
  <c r="A2180" i="3" a="1"/>
  <c r="A2179" i="3" a="1"/>
  <c r="A2178" i="3" a="1"/>
  <c r="A2177" i="3" a="1"/>
  <c r="A2176" i="3" a="1"/>
  <c r="A2175" i="3" a="1"/>
  <c r="A2174" i="3" a="1"/>
  <c r="A2173" i="3" a="1"/>
  <c r="A2172" i="3" a="1"/>
  <c r="A2171" i="3" a="1"/>
  <c r="A2170" i="3" a="1"/>
  <c r="A2169" i="3" a="1"/>
  <c r="A2168" i="3" a="1"/>
  <c r="A2167" i="3" a="1"/>
  <c r="A2166" i="3" a="1"/>
  <c r="A2165" i="3" a="1"/>
  <c r="A2164" i="3" a="1"/>
  <c r="A2163" i="3" a="1"/>
  <c r="A2162" i="3" a="1"/>
  <c r="A2161" i="3" a="1"/>
  <c r="A2160" i="3" a="1"/>
  <c r="A2159" i="3" a="1"/>
  <c r="A2158" i="3" a="1"/>
  <c r="A2157" i="3" a="1"/>
  <c r="A2156" i="3" a="1"/>
  <c r="A2155" i="3" a="1"/>
  <c r="A2154" i="3" a="1"/>
  <c r="A2153" i="3" a="1"/>
  <c r="A2152" i="3" a="1"/>
  <c r="A2151" i="3" a="1"/>
  <c r="A2150" i="3" a="1"/>
  <c r="A2149" i="3" a="1"/>
  <c r="A2148" i="3" a="1"/>
  <c r="A2147" i="3" a="1"/>
  <c r="A2146" i="3" a="1"/>
  <c r="A2145" i="3" a="1"/>
  <c r="A2144" i="3" a="1"/>
  <c r="A2143" i="3" a="1"/>
  <c r="A2142" i="3" a="1"/>
  <c r="A2141" i="3" a="1"/>
  <c r="A2140" i="3" a="1"/>
  <c r="A2139" i="3" a="1"/>
  <c r="A2138" i="3" a="1"/>
  <c r="A2137" i="3" a="1"/>
  <c r="A2136" i="3" a="1"/>
  <c r="A2135" i="3" a="1"/>
  <c r="A2134" i="3" a="1"/>
  <c r="A2133" i="3" a="1"/>
  <c r="A2132" i="3" a="1"/>
  <c r="A2131" i="3" a="1"/>
  <c r="A2130" i="3" a="1"/>
  <c r="A2129" i="3" a="1"/>
  <c r="A2128" i="3" a="1"/>
  <c r="A2127" i="3" a="1"/>
  <c r="A2126" i="3" a="1"/>
  <c r="A2125" i="3" a="1"/>
  <c r="A2124" i="3" a="1"/>
  <c r="A2123" i="3" a="1"/>
  <c r="A2122" i="3" a="1"/>
  <c r="A2121" i="3" a="1"/>
  <c r="A2120" i="3" a="1"/>
  <c r="A2119" i="3" a="1"/>
  <c r="A2118" i="3" a="1"/>
  <c r="A2117" i="3" a="1"/>
  <c r="A2116" i="3" a="1"/>
  <c r="A2115" i="3" a="1"/>
  <c r="A2114" i="3" a="1"/>
  <c r="A2113" i="3" a="1"/>
  <c r="A2112" i="3" a="1"/>
  <c r="A2111" i="3" a="1"/>
  <c r="A2110" i="3" a="1"/>
  <c r="A2109" i="3" a="1"/>
  <c r="A2108" i="3" a="1"/>
  <c r="A2107" i="3" a="1"/>
  <c r="A2106" i="3" a="1"/>
  <c r="A2105" i="3" a="1"/>
  <c r="A2104" i="3" a="1"/>
  <c r="A2103" i="3" a="1"/>
  <c r="A2102" i="3" a="1"/>
  <c r="A2101" i="3" a="1"/>
  <c r="A2100" i="3" a="1"/>
  <c r="A2099" i="3" a="1"/>
  <c r="A2098" i="3" a="1"/>
  <c r="A2097" i="3" a="1"/>
  <c r="A2096" i="3" a="1"/>
  <c r="A2095" i="3" a="1"/>
  <c r="A2094" i="3" a="1"/>
  <c r="A2093" i="3" a="1"/>
  <c r="A2092" i="3" a="1"/>
  <c r="A2091" i="3" a="1"/>
  <c r="A2090" i="3" a="1"/>
  <c r="A2089" i="3" a="1"/>
  <c r="A2088" i="3" a="1"/>
  <c r="A2087" i="3" a="1"/>
  <c r="A2086" i="3" a="1"/>
  <c r="A2085" i="3" a="1"/>
  <c r="A2084" i="3" a="1"/>
  <c r="A2083" i="3" a="1"/>
  <c r="A2082" i="3" a="1"/>
  <c r="A2081" i="3" a="1"/>
  <c r="A2080" i="3" a="1"/>
  <c r="A2079" i="3" a="1"/>
  <c r="A2078" i="3" a="1"/>
  <c r="A2077" i="3" a="1"/>
  <c r="A2076" i="3" a="1"/>
  <c r="A2075" i="3" a="1"/>
  <c r="A2074" i="3" a="1"/>
  <c r="A2073" i="3" a="1"/>
  <c r="A2072" i="3" a="1"/>
  <c r="A2071" i="3" a="1"/>
  <c r="A2070" i="3" a="1"/>
  <c r="A2069" i="3" a="1"/>
  <c r="A2068" i="3" a="1"/>
  <c r="A2067" i="3" a="1"/>
  <c r="A2066" i="3" a="1"/>
  <c r="A2065" i="3" a="1"/>
  <c r="A2064" i="3" a="1"/>
  <c r="A2063" i="3" a="1"/>
  <c r="A2062" i="3" a="1"/>
  <c r="A2061" i="3" a="1"/>
  <c r="A2060" i="3" a="1"/>
  <c r="A2059" i="3" a="1"/>
  <c r="A2058" i="3" a="1"/>
  <c r="A2057" i="3" a="1"/>
  <c r="A2056" i="3" a="1"/>
  <c r="A2055" i="3" a="1"/>
  <c r="A2054" i="3" a="1"/>
  <c r="A2053" i="3" a="1"/>
  <c r="A2052" i="3" a="1"/>
  <c r="A2051" i="3" a="1"/>
  <c r="A2050" i="3" a="1"/>
  <c r="A2049" i="3" a="1"/>
  <c r="A2048" i="3" a="1"/>
  <c r="A2047" i="3" a="1"/>
  <c r="A2046" i="3" a="1"/>
  <c r="A2045" i="3" a="1"/>
  <c r="A2044" i="3" a="1"/>
  <c r="A2043" i="3" a="1"/>
  <c r="A2042" i="3" a="1"/>
  <c r="A2041" i="3" a="1"/>
  <c r="A2040" i="3" a="1"/>
  <c r="A2039" i="3" a="1"/>
  <c r="A2038" i="3" a="1"/>
  <c r="A2037" i="3" a="1"/>
  <c r="A2036" i="3" a="1"/>
  <c r="A2035" i="3" a="1"/>
  <c r="A2034" i="3" a="1"/>
  <c r="A2033" i="3" a="1"/>
  <c r="A2032" i="3" a="1"/>
  <c r="A2031" i="3" a="1"/>
  <c r="A2030" i="3" a="1"/>
  <c r="A2029" i="3" a="1"/>
  <c r="A2028" i="3" a="1"/>
  <c r="A2027" i="3" a="1"/>
  <c r="A2026" i="3" a="1"/>
  <c r="A2025" i="3" a="1"/>
  <c r="A2024" i="3" a="1"/>
  <c r="A2023" i="3" a="1"/>
  <c r="A2022" i="3" a="1"/>
  <c r="A2021" i="3" a="1"/>
  <c r="A2020" i="3" a="1"/>
  <c r="A2019" i="3" a="1"/>
  <c r="A2018" i="3" a="1"/>
  <c r="A2017" i="3" a="1"/>
  <c r="A2016" i="3" a="1"/>
  <c r="A2015" i="3" a="1"/>
  <c r="A2014" i="3" a="1"/>
  <c r="A2013" i="3" a="1"/>
  <c r="A2012" i="3" a="1"/>
  <c r="A2011" i="3" a="1"/>
  <c r="A2010" i="3" a="1"/>
  <c r="A2009" i="3" a="1"/>
  <c r="A2008" i="3" a="1"/>
  <c r="A2007" i="3" a="1"/>
  <c r="A2006" i="3" a="1"/>
  <c r="A2005" i="3" a="1"/>
  <c r="A2004" i="3" a="1"/>
  <c r="A2003" i="3" a="1"/>
  <c r="A2002" i="3" a="1"/>
  <c r="A2001" i="3" a="1"/>
  <c r="A2000" i="3" a="1"/>
  <c r="A1999" i="3" a="1"/>
  <c r="A1998" i="3" a="1"/>
  <c r="A1997" i="3" a="1"/>
  <c r="A1996" i="3" a="1"/>
  <c r="A1995" i="3" a="1"/>
  <c r="A1994" i="3" a="1"/>
  <c r="A1993" i="3" a="1"/>
  <c r="A1992" i="3" a="1"/>
  <c r="A1991" i="3" a="1"/>
  <c r="A1990" i="3" a="1"/>
  <c r="A1989" i="3" a="1"/>
  <c r="A1988" i="3" a="1"/>
  <c r="A1987" i="3" a="1"/>
  <c r="A1986" i="3" a="1"/>
  <c r="A1985" i="3" a="1"/>
  <c r="A1984" i="3" a="1"/>
  <c r="A1983" i="3" a="1"/>
  <c r="A1982" i="3" a="1"/>
  <c r="A1981" i="3" a="1"/>
  <c r="A1980" i="3" a="1"/>
  <c r="A1979" i="3" a="1"/>
  <c r="A1978" i="3" a="1"/>
  <c r="A1977" i="3" a="1"/>
  <c r="A1976" i="3" a="1"/>
  <c r="A1975" i="3" a="1"/>
  <c r="A1974" i="3" a="1"/>
  <c r="A1973" i="3" a="1"/>
  <c r="A1972" i="3" a="1"/>
  <c r="A1971" i="3" a="1"/>
  <c r="A1970" i="3" a="1"/>
  <c r="A1969" i="3" a="1"/>
  <c r="A1968" i="3" a="1"/>
  <c r="A1967" i="3" a="1"/>
  <c r="A1966" i="3" a="1"/>
  <c r="A1965" i="3" a="1"/>
  <c r="A1964" i="3" a="1"/>
  <c r="A1963" i="3" a="1"/>
  <c r="A1962" i="3" a="1"/>
  <c r="A1961" i="3" a="1"/>
  <c r="A1960" i="3" a="1"/>
  <c r="A1959" i="3" a="1"/>
  <c r="A1958" i="3" a="1"/>
  <c r="A1957" i="3" a="1"/>
  <c r="A1956" i="3" a="1"/>
  <c r="A1955" i="3" a="1"/>
  <c r="A1954" i="3" a="1"/>
  <c r="A1953" i="3" a="1"/>
  <c r="A1952" i="3" a="1"/>
  <c r="A1951" i="3" a="1"/>
  <c r="A1950" i="3" a="1"/>
  <c r="A1949" i="3" a="1"/>
  <c r="A1948" i="3" a="1"/>
  <c r="A1947" i="3" a="1"/>
  <c r="A1946" i="3" a="1"/>
  <c r="A1945" i="3" a="1"/>
  <c r="A1944" i="3" a="1"/>
  <c r="A1943" i="3" a="1"/>
  <c r="A1942" i="3" a="1"/>
  <c r="A1941" i="3" a="1"/>
  <c r="A1940" i="3" a="1"/>
  <c r="A1939" i="3" a="1"/>
  <c r="A1938" i="3" a="1"/>
  <c r="A1937" i="3" a="1"/>
  <c r="A1936" i="3" a="1"/>
  <c r="A1935" i="3" a="1"/>
  <c r="A1934" i="3" a="1"/>
  <c r="A1933" i="3" a="1"/>
  <c r="A1932" i="3" a="1"/>
  <c r="A1931" i="3" a="1"/>
  <c r="A1930" i="3" a="1"/>
  <c r="A1929" i="3" a="1"/>
  <c r="A1928" i="3" a="1"/>
  <c r="A1927" i="3" a="1"/>
  <c r="A1926" i="3" a="1"/>
  <c r="A1925" i="3" a="1"/>
  <c r="A1924" i="3" a="1"/>
  <c r="A1923" i="3" a="1"/>
  <c r="A1922" i="3" a="1"/>
  <c r="A1921" i="3" a="1"/>
  <c r="A1920" i="3" a="1"/>
  <c r="A1919" i="3" a="1"/>
  <c r="A1918" i="3" a="1"/>
  <c r="A1917" i="3" a="1"/>
  <c r="A1916" i="3" a="1"/>
  <c r="A1915" i="3" a="1"/>
  <c r="A1914" i="3" a="1"/>
  <c r="A1913" i="3" a="1"/>
  <c r="A1912" i="3" a="1"/>
  <c r="A1911" i="3" a="1"/>
  <c r="A1910" i="3" a="1"/>
  <c r="A1909" i="3" a="1"/>
  <c r="A1908" i="3" a="1"/>
  <c r="A1907" i="3" a="1"/>
  <c r="A1906" i="3" a="1"/>
  <c r="A1905" i="3" a="1"/>
  <c r="A1904" i="3" a="1"/>
  <c r="A1903" i="3" a="1"/>
  <c r="A1902" i="3" a="1"/>
  <c r="A1901" i="3" a="1"/>
  <c r="A1900" i="3" a="1"/>
  <c r="A1899" i="3" a="1"/>
  <c r="A1898" i="3" a="1"/>
  <c r="A1897" i="3" a="1"/>
  <c r="A1896" i="3" a="1"/>
  <c r="A1895" i="3" a="1"/>
  <c r="A1894" i="3" a="1"/>
  <c r="A1893" i="3" a="1"/>
  <c r="A1892" i="3" a="1"/>
  <c r="A1891" i="3" a="1"/>
  <c r="A1890" i="3" a="1"/>
  <c r="A1889" i="3" a="1"/>
  <c r="A1888" i="3" a="1"/>
  <c r="A1887" i="3" a="1"/>
  <c r="A1886" i="3" a="1"/>
  <c r="A1885" i="3" a="1"/>
  <c r="A1884" i="3" a="1"/>
  <c r="A1883" i="3" a="1"/>
  <c r="A1882" i="3" a="1"/>
  <c r="A1881" i="3" a="1"/>
  <c r="A1880" i="3" a="1"/>
  <c r="A1879" i="3" a="1"/>
  <c r="A1878" i="3" a="1"/>
  <c r="A1877" i="3" a="1"/>
  <c r="A1876" i="3" a="1"/>
  <c r="A1875" i="3" a="1"/>
  <c r="A1874" i="3" a="1"/>
  <c r="A1873" i="3" a="1"/>
  <c r="A1872" i="3" a="1"/>
  <c r="A1871" i="3" a="1"/>
  <c r="A1870" i="3" a="1"/>
  <c r="A1869" i="3" a="1"/>
  <c r="A1868" i="3" a="1"/>
  <c r="A1867" i="3" a="1"/>
  <c r="A1866" i="3" a="1"/>
  <c r="A1865" i="3" a="1"/>
  <c r="A1864" i="3" a="1"/>
  <c r="A1863" i="3" a="1"/>
  <c r="A1862" i="3" a="1"/>
  <c r="A1861" i="3" a="1"/>
  <c r="A1860" i="3" a="1"/>
  <c r="A1859" i="3" a="1"/>
  <c r="A1858" i="3" a="1"/>
  <c r="A1857" i="3" a="1"/>
  <c r="A1856" i="3" a="1"/>
  <c r="A1855" i="3" a="1"/>
  <c r="A1854" i="3" a="1"/>
  <c r="A1853" i="3" a="1"/>
  <c r="A1852" i="3" a="1"/>
  <c r="A1851" i="3" a="1"/>
  <c r="A1850" i="3" a="1"/>
  <c r="A1849" i="3" a="1"/>
  <c r="A1848" i="3" a="1"/>
  <c r="A1847" i="3" a="1"/>
  <c r="A1846" i="3" a="1"/>
  <c r="A1845" i="3" a="1"/>
  <c r="A1844" i="3" a="1"/>
  <c r="A1843" i="3" a="1"/>
  <c r="A1842" i="3" a="1"/>
  <c r="A1841" i="3" a="1"/>
  <c r="A1840" i="3" a="1"/>
  <c r="A1839" i="3" a="1"/>
  <c r="A1838" i="3" a="1"/>
  <c r="A1837" i="3" a="1"/>
  <c r="A1836" i="3" a="1"/>
  <c r="A1835" i="3" a="1"/>
  <c r="A1834" i="3" a="1"/>
  <c r="A1833" i="3" a="1"/>
  <c r="A1832" i="3" a="1"/>
  <c r="A1831" i="3" a="1"/>
  <c r="A1830" i="3" a="1"/>
  <c r="A1829" i="3" a="1"/>
  <c r="A1828" i="3" a="1"/>
  <c r="A1827" i="3" a="1"/>
  <c r="A1826" i="3" a="1"/>
  <c r="A1825" i="3" a="1"/>
  <c r="A1824" i="3" a="1"/>
  <c r="A1823" i="3" a="1"/>
  <c r="A1822" i="3" a="1"/>
  <c r="A1821" i="3" a="1"/>
  <c r="A1820" i="3" a="1"/>
  <c r="A1819" i="3" a="1"/>
  <c r="A1818" i="3" a="1"/>
  <c r="A1817" i="3" a="1"/>
  <c r="A1816" i="3" a="1"/>
  <c r="A1815" i="3" a="1"/>
  <c r="A1814" i="3" a="1"/>
  <c r="A1813" i="3" a="1"/>
  <c r="A1812" i="3" a="1"/>
  <c r="A1811" i="3" a="1"/>
  <c r="A1810" i="3" a="1"/>
  <c r="A1809" i="3" a="1"/>
  <c r="A1808" i="3" a="1"/>
  <c r="A1807" i="3" a="1"/>
  <c r="A1806" i="3" a="1"/>
  <c r="A1805" i="3" a="1"/>
  <c r="A1804" i="3" a="1"/>
  <c r="A1803" i="3" a="1"/>
  <c r="A1802" i="3" a="1"/>
  <c r="A1801" i="3" a="1"/>
  <c r="A1800" i="3" a="1"/>
  <c r="A1799" i="3" a="1"/>
  <c r="A1798" i="3" a="1"/>
  <c r="A1797" i="3" a="1"/>
  <c r="A1796" i="3" a="1"/>
  <c r="A1795" i="3" a="1"/>
  <c r="A1794" i="3" a="1"/>
  <c r="A1793" i="3" a="1"/>
  <c r="A1792" i="3" a="1"/>
  <c r="A1791" i="3" a="1"/>
  <c r="A1790" i="3" a="1"/>
  <c r="A1789" i="3" a="1"/>
  <c r="A1788" i="3" a="1"/>
  <c r="A1787" i="3" a="1"/>
  <c r="A1786" i="3" a="1"/>
  <c r="A1785" i="3" a="1"/>
  <c r="A1784" i="3" a="1"/>
  <c r="A1783" i="3" a="1"/>
  <c r="A1782" i="3" a="1"/>
  <c r="A1781" i="3" a="1"/>
  <c r="A1780" i="3" a="1"/>
  <c r="A1779" i="3" a="1"/>
  <c r="A1778" i="3" a="1"/>
  <c r="A1777" i="3" a="1"/>
  <c r="A1776" i="3" a="1"/>
  <c r="A1775" i="3" a="1"/>
  <c r="A1774" i="3" a="1"/>
  <c r="A1773" i="3" a="1"/>
  <c r="A1772" i="3" a="1"/>
  <c r="A1771" i="3" a="1"/>
  <c r="A1770" i="3" a="1"/>
  <c r="A1769" i="3" a="1"/>
  <c r="A1768" i="3" a="1"/>
  <c r="A1767" i="3" a="1"/>
  <c r="A1766" i="3" a="1"/>
  <c r="A1765" i="3" a="1"/>
  <c r="A1764" i="3" a="1"/>
  <c r="A1763" i="3" a="1"/>
  <c r="A1762" i="3" a="1"/>
  <c r="A1761" i="3" a="1"/>
  <c r="A1760" i="3" a="1"/>
  <c r="A1759" i="3" a="1"/>
  <c r="A1758" i="3" a="1"/>
  <c r="A1757" i="3" a="1"/>
  <c r="A1756" i="3" a="1"/>
  <c r="A1755" i="3" a="1"/>
  <c r="A1754" i="3" a="1"/>
  <c r="A1753" i="3" a="1"/>
  <c r="A1752" i="3" a="1"/>
  <c r="A1751" i="3" a="1"/>
  <c r="A1750" i="3" a="1"/>
  <c r="A1749" i="3" a="1"/>
  <c r="A1748" i="3" a="1"/>
  <c r="A1747" i="3" a="1"/>
  <c r="A1746" i="3" a="1"/>
  <c r="A1745" i="3" a="1"/>
  <c r="A1744" i="3" a="1"/>
  <c r="A1743" i="3" a="1"/>
  <c r="A1742" i="3" a="1"/>
  <c r="A1741" i="3" a="1"/>
  <c r="A1740" i="3" a="1"/>
  <c r="A1739" i="3" a="1"/>
  <c r="A1738" i="3" a="1"/>
  <c r="A1737" i="3" a="1"/>
  <c r="A1736" i="3" a="1"/>
  <c r="A1735" i="3" a="1"/>
  <c r="A1734" i="3" a="1"/>
  <c r="A1733" i="3" a="1"/>
  <c r="A1732" i="3" a="1"/>
  <c r="A1731" i="3" a="1"/>
  <c r="A1730" i="3" a="1"/>
  <c r="A1729" i="3" a="1"/>
  <c r="A1728" i="3" a="1"/>
  <c r="A1727" i="3" a="1"/>
  <c r="A1726" i="3" a="1"/>
  <c r="A1725" i="3" a="1"/>
  <c r="A1724" i="3" a="1"/>
  <c r="A1723" i="3" a="1"/>
  <c r="A1722" i="3" a="1"/>
  <c r="A1721" i="3" a="1"/>
  <c r="A1720" i="3" a="1"/>
  <c r="A1719" i="3" a="1"/>
  <c r="A1718" i="3" a="1"/>
  <c r="A1717" i="3" a="1"/>
  <c r="A1716" i="3" a="1"/>
  <c r="A1715" i="3" a="1"/>
  <c r="A1714" i="3" a="1"/>
  <c r="A1713" i="3" a="1"/>
  <c r="A1712" i="3" a="1"/>
  <c r="A1711" i="3" a="1"/>
  <c r="A1710" i="3" a="1"/>
  <c r="A1709" i="3" a="1"/>
  <c r="A1708" i="3" a="1"/>
  <c r="A1707" i="3" a="1"/>
  <c r="A1706" i="3" a="1"/>
  <c r="A1705" i="3" a="1"/>
  <c r="A1704" i="3" a="1"/>
  <c r="A1703" i="3" a="1"/>
  <c r="A1702" i="3" a="1"/>
  <c r="A1701" i="3" a="1"/>
  <c r="A1700" i="3" a="1"/>
  <c r="A1699" i="3" a="1"/>
  <c r="A1698" i="3" a="1"/>
  <c r="A1697" i="3" a="1"/>
  <c r="A1696" i="3" a="1"/>
  <c r="A1695" i="3" a="1"/>
  <c r="A1694" i="3" a="1"/>
  <c r="A1693" i="3" a="1"/>
  <c r="A1692" i="3" a="1"/>
  <c r="A1691" i="3" a="1"/>
  <c r="A1690" i="3" a="1"/>
  <c r="A1689" i="3" a="1"/>
  <c r="A1688" i="3" a="1"/>
  <c r="A1687" i="3" a="1"/>
  <c r="A1686" i="3" a="1"/>
  <c r="A1685" i="3" a="1"/>
  <c r="A1684" i="3" a="1"/>
  <c r="A1683" i="3" a="1"/>
  <c r="A1682" i="3" a="1"/>
  <c r="A1681" i="3" a="1"/>
  <c r="A1680" i="3" a="1"/>
  <c r="A1679" i="3" a="1"/>
  <c r="A1678" i="3" a="1"/>
  <c r="A1677" i="3" a="1"/>
  <c r="A1676" i="3" a="1"/>
  <c r="A1675" i="3" a="1"/>
  <c r="A1674" i="3" a="1"/>
  <c r="A1673" i="3" a="1"/>
  <c r="A1672" i="3" a="1"/>
  <c r="A1671" i="3" a="1"/>
  <c r="A1670" i="3" a="1"/>
  <c r="A1669" i="3" a="1"/>
  <c r="A1668" i="3" a="1"/>
  <c r="A1667" i="3" a="1"/>
  <c r="A1666" i="3" a="1"/>
  <c r="A1665" i="3" a="1"/>
  <c r="A1664" i="3" a="1"/>
  <c r="A1663" i="3" a="1"/>
  <c r="A1662" i="3" a="1"/>
  <c r="A1661" i="3" a="1"/>
  <c r="A1660" i="3" a="1"/>
  <c r="A1659" i="3" a="1"/>
  <c r="A1658" i="3" a="1"/>
  <c r="A1657" i="3" a="1"/>
  <c r="A1656" i="3" a="1"/>
  <c r="A1655" i="3" a="1"/>
  <c r="A1654" i="3" a="1"/>
  <c r="A1653" i="3" a="1"/>
  <c r="A1652" i="3" a="1"/>
  <c r="A1651" i="3" a="1"/>
  <c r="A1650" i="3" a="1"/>
  <c r="A1649" i="3" a="1"/>
  <c r="A1648" i="3" a="1"/>
  <c r="A1647" i="3" a="1"/>
  <c r="A1646" i="3" a="1"/>
  <c r="A1645" i="3" a="1"/>
  <c r="A1644" i="3" a="1"/>
  <c r="A1643" i="3" a="1"/>
  <c r="A1642" i="3" a="1"/>
  <c r="A1641" i="3" a="1"/>
  <c r="A1640" i="3" a="1"/>
  <c r="A1639" i="3" a="1"/>
  <c r="A1638" i="3" a="1"/>
  <c r="A1637" i="3" a="1"/>
  <c r="A1636" i="3" a="1"/>
  <c r="A1635" i="3" a="1"/>
  <c r="A1634" i="3" a="1"/>
  <c r="A1633" i="3" a="1"/>
  <c r="A1632" i="3" a="1"/>
  <c r="A1631" i="3" a="1"/>
  <c r="A1630" i="3" a="1"/>
  <c r="A1629" i="3" a="1"/>
  <c r="A1628" i="3" a="1"/>
  <c r="A1627" i="3" a="1"/>
  <c r="A1626" i="3" a="1"/>
  <c r="A1625" i="3" a="1"/>
  <c r="A1624" i="3" a="1"/>
  <c r="A1623" i="3" a="1"/>
  <c r="A1622" i="3" a="1"/>
  <c r="A1621" i="3" a="1"/>
  <c r="A1620" i="3" a="1"/>
  <c r="A1619" i="3" a="1"/>
  <c r="A1618" i="3" a="1"/>
  <c r="A1617" i="3" a="1"/>
  <c r="A1616" i="3" a="1"/>
  <c r="A1615" i="3" a="1"/>
  <c r="A1614" i="3" a="1"/>
  <c r="A1613" i="3" a="1"/>
  <c r="A1612" i="3" a="1"/>
  <c r="A1611" i="3" a="1"/>
  <c r="A1610" i="3" a="1"/>
  <c r="A1609" i="3" a="1"/>
  <c r="A1608" i="3" a="1"/>
  <c r="A1607" i="3" a="1"/>
  <c r="A1606" i="3" a="1"/>
  <c r="A1605" i="3" a="1"/>
  <c r="A1604" i="3" a="1"/>
  <c r="A1603" i="3" a="1"/>
  <c r="A1602" i="3" a="1"/>
  <c r="A1601" i="3" a="1"/>
  <c r="A1600" i="3" a="1"/>
  <c r="A1599" i="3" a="1"/>
  <c r="A1598" i="3" a="1"/>
  <c r="A1597" i="3" a="1"/>
  <c r="A1596" i="3" a="1"/>
  <c r="A1595" i="3" a="1"/>
  <c r="A1594" i="3" a="1"/>
  <c r="A1593" i="3" a="1"/>
  <c r="A1592" i="3" a="1"/>
  <c r="A1591" i="3" a="1"/>
  <c r="A1590" i="3" a="1"/>
  <c r="A1589" i="3" a="1"/>
  <c r="A1588" i="3" a="1"/>
  <c r="A1587" i="3" a="1"/>
  <c r="A1586" i="3" a="1"/>
  <c r="A1585" i="3" a="1"/>
  <c r="A1584" i="3" a="1"/>
  <c r="A1583" i="3" a="1"/>
  <c r="A1582" i="3" a="1"/>
  <c r="A1581" i="3" a="1"/>
  <c r="A1580" i="3" a="1"/>
  <c r="A1579" i="3" a="1"/>
  <c r="A1578" i="3" a="1"/>
  <c r="A1577" i="3" a="1"/>
  <c r="A1576" i="3" a="1"/>
  <c r="A1575" i="3" a="1"/>
  <c r="A1574" i="3" a="1"/>
  <c r="A1573" i="3" a="1"/>
  <c r="A1572" i="3" a="1"/>
  <c r="A1571" i="3" a="1"/>
  <c r="A1570" i="3" a="1"/>
  <c r="A1569" i="3" a="1"/>
  <c r="A1568" i="3" a="1"/>
  <c r="A1567" i="3" a="1"/>
  <c r="A1566" i="3" a="1"/>
  <c r="A1565" i="3" a="1"/>
  <c r="A1564" i="3" a="1"/>
  <c r="A1563" i="3" a="1"/>
  <c r="A1562" i="3" a="1"/>
  <c r="A1561" i="3" a="1"/>
  <c r="A1560" i="3" a="1"/>
  <c r="A1559" i="3" a="1"/>
  <c r="A1558" i="3" a="1"/>
  <c r="A1557" i="3" a="1"/>
  <c r="A1556" i="3" a="1"/>
  <c r="A1555" i="3" a="1"/>
  <c r="A1554" i="3" a="1"/>
  <c r="A1553" i="3" a="1"/>
  <c r="A1552" i="3" a="1"/>
  <c r="A1551" i="3" a="1"/>
  <c r="A1550" i="3" a="1"/>
  <c r="A1549" i="3" a="1"/>
  <c r="A1548" i="3" a="1"/>
  <c r="A1547" i="3" a="1"/>
  <c r="A1546" i="3" a="1"/>
  <c r="A1545" i="3" a="1"/>
  <c r="A1544" i="3" a="1"/>
  <c r="A1543" i="3" a="1"/>
  <c r="A1542" i="3" a="1"/>
  <c r="A1541" i="3" a="1"/>
  <c r="A1540" i="3" a="1"/>
  <c r="A1539" i="3" a="1"/>
  <c r="A1538" i="3" a="1"/>
  <c r="A1537" i="3" a="1"/>
  <c r="A1536" i="3" a="1"/>
  <c r="A1535" i="3" a="1"/>
  <c r="A1534" i="3" a="1"/>
  <c r="A1533" i="3" a="1"/>
  <c r="A1532" i="3" a="1"/>
  <c r="A1531" i="3" a="1"/>
  <c r="A1530" i="3" a="1"/>
  <c r="A1529" i="3" a="1"/>
  <c r="A1528" i="3" a="1"/>
  <c r="A1527" i="3" a="1"/>
  <c r="A1526" i="3" a="1"/>
  <c r="A1525" i="3" a="1"/>
  <c r="A1524" i="3" a="1"/>
  <c r="A1523" i="3" a="1"/>
  <c r="A1522" i="3" a="1"/>
  <c r="A1521" i="3" a="1"/>
  <c r="A1520" i="3" a="1"/>
  <c r="A1519" i="3" a="1"/>
  <c r="A1518" i="3" a="1"/>
  <c r="A1517" i="3" a="1"/>
  <c r="A1516" i="3" a="1"/>
  <c r="A1515" i="3" a="1"/>
  <c r="A1514" i="3" a="1"/>
  <c r="A1513" i="3" a="1"/>
  <c r="A1512" i="3" a="1"/>
  <c r="A1511" i="3" a="1"/>
  <c r="A1510" i="3" a="1"/>
  <c r="A1509" i="3" a="1"/>
  <c r="A1508" i="3" a="1"/>
  <c r="A1507" i="3" a="1"/>
  <c r="A1506" i="3" a="1"/>
  <c r="A1505" i="3" a="1"/>
  <c r="A1504" i="3" a="1"/>
  <c r="A1503" i="3" a="1"/>
  <c r="A1502" i="3" a="1"/>
  <c r="A1501" i="3" a="1"/>
  <c r="A1500" i="3" a="1"/>
  <c r="A1499" i="3" a="1"/>
  <c r="A1498" i="3" a="1"/>
  <c r="A1497" i="3" a="1"/>
  <c r="A1496" i="3" a="1"/>
  <c r="A1495" i="3" a="1"/>
  <c r="A1494" i="3" a="1"/>
  <c r="A1493" i="3" a="1"/>
  <c r="A1492" i="3" a="1"/>
  <c r="A1491" i="3" a="1"/>
  <c r="A1490" i="3" a="1"/>
  <c r="A1489" i="3" a="1"/>
  <c r="A1488" i="3" a="1"/>
  <c r="A1487" i="3" a="1"/>
  <c r="A1486" i="3" a="1"/>
  <c r="A1485" i="3" a="1"/>
  <c r="A1484" i="3" a="1"/>
  <c r="A1483" i="3" a="1"/>
  <c r="A1482" i="3" a="1"/>
  <c r="A1481" i="3" a="1"/>
  <c r="A1480" i="3" a="1"/>
  <c r="A1479" i="3" a="1"/>
  <c r="A1478" i="3" a="1"/>
  <c r="A1477" i="3" a="1"/>
  <c r="A1476" i="3" a="1"/>
  <c r="A1475" i="3" a="1"/>
  <c r="A1474" i="3" a="1"/>
  <c r="A1473" i="3" a="1"/>
  <c r="A1472" i="3" a="1"/>
  <c r="A1471" i="3" a="1"/>
  <c r="A1470" i="3" a="1"/>
  <c r="A1469" i="3" a="1"/>
  <c r="A1468" i="3" a="1"/>
  <c r="A1467" i="3" a="1"/>
  <c r="A1466" i="3" a="1"/>
  <c r="A1465" i="3" a="1"/>
  <c r="A1464" i="3" a="1"/>
  <c r="A1463" i="3" a="1"/>
  <c r="A1462" i="3" a="1"/>
  <c r="A1461" i="3" a="1"/>
  <c r="A1460" i="3" a="1"/>
  <c r="A1459" i="3" a="1"/>
  <c r="A1458" i="3" a="1"/>
  <c r="A1457" i="3" a="1"/>
  <c r="A1456" i="3" a="1"/>
  <c r="A1455" i="3" a="1"/>
  <c r="A1454" i="3" a="1"/>
  <c r="A1453" i="3" a="1"/>
  <c r="A1452" i="3" a="1"/>
  <c r="A1451" i="3" a="1"/>
  <c r="A1450" i="3" a="1"/>
  <c r="A1449" i="3" a="1"/>
  <c r="A1448" i="3" a="1"/>
  <c r="A1447" i="3" a="1"/>
  <c r="A1446" i="3" a="1"/>
  <c r="A1445" i="3" a="1"/>
  <c r="A1444" i="3" a="1"/>
  <c r="A1443" i="3" a="1"/>
  <c r="A1442" i="3" a="1"/>
  <c r="A1441" i="3" a="1"/>
  <c r="A1440" i="3" a="1"/>
  <c r="A1439" i="3" a="1"/>
  <c r="A1438" i="3" a="1"/>
  <c r="A1437" i="3" a="1"/>
  <c r="A1436" i="3" a="1"/>
  <c r="A1435" i="3" a="1"/>
  <c r="A1434" i="3" a="1"/>
  <c r="A1433" i="3" a="1"/>
  <c r="A1432" i="3" a="1"/>
  <c r="A1431" i="3" a="1"/>
  <c r="A1430" i="3" a="1"/>
  <c r="A1429" i="3" a="1"/>
  <c r="A1428" i="3" a="1"/>
  <c r="A1427" i="3" a="1"/>
  <c r="A1426" i="3" a="1"/>
  <c r="A1425" i="3" a="1"/>
  <c r="A1424" i="3" a="1"/>
  <c r="A1423" i="3" a="1"/>
  <c r="A1422" i="3" a="1"/>
  <c r="A1421" i="3" a="1"/>
  <c r="A1420" i="3" a="1"/>
  <c r="A1419" i="3" a="1"/>
  <c r="A1418" i="3" a="1"/>
  <c r="A1417" i="3" a="1"/>
  <c r="A1416" i="3" a="1"/>
  <c r="A1415" i="3" a="1"/>
  <c r="A1414" i="3" a="1"/>
  <c r="A1413" i="3" a="1"/>
  <c r="A1412" i="3" a="1"/>
  <c r="A1411" i="3" a="1"/>
  <c r="A1410" i="3" a="1"/>
  <c r="A1409" i="3" a="1"/>
  <c r="A1408" i="3" a="1"/>
  <c r="A1407" i="3" a="1"/>
  <c r="A1406" i="3" a="1"/>
  <c r="A1405" i="3" a="1"/>
  <c r="A1404" i="3" a="1"/>
  <c r="A1403" i="3" a="1"/>
  <c r="A1402" i="3" a="1"/>
  <c r="A1401" i="3" a="1"/>
  <c r="A1400" i="3" a="1"/>
  <c r="A1399" i="3" a="1"/>
  <c r="A1398" i="3" a="1"/>
  <c r="A1397" i="3" a="1"/>
  <c r="A1396" i="3" a="1"/>
  <c r="A1395" i="3" a="1"/>
  <c r="A1394" i="3" a="1"/>
  <c r="A1393" i="3" a="1"/>
  <c r="A1392" i="3" a="1"/>
  <c r="A1391" i="3" a="1"/>
  <c r="A1390" i="3" a="1"/>
  <c r="A1389" i="3" a="1"/>
  <c r="A1388" i="3" a="1"/>
  <c r="A1387" i="3" a="1"/>
  <c r="A1386" i="3" a="1"/>
  <c r="A1385" i="3" a="1"/>
  <c r="A1384" i="3" a="1"/>
  <c r="A1383" i="3" a="1"/>
  <c r="A1382" i="3" a="1"/>
  <c r="A1381" i="3" a="1"/>
  <c r="A1380" i="3" a="1"/>
  <c r="A1379" i="3" a="1"/>
  <c r="A1378" i="3" a="1"/>
  <c r="A1377" i="3" a="1"/>
  <c r="A1376" i="3" a="1"/>
  <c r="A1375" i="3" a="1"/>
  <c r="A1374" i="3" a="1"/>
  <c r="A1373" i="3" a="1"/>
  <c r="A1372" i="3" a="1"/>
  <c r="A1371" i="3" a="1"/>
  <c r="A1370" i="3" a="1"/>
  <c r="A1369" i="3" a="1"/>
  <c r="A1368" i="3" a="1"/>
  <c r="A1367" i="3" a="1"/>
  <c r="A1366" i="3" a="1"/>
  <c r="A1365" i="3" a="1"/>
  <c r="A1364" i="3" a="1"/>
  <c r="A1363" i="3" a="1"/>
  <c r="A1362" i="3" a="1"/>
  <c r="A1361" i="3" a="1"/>
  <c r="A1360" i="3" a="1"/>
  <c r="A1359" i="3" a="1"/>
  <c r="A1358" i="3" a="1"/>
  <c r="A1357" i="3" a="1"/>
  <c r="A1356" i="3" a="1"/>
  <c r="A1355" i="3" a="1"/>
  <c r="A1354" i="3" a="1"/>
  <c r="A1353" i="3" a="1"/>
  <c r="A1352" i="3" a="1"/>
  <c r="A1351" i="3" a="1"/>
  <c r="A1350" i="3" a="1"/>
  <c r="A1349" i="3" a="1"/>
  <c r="A1348" i="3" a="1"/>
  <c r="A1347" i="3" a="1"/>
  <c r="A1346" i="3" a="1"/>
  <c r="A1345" i="3" a="1"/>
  <c r="A1344" i="3" a="1"/>
  <c r="A1343" i="3" a="1"/>
  <c r="A1342" i="3" a="1"/>
  <c r="A1341" i="3" a="1"/>
  <c r="A1340" i="3" a="1"/>
  <c r="A1339" i="3" a="1"/>
  <c r="A1338" i="3" a="1"/>
  <c r="A1337" i="3" a="1"/>
  <c r="A1336" i="3" a="1"/>
  <c r="A1335" i="3" a="1"/>
  <c r="A1334" i="3" a="1"/>
  <c r="A1333" i="3" a="1"/>
  <c r="A1332" i="3" a="1"/>
  <c r="A1331" i="3" a="1"/>
  <c r="A1330" i="3" a="1"/>
  <c r="A1329" i="3" a="1"/>
  <c r="A1328" i="3" a="1"/>
  <c r="A1327" i="3" a="1"/>
  <c r="A1326" i="3" a="1"/>
  <c r="A1325" i="3" a="1"/>
  <c r="A1324" i="3" a="1"/>
  <c r="A1323" i="3" a="1"/>
  <c r="A1322" i="3" a="1"/>
  <c r="A1321" i="3" a="1"/>
  <c r="A1320" i="3" a="1"/>
  <c r="A1319" i="3" a="1"/>
  <c r="A1318" i="3" a="1"/>
  <c r="A1317" i="3" a="1"/>
  <c r="A1316" i="3" a="1"/>
  <c r="A1315" i="3" a="1"/>
  <c r="A1314" i="3" a="1"/>
  <c r="A1313" i="3" a="1"/>
  <c r="A1312" i="3" a="1"/>
  <c r="A1311" i="3" a="1"/>
  <c r="A1310" i="3" a="1"/>
  <c r="A1309" i="3" a="1"/>
  <c r="A1308" i="3" a="1"/>
  <c r="A1307" i="3" a="1"/>
  <c r="A1306" i="3" a="1"/>
  <c r="A1305" i="3" a="1"/>
  <c r="A1304" i="3" a="1"/>
  <c r="A1303" i="3" a="1"/>
  <c r="A1302" i="3" a="1"/>
  <c r="A1301" i="3" a="1"/>
  <c r="A1300" i="3" a="1"/>
  <c r="A1299" i="3" a="1"/>
  <c r="A1298" i="3" a="1"/>
  <c r="A1297" i="3" a="1"/>
  <c r="A1296" i="3" a="1"/>
  <c r="A1295" i="3" a="1"/>
  <c r="A1294" i="3" a="1"/>
  <c r="A1293" i="3" a="1"/>
  <c r="A1292" i="3" a="1"/>
  <c r="A1291" i="3" a="1"/>
  <c r="A1290" i="3" a="1"/>
  <c r="A1289" i="3" a="1"/>
  <c r="A1288" i="3" a="1"/>
  <c r="A1287" i="3" a="1"/>
  <c r="A1286" i="3" a="1"/>
  <c r="A1285" i="3" a="1"/>
  <c r="A1284" i="3" a="1"/>
  <c r="A1283" i="3" a="1"/>
  <c r="A1282" i="3" a="1"/>
  <c r="A1281" i="3" a="1"/>
  <c r="A1280" i="3" a="1"/>
  <c r="A1279" i="3" a="1"/>
  <c r="A1278" i="3" a="1"/>
  <c r="A1277" i="3" a="1"/>
  <c r="A1276" i="3" a="1"/>
  <c r="A1275" i="3" a="1"/>
  <c r="A1274" i="3" a="1"/>
  <c r="A1273" i="3" a="1"/>
  <c r="A1272" i="3" a="1"/>
  <c r="A1271" i="3" a="1"/>
  <c r="A1270" i="3" a="1"/>
  <c r="A1269" i="3" a="1"/>
  <c r="A1268" i="3" a="1"/>
  <c r="A1267" i="3" a="1"/>
  <c r="A1266" i="3" a="1"/>
  <c r="A1265" i="3" a="1"/>
  <c r="A1264" i="3" a="1"/>
  <c r="A1263" i="3" a="1"/>
  <c r="A1262" i="3" a="1"/>
  <c r="A1261" i="3" a="1"/>
  <c r="A1260" i="3" a="1"/>
  <c r="A1259" i="3" a="1"/>
  <c r="A1258" i="3" a="1"/>
  <c r="A1257" i="3" a="1"/>
  <c r="A1256" i="3" a="1"/>
  <c r="A1255" i="3" a="1"/>
  <c r="A1254" i="3" a="1"/>
  <c r="A1253" i="3" a="1"/>
  <c r="A1252" i="3" a="1"/>
  <c r="A1251" i="3" a="1"/>
  <c r="A1250" i="3" a="1"/>
  <c r="A1249" i="3" a="1"/>
  <c r="A1248" i="3" a="1"/>
  <c r="A1247" i="3" a="1"/>
  <c r="A1246" i="3" a="1"/>
  <c r="A1245" i="3" a="1"/>
  <c r="A1244" i="3" a="1"/>
  <c r="A1243" i="3" a="1"/>
  <c r="A1242" i="3" a="1"/>
  <c r="A1241" i="3" a="1"/>
  <c r="A1240" i="3" a="1"/>
  <c r="A1239" i="3" a="1"/>
  <c r="A1238" i="3" a="1"/>
  <c r="A1237" i="3" a="1"/>
  <c r="A1236" i="3" a="1"/>
  <c r="A1235" i="3" a="1"/>
  <c r="A1234" i="3" a="1"/>
  <c r="A1233" i="3" a="1"/>
  <c r="A1232" i="3" a="1"/>
  <c r="A1231" i="3" a="1"/>
  <c r="A1230" i="3" a="1"/>
  <c r="A1229" i="3" a="1"/>
  <c r="A1228" i="3" a="1"/>
  <c r="A1227" i="3" a="1"/>
  <c r="A1226" i="3" a="1"/>
  <c r="A1225" i="3" a="1"/>
  <c r="A1224" i="3" a="1"/>
  <c r="A1223" i="3" a="1"/>
  <c r="A1222" i="3" a="1"/>
  <c r="A1221" i="3" a="1"/>
  <c r="A1220" i="3" a="1"/>
  <c r="A1219" i="3" a="1"/>
  <c r="A1218" i="3" a="1"/>
  <c r="A1217" i="3" a="1"/>
  <c r="A1216" i="3" a="1"/>
  <c r="A1215" i="3" a="1"/>
  <c r="A1214" i="3" a="1"/>
  <c r="A1213" i="3" a="1"/>
  <c r="A1212" i="3" a="1"/>
  <c r="A1211" i="3" a="1"/>
  <c r="A1210" i="3" a="1"/>
  <c r="A1209" i="3" a="1"/>
  <c r="A1208" i="3" a="1"/>
  <c r="A1207" i="3" a="1"/>
  <c r="A1206" i="3" a="1"/>
  <c r="A1205" i="3" a="1"/>
  <c r="A1204" i="3" a="1"/>
  <c r="A1203" i="3" a="1"/>
  <c r="A1202" i="3" a="1"/>
  <c r="A1201" i="3" a="1"/>
  <c r="A1200" i="3" a="1"/>
  <c r="A1199" i="3" a="1"/>
  <c r="A1198" i="3" a="1"/>
  <c r="A1197" i="3" a="1"/>
  <c r="A1196" i="3" a="1"/>
  <c r="A1195" i="3" a="1"/>
  <c r="A1194" i="3" a="1"/>
  <c r="A1193" i="3" a="1"/>
  <c r="A1192" i="3" a="1"/>
  <c r="A1191" i="3" a="1"/>
  <c r="A1190" i="3" a="1"/>
  <c r="A1189" i="3" a="1"/>
  <c r="A1188" i="3" a="1"/>
  <c r="A1187" i="3" a="1"/>
  <c r="A1186" i="3" a="1"/>
  <c r="A1185" i="3" a="1"/>
  <c r="A1184" i="3" a="1"/>
  <c r="A1183" i="3" a="1"/>
  <c r="A1182" i="3" a="1"/>
  <c r="A1181" i="3" a="1"/>
  <c r="A1180" i="3" a="1"/>
  <c r="A1179" i="3" a="1"/>
  <c r="A1178" i="3" a="1"/>
  <c r="A1177" i="3" a="1"/>
  <c r="A1176" i="3" a="1"/>
  <c r="A1175" i="3" a="1"/>
  <c r="A1174" i="3" a="1"/>
  <c r="A1173" i="3" a="1"/>
  <c r="A1172" i="3" a="1"/>
  <c r="A1171" i="3" a="1"/>
  <c r="A1170" i="3" a="1"/>
  <c r="A1169" i="3" a="1"/>
  <c r="A1168" i="3" a="1"/>
  <c r="A1167" i="3" a="1"/>
  <c r="A1166" i="3" a="1"/>
  <c r="A1165" i="3" a="1"/>
  <c r="A1164" i="3" a="1"/>
  <c r="A1163" i="3" a="1"/>
  <c r="A1162" i="3" a="1"/>
  <c r="A1161" i="3" a="1"/>
  <c r="A1160" i="3" a="1"/>
  <c r="A1159" i="3" a="1"/>
  <c r="A1158" i="3" a="1"/>
  <c r="A1157" i="3" a="1"/>
  <c r="A1156" i="3" a="1"/>
  <c r="A1155" i="3" a="1"/>
  <c r="A1154" i="3" a="1"/>
  <c r="A1153" i="3" a="1"/>
  <c r="A1152" i="3" a="1"/>
  <c r="A1151" i="3" a="1"/>
  <c r="A1150" i="3" a="1"/>
  <c r="A1149" i="3" a="1"/>
  <c r="A1148" i="3" a="1"/>
  <c r="A1147" i="3" a="1"/>
  <c r="A1146" i="3" a="1"/>
  <c r="A1145" i="3" a="1"/>
  <c r="A1144" i="3" a="1"/>
  <c r="A1143" i="3" a="1"/>
  <c r="A1142" i="3" a="1"/>
  <c r="A1141" i="3" a="1"/>
  <c r="A1140" i="3" a="1"/>
  <c r="A1139" i="3" a="1"/>
  <c r="A1138" i="3" a="1"/>
  <c r="A1137" i="3" a="1"/>
  <c r="A1136" i="3" a="1"/>
  <c r="A1135" i="3" a="1"/>
  <c r="A1134" i="3" a="1"/>
  <c r="A1133" i="3" a="1"/>
  <c r="A1132" i="3" a="1"/>
  <c r="A1131" i="3" a="1"/>
  <c r="A1130" i="3" a="1"/>
  <c r="A1129" i="3" a="1"/>
  <c r="A1128" i="3" a="1"/>
  <c r="A1127" i="3" a="1"/>
  <c r="A1126" i="3" a="1"/>
  <c r="A1125" i="3" a="1"/>
  <c r="A1124" i="3" a="1"/>
  <c r="A1123" i="3" a="1"/>
  <c r="A1122" i="3" a="1"/>
  <c r="A1121" i="3" a="1"/>
  <c r="A1120" i="3" a="1"/>
  <c r="A1119" i="3" a="1"/>
  <c r="A1118" i="3" a="1"/>
  <c r="A1117" i="3" a="1"/>
  <c r="A1116" i="3" a="1"/>
  <c r="A1115" i="3" a="1"/>
  <c r="A1114" i="3" a="1"/>
  <c r="A1113" i="3" a="1"/>
  <c r="A1112" i="3" a="1"/>
  <c r="A1111" i="3" a="1"/>
  <c r="A1110" i="3" a="1"/>
  <c r="A1109" i="3" a="1"/>
  <c r="A1108" i="3" a="1"/>
  <c r="A1107" i="3" a="1"/>
  <c r="A1106" i="3" a="1"/>
  <c r="A1105" i="3" a="1"/>
  <c r="A1104" i="3" a="1"/>
  <c r="A1103" i="3" a="1"/>
  <c r="A1102" i="3" a="1"/>
  <c r="A1101" i="3" a="1"/>
  <c r="A1100" i="3" a="1"/>
  <c r="A1099" i="3" a="1"/>
  <c r="A1098" i="3" a="1"/>
  <c r="A1097" i="3" a="1"/>
  <c r="A1096" i="3" a="1"/>
  <c r="A1095" i="3" a="1"/>
  <c r="A1094" i="3" a="1"/>
  <c r="A1093" i="3" a="1"/>
  <c r="A1092" i="3" a="1"/>
  <c r="A1091" i="3" a="1"/>
  <c r="A1090" i="3" a="1"/>
  <c r="A1089" i="3" a="1"/>
  <c r="A1088" i="3" a="1"/>
  <c r="A1087" i="3" a="1"/>
  <c r="A1086" i="3" a="1"/>
  <c r="A1085" i="3" a="1"/>
  <c r="A1084" i="3" a="1"/>
  <c r="A1083" i="3" a="1"/>
  <c r="A1082" i="3" a="1"/>
  <c r="A1081" i="3" a="1"/>
  <c r="A1080" i="3" a="1"/>
  <c r="A1079" i="3" a="1"/>
  <c r="A1078" i="3" a="1"/>
  <c r="A1077" i="3" a="1"/>
  <c r="A1076" i="3" a="1"/>
  <c r="A1075" i="3" a="1"/>
  <c r="A1074" i="3" a="1"/>
  <c r="A1073" i="3" a="1"/>
  <c r="A1072" i="3" a="1"/>
  <c r="A1071" i="3" a="1"/>
  <c r="A1070" i="3" a="1"/>
  <c r="A1069" i="3" a="1"/>
  <c r="A1068" i="3" a="1"/>
  <c r="A1067" i="3" a="1"/>
  <c r="A1066" i="3" a="1"/>
  <c r="A1065" i="3" a="1"/>
  <c r="A1064" i="3" a="1"/>
  <c r="A1063" i="3" a="1"/>
  <c r="A1062" i="3" a="1"/>
  <c r="A1061" i="3" a="1"/>
  <c r="A1060" i="3" a="1"/>
  <c r="A1059" i="3" a="1"/>
  <c r="A1058" i="3" a="1"/>
  <c r="A1057" i="3" a="1"/>
  <c r="A1056" i="3" a="1"/>
  <c r="A1055" i="3" a="1"/>
  <c r="A1054" i="3" a="1"/>
  <c r="A1053" i="3" a="1"/>
  <c r="A1052" i="3" a="1"/>
  <c r="A1051" i="3" a="1"/>
  <c r="A1050" i="3" a="1"/>
  <c r="A1049" i="3" a="1"/>
  <c r="A1048" i="3" a="1"/>
  <c r="A1047" i="3" a="1"/>
  <c r="A1046" i="3" a="1"/>
  <c r="A1045" i="3" a="1"/>
  <c r="A1044" i="3" a="1"/>
  <c r="A1043" i="3" a="1"/>
  <c r="A1042" i="3" a="1"/>
  <c r="A1041" i="3" a="1"/>
  <c r="A1040" i="3" a="1"/>
  <c r="A1039" i="3" a="1"/>
  <c r="A1038" i="3" a="1"/>
  <c r="A1037" i="3" a="1"/>
  <c r="A1036" i="3" a="1"/>
  <c r="A1035" i="3" a="1"/>
  <c r="A1034" i="3" a="1"/>
  <c r="A1033" i="3" a="1"/>
  <c r="A1032" i="3" a="1"/>
  <c r="A1031" i="3" a="1"/>
  <c r="A1030" i="3" a="1"/>
  <c r="A1029" i="3" a="1"/>
  <c r="A1028" i="3" a="1"/>
  <c r="A1027" i="3" a="1"/>
  <c r="A1026" i="3" a="1"/>
  <c r="A1025" i="3" a="1"/>
  <c r="A1024" i="3" a="1"/>
  <c r="A1023" i="3" a="1"/>
  <c r="A1022" i="3" a="1"/>
  <c r="A1021" i="3" a="1"/>
  <c r="A1020" i="3" a="1"/>
  <c r="A1019" i="3" a="1"/>
  <c r="A1018" i="3" a="1"/>
  <c r="A1017" i="3" a="1"/>
  <c r="A1016" i="3" a="1"/>
  <c r="A1015" i="3" a="1"/>
  <c r="A1014" i="3" a="1"/>
  <c r="A1013" i="3" a="1"/>
  <c r="A1012" i="3" a="1"/>
  <c r="A1011" i="3" a="1"/>
  <c r="A1010" i="3" a="1"/>
  <c r="A1009" i="3" a="1"/>
  <c r="A1008" i="3" a="1"/>
  <c r="A1007" i="3" a="1"/>
  <c r="A1006" i="3" a="1"/>
  <c r="A1005" i="3" a="1"/>
  <c r="A1004" i="3" a="1"/>
  <c r="A1003" i="3" a="1"/>
  <c r="A1002" i="3" a="1"/>
  <c r="A1001" i="3" a="1"/>
  <c r="A1000" i="3" a="1"/>
  <c r="A999" i="3" a="1"/>
  <c r="A998" i="3" a="1"/>
  <c r="A997" i="3" a="1"/>
  <c r="A996" i="3" a="1"/>
  <c r="A995" i="3" a="1"/>
  <c r="A994" i="3" a="1"/>
  <c r="A993" i="3" a="1"/>
  <c r="A992" i="3" a="1"/>
  <c r="A991" i="3" a="1"/>
  <c r="A990" i="3" a="1"/>
  <c r="A989" i="3" a="1"/>
  <c r="A988" i="3" a="1"/>
  <c r="A987" i="3" a="1"/>
  <c r="A986" i="3" a="1"/>
  <c r="A985" i="3" a="1"/>
  <c r="A984" i="3" a="1"/>
  <c r="A983" i="3" a="1"/>
  <c r="A982" i="3" a="1"/>
  <c r="A981" i="3" a="1"/>
  <c r="A980" i="3" a="1"/>
  <c r="A979" i="3" a="1"/>
  <c r="A978" i="3" a="1"/>
  <c r="A977" i="3" a="1"/>
  <c r="A976" i="3" a="1"/>
  <c r="A975" i="3" a="1"/>
  <c r="A974" i="3" a="1"/>
  <c r="A973" i="3" a="1"/>
  <c r="A972" i="3" a="1"/>
  <c r="A971" i="3" a="1"/>
  <c r="A970" i="3" a="1"/>
  <c r="A969" i="3" a="1"/>
  <c r="A968" i="3" a="1"/>
  <c r="A967" i="3" a="1"/>
  <c r="A966" i="3" a="1"/>
  <c r="A965" i="3" a="1"/>
  <c r="A964" i="3" a="1"/>
  <c r="A963" i="3" a="1"/>
  <c r="A962" i="3" a="1"/>
  <c r="A961" i="3" a="1"/>
  <c r="A960" i="3" a="1"/>
  <c r="A959" i="3" a="1"/>
  <c r="A958" i="3" a="1"/>
  <c r="A957" i="3" a="1"/>
  <c r="A956" i="3" a="1"/>
  <c r="A955" i="3" a="1"/>
  <c r="A954" i="3" a="1"/>
  <c r="A953" i="3" a="1"/>
  <c r="A952" i="3" a="1"/>
  <c r="A951" i="3" a="1"/>
  <c r="A950" i="3" a="1"/>
  <c r="A949" i="3" a="1"/>
  <c r="A948" i="3" a="1"/>
  <c r="A947" i="3" a="1"/>
  <c r="A946" i="3" a="1"/>
  <c r="A945" i="3" a="1"/>
  <c r="A944" i="3" a="1"/>
  <c r="A943" i="3" a="1"/>
  <c r="A942" i="3" a="1"/>
  <c r="A941" i="3" a="1"/>
  <c r="A940" i="3" a="1"/>
  <c r="A939" i="3" a="1"/>
  <c r="A938" i="3" a="1"/>
  <c r="A937" i="3" a="1"/>
  <c r="A936" i="3" a="1"/>
  <c r="A935" i="3" a="1"/>
  <c r="A934" i="3" a="1"/>
  <c r="A933" i="3" a="1"/>
  <c r="A932" i="3" a="1"/>
  <c r="A931" i="3" a="1"/>
  <c r="A930" i="3" a="1"/>
  <c r="A929" i="3" a="1"/>
  <c r="A928" i="3" a="1"/>
  <c r="A927" i="3" a="1"/>
  <c r="A926" i="3" a="1"/>
  <c r="A925" i="3" a="1"/>
  <c r="A924" i="3" a="1"/>
  <c r="A923" i="3" a="1"/>
  <c r="A922" i="3" a="1"/>
  <c r="A921" i="3" a="1"/>
  <c r="A920" i="3" a="1"/>
  <c r="A919" i="3" a="1"/>
  <c r="A918" i="3" a="1"/>
  <c r="A917" i="3" a="1"/>
  <c r="A916" i="3" a="1"/>
  <c r="A915" i="3" a="1"/>
  <c r="A914" i="3" a="1"/>
  <c r="A913" i="3" a="1"/>
  <c r="A912" i="3" a="1"/>
  <c r="A911" i="3" a="1"/>
  <c r="A910" i="3" a="1"/>
  <c r="A909" i="3" a="1"/>
  <c r="A908" i="3" a="1"/>
  <c r="A907" i="3" a="1"/>
  <c r="A906" i="3" a="1"/>
  <c r="A905" i="3" a="1"/>
  <c r="A904" i="3" a="1"/>
  <c r="A903" i="3" a="1"/>
  <c r="A902" i="3" a="1"/>
  <c r="A901" i="3" a="1"/>
  <c r="A900" i="3" a="1"/>
  <c r="A899" i="3" a="1"/>
  <c r="A898" i="3" a="1"/>
  <c r="A897" i="3" a="1"/>
  <c r="A896" i="3" a="1"/>
  <c r="A895" i="3" a="1"/>
  <c r="A894" i="3" a="1"/>
  <c r="A893" i="3" a="1"/>
  <c r="A892" i="3" a="1"/>
  <c r="A891" i="3" a="1"/>
  <c r="A890" i="3" a="1"/>
  <c r="A889" i="3" a="1"/>
  <c r="A888" i="3" a="1"/>
  <c r="A887" i="3" a="1"/>
  <c r="A886" i="3" a="1"/>
  <c r="A885" i="3" a="1"/>
  <c r="A884" i="3" a="1"/>
  <c r="A883" i="3" a="1"/>
  <c r="A882" i="3" a="1"/>
  <c r="A881" i="3" a="1"/>
  <c r="A880" i="3" a="1"/>
  <c r="A879" i="3" a="1"/>
  <c r="A878" i="3" a="1"/>
  <c r="A877" i="3" a="1"/>
  <c r="A876" i="3" a="1"/>
  <c r="A875" i="3" a="1"/>
  <c r="A874" i="3" a="1"/>
  <c r="A873" i="3" a="1"/>
  <c r="A872" i="3" a="1"/>
  <c r="A871" i="3" a="1"/>
  <c r="A870" i="3" a="1"/>
  <c r="A869" i="3" a="1"/>
  <c r="A868" i="3" a="1"/>
  <c r="A867" i="3" a="1"/>
  <c r="A866" i="3" a="1"/>
  <c r="A865" i="3" a="1"/>
  <c r="A864" i="3" a="1"/>
  <c r="A863" i="3" a="1"/>
  <c r="A862" i="3" a="1"/>
  <c r="A861" i="3" a="1"/>
  <c r="A860" i="3" a="1"/>
  <c r="A859" i="3" a="1"/>
  <c r="A858" i="3" a="1"/>
  <c r="A857" i="3" a="1"/>
  <c r="A856" i="3" a="1"/>
  <c r="A855" i="3" a="1"/>
  <c r="A854" i="3" a="1"/>
  <c r="A853" i="3" a="1"/>
  <c r="A852" i="3" a="1"/>
  <c r="A851" i="3" a="1"/>
  <c r="A850" i="3" a="1"/>
  <c r="A849" i="3" a="1"/>
  <c r="A848" i="3" a="1"/>
  <c r="A847" i="3" a="1"/>
  <c r="A846" i="3" a="1"/>
  <c r="A845" i="3" a="1"/>
  <c r="A844" i="3" a="1"/>
  <c r="A843" i="3" a="1"/>
  <c r="A842" i="3" a="1"/>
  <c r="A841" i="3" a="1"/>
  <c r="A840" i="3" a="1"/>
  <c r="A839" i="3" a="1"/>
  <c r="A838" i="3" a="1"/>
  <c r="A837" i="3" a="1"/>
  <c r="A836" i="3" a="1"/>
  <c r="A835" i="3" a="1"/>
  <c r="A834" i="3" a="1"/>
  <c r="A833" i="3" a="1"/>
  <c r="A832" i="3" a="1"/>
  <c r="A831" i="3" a="1"/>
  <c r="A830" i="3" a="1"/>
  <c r="A829" i="3" a="1"/>
  <c r="A828" i="3" a="1"/>
  <c r="A827" i="3" a="1"/>
  <c r="A826" i="3" a="1"/>
  <c r="A825" i="3" a="1"/>
  <c r="A824" i="3" a="1"/>
  <c r="A823" i="3" a="1"/>
  <c r="A822" i="3" a="1"/>
  <c r="A821" i="3" a="1"/>
  <c r="A820" i="3" a="1"/>
  <c r="A819" i="3" a="1"/>
  <c r="A818" i="3" a="1"/>
  <c r="A817" i="3" a="1"/>
  <c r="A816" i="3" a="1"/>
  <c r="A815" i="3" a="1"/>
  <c r="A814" i="3" a="1"/>
  <c r="A813" i="3" a="1"/>
  <c r="A812" i="3" a="1"/>
  <c r="A811" i="3" a="1"/>
  <c r="A810" i="3" a="1"/>
  <c r="A809" i="3" a="1"/>
  <c r="A808" i="3" a="1"/>
  <c r="A807" i="3" a="1"/>
  <c r="A806" i="3" a="1"/>
  <c r="A805" i="3" a="1"/>
  <c r="A804" i="3" a="1"/>
  <c r="A803" i="3" a="1"/>
  <c r="A802" i="3" a="1"/>
  <c r="A801" i="3" a="1"/>
  <c r="A800" i="3" a="1"/>
  <c r="A799" i="3" a="1"/>
  <c r="A798" i="3" a="1"/>
  <c r="A797" i="3" a="1"/>
  <c r="A796" i="3" a="1"/>
  <c r="A795" i="3" a="1"/>
  <c r="A794" i="3" a="1"/>
  <c r="A793" i="3" a="1"/>
  <c r="A792" i="3" a="1"/>
  <c r="A791" i="3" a="1"/>
  <c r="A790" i="3" a="1"/>
  <c r="A789" i="3" a="1"/>
  <c r="A788" i="3" a="1"/>
  <c r="A787" i="3" a="1"/>
  <c r="A786" i="3" a="1"/>
  <c r="A785" i="3" a="1"/>
  <c r="A784" i="3" a="1"/>
  <c r="A783" i="3" a="1"/>
  <c r="A782" i="3" a="1"/>
  <c r="A781" i="3" a="1"/>
  <c r="A780" i="3" a="1"/>
  <c r="A779" i="3" a="1"/>
  <c r="A778" i="3" a="1"/>
  <c r="A777" i="3" a="1"/>
  <c r="A776" i="3" a="1"/>
  <c r="A775" i="3" a="1"/>
  <c r="A774" i="3" a="1"/>
  <c r="A773" i="3" a="1"/>
  <c r="A772" i="3" a="1"/>
  <c r="A771" i="3" a="1"/>
  <c r="A770" i="3" a="1"/>
  <c r="A769" i="3" a="1"/>
  <c r="A768" i="3" a="1"/>
  <c r="A767" i="3" a="1"/>
  <c r="A766" i="3" a="1"/>
  <c r="A765" i="3" a="1"/>
  <c r="A764" i="3" a="1"/>
  <c r="A763" i="3" a="1"/>
  <c r="A762" i="3" a="1"/>
  <c r="A761" i="3" a="1"/>
  <c r="A760" i="3" a="1"/>
  <c r="A759" i="3" a="1"/>
  <c r="A758" i="3" a="1"/>
  <c r="A757" i="3" a="1"/>
  <c r="A756" i="3" a="1"/>
  <c r="A755" i="3" a="1"/>
  <c r="A754" i="3" a="1"/>
  <c r="A753" i="3" a="1"/>
  <c r="A752" i="3" a="1"/>
  <c r="A751" i="3" a="1"/>
  <c r="A750" i="3" a="1"/>
  <c r="A749" i="3" a="1"/>
  <c r="A748" i="3" a="1"/>
  <c r="A747" i="3" a="1"/>
  <c r="A746" i="3" a="1"/>
  <c r="A745" i="3" a="1"/>
  <c r="A744" i="3" a="1"/>
  <c r="A743" i="3" a="1"/>
  <c r="A742" i="3" a="1"/>
  <c r="A741" i="3" a="1"/>
  <c r="A740" i="3" a="1"/>
  <c r="A739" i="3" a="1"/>
  <c r="A738" i="3" a="1"/>
  <c r="A737" i="3" a="1"/>
  <c r="A736" i="3" a="1"/>
  <c r="A735" i="3" a="1"/>
  <c r="A734" i="3" a="1"/>
  <c r="A733" i="3" a="1"/>
  <c r="A732" i="3" a="1"/>
  <c r="A731" i="3" a="1"/>
  <c r="A730" i="3" a="1"/>
  <c r="A729" i="3" a="1"/>
  <c r="A728" i="3" a="1"/>
  <c r="A727" i="3" a="1"/>
  <c r="A726" i="3" a="1"/>
  <c r="A725" i="3" a="1"/>
  <c r="A724" i="3" a="1"/>
  <c r="A723" i="3" a="1"/>
  <c r="A722" i="3" a="1"/>
  <c r="A721" i="3" a="1"/>
  <c r="A720" i="3" a="1"/>
  <c r="A719" i="3" a="1"/>
  <c r="A718" i="3" a="1"/>
  <c r="A717" i="3" a="1"/>
  <c r="A716" i="3" a="1"/>
  <c r="A715" i="3" a="1"/>
  <c r="A714" i="3" a="1"/>
  <c r="A713" i="3" a="1"/>
  <c r="A712" i="3" a="1"/>
  <c r="A711" i="3" a="1"/>
  <c r="A710" i="3" a="1"/>
  <c r="A709" i="3" a="1"/>
  <c r="A708" i="3" a="1"/>
  <c r="A707" i="3" a="1"/>
  <c r="A706" i="3" a="1"/>
  <c r="A705" i="3" a="1"/>
  <c r="A704" i="3" a="1"/>
  <c r="A703" i="3" a="1"/>
  <c r="A702" i="3" a="1"/>
  <c r="A701" i="3" a="1"/>
  <c r="A700" i="3" a="1"/>
  <c r="A699" i="3" a="1"/>
  <c r="A698" i="3" a="1"/>
  <c r="A697" i="3" a="1"/>
  <c r="A696" i="3" a="1"/>
  <c r="A695" i="3" a="1"/>
  <c r="A694" i="3" a="1"/>
  <c r="A693" i="3" a="1"/>
  <c r="A692" i="3" a="1"/>
  <c r="A691" i="3" a="1"/>
  <c r="A690" i="3" a="1"/>
  <c r="A689" i="3" a="1"/>
  <c r="A688" i="3" a="1"/>
  <c r="A687" i="3" a="1"/>
  <c r="A686" i="3" a="1"/>
  <c r="A685" i="3" a="1"/>
  <c r="A684" i="3" a="1"/>
  <c r="A683" i="3" a="1"/>
  <c r="A682" i="3" a="1"/>
  <c r="A681" i="3" a="1"/>
  <c r="A680" i="3" a="1"/>
  <c r="A679" i="3" a="1"/>
  <c r="A678" i="3" a="1"/>
  <c r="A677" i="3" a="1"/>
  <c r="A676" i="3" a="1"/>
  <c r="A675" i="3" a="1"/>
  <c r="A674" i="3" a="1"/>
  <c r="A673" i="3" a="1"/>
  <c r="A672" i="3" a="1"/>
  <c r="A671" i="3" a="1"/>
  <c r="A670" i="3" a="1"/>
  <c r="A669" i="3" a="1"/>
  <c r="A668" i="3" a="1"/>
  <c r="A667" i="3" a="1"/>
  <c r="A666" i="3" a="1"/>
  <c r="A665" i="3" a="1"/>
  <c r="A664" i="3" a="1"/>
  <c r="A663" i="3" a="1"/>
  <c r="A662" i="3" a="1"/>
  <c r="A661" i="3" a="1"/>
  <c r="A660" i="3" a="1"/>
  <c r="A659" i="3" a="1"/>
  <c r="A658" i="3" a="1"/>
  <c r="A657" i="3" a="1"/>
  <c r="A656" i="3" a="1"/>
  <c r="A655" i="3" a="1"/>
  <c r="A654" i="3" a="1"/>
  <c r="A653" i="3" a="1"/>
  <c r="A652" i="3" a="1"/>
  <c r="A651" i="3" a="1"/>
  <c r="A650" i="3" a="1"/>
  <c r="A649" i="3" a="1"/>
  <c r="A648" i="3" a="1"/>
  <c r="A647" i="3" a="1"/>
  <c r="A646" i="3" a="1"/>
  <c r="A645" i="3" a="1"/>
  <c r="A644" i="3" a="1"/>
  <c r="A643" i="3" a="1"/>
  <c r="A642" i="3" a="1"/>
  <c r="A641" i="3" a="1"/>
  <c r="A640" i="3" a="1"/>
  <c r="A639" i="3" a="1"/>
  <c r="A638" i="3" a="1"/>
  <c r="A637" i="3" a="1"/>
  <c r="A636" i="3" a="1"/>
  <c r="A635" i="3" a="1"/>
  <c r="A634" i="3" a="1"/>
  <c r="A633" i="3" a="1"/>
  <c r="A632" i="3" a="1"/>
  <c r="A631" i="3" a="1"/>
  <c r="A630" i="3" a="1"/>
  <c r="A629" i="3" a="1"/>
  <c r="A628" i="3" a="1"/>
  <c r="A627" i="3" a="1"/>
  <c r="A626" i="3" a="1"/>
  <c r="A625" i="3" a="1"/>
  <c r="A624" i="3" a="1"/>
  <c r="A623" i="3" a="1"/>
  <c r="A622" i="3" a="1"/>
  <c r="A621" i="3" a="1"/>
  <c r="A620" i="3" a="1"/>
  <c r="A619" i="3" a="1"/>
  <c r="A618" i="3" a="1"/>
  <c r="A617" i="3" a="1"/>
  <c r="A616" i="3" a="1"/>
  <c r="A615" i="3" a="1"/>
  <c r="A614" i="3" a="1"/>
  <c r="A613" i="3" a="1"/>
  <c r="A612" i="3" a="1"/>
  <c r="A611" i="3" a="1"/>
  <c r="A610" i="3" a="1"/>
  <c r="A609" i="3" a="1"/>
  <c r="A608" i="3" a="1"/>
  <c r="A607" i="3" a="1"/>
  <c r="A606" i="3" a="1"/>
  <c r="A605" i="3" a="1"/>
  <c r="A604" i="3" a="1"/>
  <c r="A603" i="3" a="1"/>
  <c r="A602" i="3" a="1"/>
  <c r="A601" i="3" a="1"/>
  <c r="A600" i="3" a="1"/>
  <c r="A599" i="3" a="1"/>
  <c r="A598" i="3" a="1"/>
  <c r="A597" i="3" a="1"/>
  <c r="A596" i="3" a="1"/>
  <c r="A595" i="3" a="1"/>
  <c r="A594" i="3" a="1"/>
  <c r="A593" i="3" a="1"/>
  <c r="A592" i="3" a="1"/>
  <c r="A591" i="3" a="1"/>
  <c r="A590" i="3" a="1"/>
  <c r="A589" i="3" a="1"/>
  <c r="A588" i="3" a="1"/>
  <c r="A587" i="3" a="1"/>
  <c r="A586" i="3" a="1"/>
  <c r="A585" i="3" a="1"/>
  <c r="A584" i="3" a="1"/>
  <c r="A583" i="3" a="1"/>
  <c r="A582" i="3" a="1"/>
  <c r="A581" i="3" a="1"/>
  <c r="A580" i="3" a="1"/>
  <c r="A579" i="3" a="1"/>
  <c r="A578" i="3" a="1"/>
  <c r="A577" i="3" a="1"/>
  <c r="A576" i="3" a="1"/>
  <c r="A575" i="3" a="1"/>
  <c r="A574" i="3" a="1"/>
  <c r="A573" i="3" a="1"/>
  <c r="A572" i="3" a="1"/>
  <c r="A571" i="3" a="1"/>
  <c r="A570" i="3" a="1"/>
  <c r="A569" i="3" a="1"/>
  <c r="A568" i="3" a="1"/>
  <c r="A567" i="3" a="1"/>
  <c r="A566" i="3" a="1"/>
  <c r="A565" i="3" a="1"/>
  <c r="A564" i="3" a="1"/>
  <c r="A563" i="3" a="1"/>
  <c r="A562" i="3" a="1"/>
  <c r="A561" i="3" a="1"/>
  <c r="A560" i="3" a="1"/>
  <c r="A559" i="3" a="1"/>
  <c r="A558" i="3" a="1"/>
  <c r="A557" i="3" a="1"/>
  <c r="A556" i="3" a="1"/>
  <c r="A555" i="3" a="1"/>
  <c r="A554" i="3" a="1"/>
  <c r="A553" i="3" a="1"/>
  <c r="A552" i="3" a="1"/>
  <c r="A551" i="3" a="1"/>
  <c r="A550" i="3" a="1"/>
  <c r="A549" i="3" a="1"/>
  <c r="A548" i="3" a="1"/>
  <c r="A547" i="3" a="1"/>
  <c r="A546" i="3" a="1"/>
  <c r="A545" i="3" a="1"/>
  <c r="A544" i="3" a="1"/>
  <c r="A543" i="3" a="1"/>
  <c r="A542" i="3" a="1"/>
  <c r="A541" i="3" a="1"/>
  <c r="A540" i="3" a="1"/>
  <c r="A539" i="3" a="1"/>
  <c r="A538" i="3" a="1"/>
  <c r="A537" i="3" a="1"/>
  <c r="A536" i="3" a="1"/>
  <c r="A535" i="3" a="1"/>
  <c r="A534" i="3" a="1"/>
  <c r="A533" i="3" a="1"/>
  <c r="A532" i="3" a="1"/>
  <c r="A531" i="3" a="1"/>
  <c r="A530" i="3" a="1"/>
  <c r="A529" i="3" a="1"/>
  <c r="A528" i="3" a="1"/>
  <c r="A527" i="3" a="1"/>
  <c r="A526" i="3" a="1"/>
  <c r="A525" i="3" a="1"/>
  <c r="A524" i="3" a="1"/>
  <c r="A523" i="3" a="1"/>
  <c r="A522" i="3" a="1"/>
  <c r="A521" i="3" a="1"/>
  <c r="A520" i="3" a="1"/>
  <c r="A519" i="3" a="1"/>
  <c r="A518" i="3" a="1"/>
  <c r="A517" i="3" a="1"/>
  <c r="A516" i="3" a="1"/>
  <c r="A515" i="3" a="1"/>
  <c r="A514" i="3" a="1"/>
  <c r="A513" i="3" a="1"/>
  <c r="A512" i="3" a="1"/>
  <c r="A511" i="3" a="1"/>
  <c r="A510" i="3" a="1"/>
  <c r="A509" i="3" a="1"/>
  <c r="A508" i="3" a="1"/>
  <c r="A507" i="3" a="1"/>
  <c r="A506" i="3" a="1"/>
  <c r="A505" i="3" a="1"/>
  <c r="A504" i="3" a="1"/>
  <c r="A503" i="3" a="1"/>
  <c r="A502" i="3" a="1"/>
  <c r="A501" i="3" a="1"/>
  <c r="A500" i="3" a="1"/>
  <c r="A499" i="3" a="1"/>
  <c r="A498" i="3" a="1"/>
  <c r="A497" i="3" a="1"/>
  <c r="A496" i="3" a="1"/>
  <c r="A495" i="3" a="1"/>
  <c r="A494" i="3" a="1"/>
  <c r="A493" i="3" a="1"/>
  <c r="A492" i="3" a="1"/>
  <c r="A491" i="3" a="1"/>
  <c r="A490" i="3" a="1"/>
  <c r="A489" i="3" a="1"/>
  <c r="A488" i="3" a="1"/>
  <c r="A487" i="3" a="1"/>
  <c r="A486" i="3" a="1"/>
  <c r="A485" i="3" a="1"/>
  <c r="A484" i="3" a="1"/>
  <c r="A483" i="3" a="1"/>
  <c r="A482" i="3" a="1"/>
  <c r="A481" i="3" a="1"/>
  <c r="A480" i="3" a="1"/>
  <c r="A479" i="3" a="1"/>
  <c r="A478" i="3" a="1"/>
  <c r="A477" i="3" a="1"/>
  <c r="A476" i="3" a="1"/>
  <c r="A475" i="3" a="1"/>
  <c r="A474" i="3" a="1"/>
  <c r="A473" i="3" a="1"/>
  <c r="A472" i="3" a="1"/>
  <c r="A471" i="3" a="1"/>
  <c r="A470" i="3" a="1"/>
  <c r="A469" i="3" a="1"/>
  <c r="A468" i="3" a="1"/>
  <c r="A467" i="3" a="1"/>
  <c r="A466" i="3" a="1"/>
  <c r="A465" i="3" a="1"/>
  <c r="A464" i="3" a="1"/>
  <c r="A463" i="3" a="1"/>
  <c r="A462" i="3" a="1"/>
  <c r="A461" i="3" a="1"/>
  <c r="A460" i="3" a="1"/>
  <c r="A459" i="3" a="1"/>
  <c r="A458" i="3" a="1"/>
  <c r="A457" i="3" a="1"/>
  <c r="A456" i="3" a="1"/>
  <c r="A455" i="3" a="1"/>
  <c r="A454" i="3" a="1"/>
  <c r="A453" i="3" a="1"/>
  <c r="A452" i="3" a="1"/>
  <c r="A451" i="3" a="1"/>
  <c r="A450" i="3" a="1"/>
  <c r="A449" i="3" a="1"/>
  <c r="A448" i="3" a="1"/>
  <c r="A447" i="3" a="1"/>
  <c r="A446" i="3" a="1"/>
  <c r="A445" i="3" a="1"/>
  <c r="A444" i="3" a="1"/>
  <c r="A443" i="3" a="1"/>
  <c r="A442" i="3" a="1"/>
  <c r="A441" i="3" a="1"/>
  <c r="A440" i="3" a="1"/>
  <c r="A439" i="3" a="1"/>
  <c r="A438" i="3" a="1"/>
  <c r="A437" i="3" a="1"/>
  <c r="A436" i="3" a="1"/>
  <c r="A435" i="3" a="1"/>
  <c r="A434" i="3" a="1"/>
  <c r="A433" i="3" a="1"/>
  <c r="A432" i="3" a="1"/>
  <c r="A431" i="3" a="1"/>
  <c r="A430" i="3" a="1"/>
  <c r="A429" i="3" a="1"/>
  <c r="A428" i="3" a="1"/>
  <c r="A427" i="3" a="1"/>
  <c r="A426" i="3" a="1"/>
  <c r="A425" i="3" a="1"/>
  <c r="A424" i="3" a="1"/>
  <c r="A423" i="3" a="1"/>
  <c r="A422" i="3" a="1"/>
  <c r="A421" i="3" a="1"/>
  <c r="A420" i="3" a="1"/>
  <c r="A419" i="3" a="1"/>
  <c r="A418" i="3" a="1"/>
  <c r="A417" i="3" a="1"/>
  <c r="A416" i="3" a="1"/>
  <c r="A415" i="3" a="1"/>
  <c r="A414" i="3" a="1"/>
  <c r="A413" i="3" a="1"/>
  <c r="A412" i="3" a="1"/>
  <c r="A411" i="3" a="1"/>
  <c r="A410" i="3" a="1"/>
  <c r="A409" i="3" a="1"/>
  <c r="A408" i="3" a="1"/>
  <c r="A407" i="3" a="1"/>
  <c r="A406" i="3" a="1"/>
  <c r="A405" i="3" a="1"/>
  <c r="A404" i="3" a="1"/>
  <c r="A403" i="3" a="1"/>
  <c r="A402" i="3" a="1"/>
  <c r="A401" i="3" a="1"/>
  <c r="A400" i="3" a="1"/>
  <c r="A399" i="3" a="1"/>
  <c r="A398" i="3" a="1"/>
  <c r="A397" i="3" a="1"/>
  <c r="A396" i="3" a="1"/>
  <c r="A395" i="3" a="1"/>
  <c r="A394" i="3" a="1"/>
  <c r="A393" i="3" a="1"/>
  <c r="A392" i="3" a="1"/>
  <c r="A391" i="3" a="1"/>
  <c r="A390" i="3" a="1"/>
  <c r="A389" i="3" a="1"/>
  <c r="A388" i="3" a="1"/>
  <c r="A387" i="3" a="1"/>
  <c r="A386" i="3" a="1"/>
  <c r="A385" i="3" a="1"/>
  <c r="A384" i="3" a="1"/>
  <c r="A383" i="3" a="1"/>
  <c r="A382" i="3" a="1"/>
  <c r="A381" i="3" a="1"/>
  <c r="A380" i="3" a="1"/>
  <c r="A379" i="3" a="1"/>
  <c r="A378" i="3" a="1"/>
  <c r="A377" i="3" a="1"/>
  <c r="A376" i="3" a="1"/>
  <c r="A375" i="3" a="1"/>
  <c r="A374" i="3" a="1"/>
  <c r="A373" i="3" a="1"/>
  <c r="A372" i="3" a="1"/>
  <c r="A371" i="3" a="1"/>
  <c r="A370" i="3" a="1"/>
  <c r="A369" i="3" a="1"/>
  <c r="A368" i="3" a="1"/>
  <c r="A367" i="3" a="1"/>
  <c r="A366" i="3" a="1"/>
  <c r="A365" i="3" a="1"/>
  <c r="A364" i="3" a="1"/>
  <c r="A363" i="3" a="1"/>
  <c r="A362" i="3" a="1"/>
  <c r="A361" i="3" a="1"/>
  <c r="A360" i="3" a="1"/>
  <c r="A359" i="3" a="1"/>
  <c r="A358" i="3" a="1"/>
  <c r="A357" i="3" a="1"/>
  <c r="A356" i="3" a="1"/>
  <c r="A355" i="3" a="1"/>
  <c r="A354" i="3" a="1"/>
  <c r="A353" i="3" a="1"/>
  <c r="A352" i="3" a="1"/>
  <c r="A351" i="3" a="1"/>
  <c r="A350" i="3" a="1"/>
  <c r="A349" i="3" a="1"/>
  <c r="A348" i="3" a="1"/>
  <c r="A347" i="3" a="1"/>
  <c r="A346" i="3" a="1"/>
  <c r="A345" i="3" a="1"/>
  <c r="A344" i="3" a="1"/>
  <c r="A343" i="3" a="1"/>
  <c r="A342" i="3" a="1"/>
  <c r="A341" i="3" a="1"/>
  <c r="A340" i="3" a="1"/>
  <c r="A339" i="3" a="1"/>
  <c r="A338" i="3" a="1"/>
  <c r="A337" i="3" a="1"/>
  <c r="A336" i="3" a="1"/>
  <c r="A335" i="3" a="1"/>
  <c r="A334" i="3" a="1"/>
  <c r="A333" i="3" a="1"/>
  <c r="A332" i="3" a="1"/>
  <c r="A331" i="3" a="1"/>
  <c r="A330" i="3" a="1"/>
  <c r="A329" i="3" a="1"/>
  <c r="A328" i="3" a="1"/>
  <c r="A327" i="3" a="1"/>
  <c r="A326" i="3" a="1"/>
  <c r="A325" i="3" a="1"/>
  <c r="A324" i="3" a="1"/>
  <c r="A323" i="3" a="1"/>
  <c r="A322" i="3" a="1"/>
  <c r="A321" i="3" a="1"/>
  <c r="A320" i="3" a="1"/>
  <c r="A319" i="3" a="1"/>
  <c r="A318" i="3" a="1"/>
  <c r="A317" i="3" a="1"/>
  <c r="A316" i="3" a="1"/>
  <c r="A315" i="3" a="1"/>
  <c r="A314" i="3" a="1"/>
  <c r="A313" i="3" a="1"/>
  <c r="A312" i="3" a="1"/>
  <c r="A311" i="3" a="1"/>
  <c r="A310" i="3" a="1"/>
  <c r="A309" i="3" a="1"/>
  <c r="A308" i="3" a="1"/>
  <c r="A307" i="3" a="1"/>
  <c r="A306" i="3" a="1"/>
  <c r="A305" i="3" a="1"/>
  <c r="A304" i="3" a="1"/>
  <c r="A303" i="3" a="1"/>
  <c r="A302" i="3" a="1"/>
  <c r="A301" i="3" a="1"/>
  <c r="A300" i="3" a="1"/>
  <c r="A299" i="3" a="1"/>
  <c r="A298" i="3" a="1"/>
  <c r="A297" i="3" a="1"/>
  <c r="A296" i="3" a="1"/>
  <c r="A295" i="3" a="1"/>
  <c r="A294" i="3" a="1"/>
  <c r="A293" i="3" a="1"/>
  <c r="A292" i="3" a="1"/>
  <c r="A291" i="3" a="1"/>
  <c r="A290" i="3" a="1"/>
  <c r="A289" i="3" a="1"/>
  <c r="A288" i="3" a="1"/>
  <c r="A287" i="3" a="1"/>
  <c r="A286" i="3" a="1"/>
  <c r="A285" i="3" a="1"/>
  <c r="A284" i="3" a="1"/>
  <c r="A283" i="3" a="1"/>
  <c r="A282" i="3" a="1"/>
  <c r="A281" i="3" a="1"/>
  <c r="A280" i="3" a="1"/>
  <c r="A279" i="3" a="1"/>
  <c r="A278" i="3" a="1"/>
  <c r="A277" i="3" a="1"/>
  <c r="A276" i="3" a="1"/>
  <c r="A275" i="3" a="1"/>
  <c r="A274" i="3" a="1"/>
  <c r="A273" i="3" a="1"/>
  <c r="A272" i="3" a="1"/>
  <c r="A271" i="3" a="1"/>
  <c r="A270" i="3" a="1"/>
  <c r="A269" i="3" a="1"/>
  <c r="A268" i="3" a="1"/>
  <c r="A267" i="3" a="1"/>
  <c r="A266" i="3" a="1"/>
  <c r="A265" i="3" a="1"/>
  <c r="A264" i="3" a="1"/>
  <c r="A263" i="3" a="1"/>
  <c r="A262" i="3" a="1"/>
  <c r="A261" i="3" a="1"/>
  <c r="A260" i="3" a="1"/>
  <c r="A259" i="3" a="1"/>
  <c r="A258" i="3" a="1"/>
  <c r="A257" i="3" a="1"/>
  <c r="A256" i="3" a="1"/>
  <c r="A255" i="3" a="1"/>
  <c r="A254" i="3" a="1"/>
  <c r="A253" i="3" a="1"/>
  <c r="A252" i="3" a="1"/>
  <c r="A251" i="3" a="1"/>
  <c r="A250" i="3" a="1"/>
  <c r="A249" i="3" a="1"/>
  <c r="A248" i="3" a="1"/>
  <c r="A247" i="3" a="1"/>
  <c r="A246" i="3" a="1"/>
  <c r="A245" i="3" a="1"/>
  <c r="A244" i="3" a="1"/>
  <c r="A243" i="3" a="1"/>
  <c r="A242" i="3" a="1"/>
  <c r="A241" i="3" a="1"/>
  <c r="A240" i="3" a="1"/>
  <c r="A239" i="3" a="1"/>
  <c r="A238" i="3" a="1"/>
  <c r="A237" i="3" a="1"/>
  <c r="A236" i="3" a="1"/>
  <c r="A235" i="3" a="1"/>
  <c r="A234" i="3" a="1"/>
  <c r="A233" i="3" a="1"/>
  <c r="A232" i="3" a="1"/>
  <c r="A231" i="3" a="1"/>
  <c r="A230" i="3" a="1"/>
  <c r="A229" i="3" a="1"/>
  <c r="A228" i="3" a="1"/>
  <c r="A227" i="3" a="1"/>
  <c r="A226" i="3" a="1"/>
  <c r="A225" i="3" a="1"/>
  <c r="A224" i="3" a="1"/>
  <c r="A223" i="3" a="1"/>
  <c r="A222" i="3" a="1"/>
  <c r="A221" i="3" a="1"/>
  <c r="A220" i="3" a="1"/>
  <c r="A219" i="3" a="1"/>
  <c r="A218" i="3" a="1"/>
  <c r="A217" i="3" a="1"/>
  <c r="A216" i="3" a="1"/>
  <c r="A215" i="3" a="1"/>
  <c r="A214" i="3" a="1"/>
  <c r="A213" i="3" a="1"/>
  <c r="A212" i="3" a="1"/>
  <c r="A211" i="3" a="1"/>
  <c r="A210" i="3" a="1"/>
  <c r="A209" i="3" a="1"/>
  <c r="A208" i="3" a="1"/>
  <c r="A207" i="3" a="1"/>
  <c r="A206" i="3" a="1"/>
  <c r="A205" i="3" a="1"/>
  <c r="A204" i="3" a="1"/>
  <c r="A203" i="3" a="1"/>
  <c r="A202" i="3" a="1"/>
  <c r="A201" i="3" a="1"/>
  <c r="A200" i="3" a="1"/>
  <c r="A199" i="3" a="1"/>
  <c r="A198" i="3" a="1"/>
  <c r="A197" i="3" a="1"/>
  <c r="A196" i="3" a="1"/>
  <c r="A195" i="3" a="1"/>
  <c r="A194" i="3" a="1"/>
  <c r="A193" i="3" a="1"/>
  <c r="A192" i="3" a="1"/>
  <c r="A191" i="3" a="1"/>
  <c r="A190" i="3" a="1"/>
  <c r="A189" i="3" a="1"/>
  <c r="A188" i="3" a="1"/>
  <c r="A187" i="3" a="1"/>
  <c r="A186" i="3" a="1"/>
  <c r="A185" i="3" a="1"/>
  <c r="A184" i="3" a="1"/>
  <c r="A183" i="3" a="1"/>
  <c r="A182" i="3" a="1"/>
  <c r="A181" i="3" a="1"/>
  <c r="A180" i="3" a="1"/>
  <c r="A179" i="3" a="1"/>
  <c r="A178" i="3" a="1"/>
  <c r="A177" i="3" a="1"/>
  <c r="A176" i="3" a="1"/>
  <c r="A175" i="3" a="1"/>
  <c r="A174" i="3" a="1"/>
  <c r="A173" i="3" a="1"/>
  <c r="A172" i="3" a="1"/>
  <c r="A171" i="3" a="1"/>
  <c r="A170" i="3" a="1"/>
  <c r="A169" i="3" a="1"/>
  <c r="A168" i="3" a="1"/>
  <c r="A167" i="3" a="1"/>
  <c r="A166" i="3" a="1"/>
  <c r="A165" i="3" a="1"/>
  <c r="A164" i="3" a="1"/>
  <c r="A163" i="3" a="1"/>
  <c r="A162" i="3" a="1"/>
  <c r="A161" i="3" a="1"/>
  <c r="A160" i="3" a="1"/>
  <c r="A159" i="3" a="1"/>
  <c r="A158" i="3" a="1"/>
  <c r="A157" i="3" a="1"/>
  <c r="A156" i="3" a="1"/>
  <c r="A155" i="3" a="1"/>
  <c r="A154" i="3" a="1"/>
  <c r="A153" i="3" a="1"/>
  <c r="A152" i="3" a="1"/>
  <c r="A151" i="3" a="1"/>
  <c r="A150" i="3" a="1"/>
  <c r="A149" i="3" a="1"/>
  <c r="A148" i="3" a="1"/>
  <c r="A147" i="3" a="1"/>
  <c r="A146" i="3" a="1"/>
  <c r="A145" i="3" a="1"/>
  <c r="A144" i="3" a="1"/>
  <c r="A143" i="3" a="1"/>
  <c r="A142" i="3" a="1"/>
  <c r="A141" i="3" a="1"/>
  <c r="A140" i="3" a="1"/>
  <c r="A139" i="3" a="1"/>
  <c r="A138" i="3" a="1"/>
  <c r="A137" i="3" a="1"/>
  <c r="A136" i="3" a="1"/>
  <c r="A135" i="3" a="1"/>
  <c r="A134" i="3" a="1"/>
  <c r="A133" i="3" a="1"/>
  <c r="A132" i="3" a="1"/>
  <c r="A131" i="3" a="1"/>
  <c r="A130" i="3" a="1"/>
  <c r="A129" i="3" a="1"/>
  <c r="A128" i="3" a="1"/>
  <c r="A127" i="3" a="1"/>
  <c r="A126" i="3" a="1"/>
  <c r="A125" i="3" a="1"/>
  <c r="A124" i="3" a="1"/>
  <c r="A123" i="3" a="1"/>
  <c r="A122" i="3" a="1"/>
  <c r="A121" i="3" a="1"/>
  <c r="A120" i="3" a="1"/>
  <c r="A119" i="3" a="1"/>
  <c r="A118" i="3" a="1"/>
  <c r="A117" i="3" a="1"/>
  <c r="A116" i="3" a="1"/>
  <c r="A115" i="3" a="1"/>
  <c r="A114" i="3" a="1"/>
  <c r="A113" i="3" a="1"/>
  <c r="A112" i="3" a="1"/>
  <c r="A111" i="3" a="1"/>
  <c r="A110" i="3" a="1"/>
  <c r="A109" i="3" a="1"/>
  <c r="A108" i="3" a="1"/>
  <c r="A107" i="3" a="1"/>
  <c r="A106" i="3" a="1"/>
  <c r="A105" i="3" a="1"/>
  <c r="A104" i="3" a="1"/>
  <c r="A103" i="3" a="1"/>
  <c r="A102" i="3" a="1"/>
  <c r="A101" i="3" a="1"/>
  <c r="A100" i="3" a="1"/>
  <c r="A99" i="3" a="1"/>
  <c r="A98" i="3" a="1"/>
  <c r="A97" i="3" a="1"/>
  <c r="A96" i="3" a="1"/>
  <c r="A95" i="3" a="1"/>
  <c r="A94" i="3" a="1"/>
  <c r="A93" i="3" a="1"/>
  <c r="A92" i="3" a="1"/>
  <c r="A91" i="3" a="1"/>
  <c r="A90" i="3" a="1"/>
  <c r="A89" i="3" a="1"/>
  <c r="A88" i="3" a="1"/>
  <c r="A87" i="3" a="1"/>
  <c r="A86" i="3" a="1"/>
  <c r="A85" i="3" a="1"/>
  <c r="A84" i="3" a="1"/>
  <c r="A83" i="3" a="1"/>
  <c r="A82" i="3" a="1"/>
  <c r="A81" i="3" a="1"/>
  <c r="A80" i="3" a="1"/>
  <c r="A79" i="3" a="1"/>
  <c r="A78" i="3" a="1"/>
  <c r="A77" i="3" a="1"/>
  <c r="A76" i="3" a="1"/>
  <c r="A75" i="3" a="1"/>
  <c r="A74" i="3" a="1"/>
  <c r="A73" i="3" a="1"/>
  <c r="A72" i="3" a="1"/>
  <c r="A71" i="3" a="1"/>
  <c r="A70" i="3" a="1"/>
  <c r="A69" i="3" a="1"/>
  <c r="A68" i="3" a="1"/>
  <c r="A67" i="3" a="1"/>
  <c r="A66" i="3" a="1"/>
  <c r="A65" i="3" a="1"/>
  <c r="A64" i="3" a="1"/>
  <c r="A63" i="3" a="1"/>
  <c r="A62" i="3" a="1"/>
  <c r="A61" i="3" a="1"/>
  <c r="A60" i="3" a="1"/>
  <c r="A59" i="3" a="1"/>
  <c r="A58" i="3" a="1"/>
  <c r="A57" i="3" a="1"/>
  <c r="A56" i="3" a="1"/>
  <c r="A55" i="3" a="1"/>
  <c r="A54" i="3" a="1"/>
  <c r="A53" i="3" a="1"/>
  <c r="A52" i="3" a="1"/>
  <c r="A51" i="3" a="1"/>
  <c r="A50" i="3" a="1"/>
  <c r="A49" i="3" a="1"/>
  <c r="A48" i="3" a="1"/>
  <c r="A47" i="3" a="1"/>
  <c r="A46" i="3" a="1"/>
  <c r="A45" i="3" a="1"/>
  <c r="A44" i="3" a="1"/>
  <c r="A43" i="3" a="1"/>
  <c r="A42" i="3" a="1"/>
  <c r="A41" i="3" a="1"/>
  <c r="A40" i="3" a="1"/>
  <c r="A39" i="3" a="1"/>
  <c r="A38" i="3" a="1"/>
  <c r="A37" i="3" a="1"/>
  <c r="A36" i="3" a="1"/>
  <c r="U277" i="1"/>
  <c r="T277" i="1"/>
  <c r="S277" i="1"/>
  <c r="R277" i="1"/>
  <c r="Q277" i="1"/>
  <c r="P277" i="1"/>
  <c r="O277" i="1"/>
  <c r="N277" i="1"/>
  <c r="M277" i="1"/>
  <c r="L277" i="1"/>
  <c r="K277" i="1"/>
  <c r="J277" i="1"/>
  <c r="I277" i="1"/>
  <c r="H277" i="1"/>
  <c r="G277" i="1"/>
  <c r="F277" i="1"/>
  <c r="E276" i="1"/>
  <c r="V276" i="1" s="1"/>
  <c r="W276" i="1" s="1"/>
  <c r="E275" i="1"/>
  <c r="V275" i="1" s="1"/>
  <c r="W275" i="1" s="1"/>
  <c r="E274" i="1"/>
  <c r="V274" i="1" s="1"/>
  <c r="W274" i="1" s="1"/>
  <c r="AA273" i="1"/>
  <c r="E273" i="1"/>
  <c r="V273" i="1" s="1"/>
  <c r="W273" i="1" s="1"/>
  <c r="W272" i="1"/>
  <c r="E272" i="1"/>
  <c r="V272" i="1" s="1"/>
  <c r="W271" i="1"/>
  <c r="E271" i="1"/>
  <c r="V271" i="1" s="1"/>
  <c r="W270" i="1"/>
  <c r="E270" i="1"/>
  <c r="V270" i="1" s="1"/>
  <c r="W269" i="1"/>
  <c r="E269" i="1"/>
  <c r="V269" i="1" s="1"/>
  <c r="W268" i="1"/>
  <c r="E268" i="1"/>
  <c r="V268" i="1" s="1"/>
  <c r="W267" i="1"/>
  <c r="E267" i="1"/>
  <c r="V267" i="1" s="1"/>
  <c r="W266" i="1"/>
  <c r="E266" i="1"/>
  <c r="V266" i="1" s="1"/>
  <c r="W265" i="1"/>
  <c r="E265" i="1"/>
  <c r="V265" i="1" s="1"/>
  <c r="W264" i="1"/>
  <c r="E264" i="1"/>
  <c r="V264" i="1" s="1"/>
  <c r="W263" i="1"/>
  <c r="E263" i="1"/>
  <c r="V263" i="1" s="1"/>
  <c r="W262" i="1"/>
  <c r="E262" i="1"/>
  <c r="V262" i="1" s="1"/>
  <c r="W261" i="1"/>
  <c r="E261" i="1"/>
  <c r="V261" i="1" s="1"/>
  <c r="AA260" i="1"/>
  <c r="E260" i="1"/>
  <c r="V260" i="1" s="1"/>
  <c r="W260" i="1" s="1"/>
  <c r="W259" i="1"/>
  <c r="E259" i="1"/>
  <c r="V259" i="1" s="1"/>
  <c r="W258" i="1"/>
  <c r="E258" i="1"/>
  <c r="V258" i="1" s="1"/>
  <c r="W257" i="1"/>
  <c r="E257" i="1"/>
  <c r="V257" i="1" s="1"/>
  <c r="W256" i="1"/>
  <c r="E256" i="1"/>
  <c r="V256" i="1" s="1"/>
  <c r="W255" i="1"/>
  <c r="E255" i="1"/>
  <c r="V255" i="1" s="1"/>
  <c r="W254" i="1"/>
  <c r="E254" i="1"/>
  <c r="V254" i="1" s="1"/>
  <c r="AF253" i="1"/>
  <c r="W253" i="1"/>
  <c r="E253" i="1"/>
  <c r="V253" i="1" s="1"/>
  <c r="AF252" i="1"/>
  <c r="W252" i="1"/>
  <c r="E252" i="1"/>
  <c r="V252" i="1" s="1"/>
  <c r="AF251" i="1"/>
  <c r="W251" i="1"/>
  <c r="E251" i="1"/>
  <c r="V251" i="1" s="1"/>
  <c r="AF250" i="1"/>
  <c r="W250" i="1"/>
  <c r="E250" i="1"/>
  <c r="V250" i="1" s="1"/>
  <c r="AF249" i="1"/>
  <c r="W249" i="1"/>
  <c r="E249" i="1"/>
  <c r="V249" i="1" s="1"/>
  <c r="AF248" i="1"/>
  <c r="W248" i="1"/>
  <c r="E248" i="1"/>
  <c r="V248" i="1" s="1"/>
  <c r="AF247" i="1"/>
  <c r="W247" i="1"/>
  <c r="E247" i="1"/>
  <c r="V247" i="1" s="1"/>
  <c r="AF246" i="1"/>
  <c r="W246" i="1"/>
  <c r="E246" i="1"/>
  <c r="V246" i="1" s="1"/>
  <c r="AF245" i="1"/>
  <c r="W245" i="1"/>
  <c r="E245" i="1"/>
  <c r="V245" i="1" s="1"/>
  <c r="AF244" i="1"/>
  <c r="W244" i="1"/>
  <c r="E244" i="1"/>
  <c r="V244" i="1" s="1"/>
  <c r="AF243" i="1"/>
  <c r="W243" i="1"/>
  <c r="E243" i="1"/>
  <c r="V243" i="1" s="1"/>
  <c r="AF242" i="1"/>
  <c r="W242" i="1"/>
  <c r="E242" i="1"/>
  <c r="V242" i="1" s="1"/>
  <c r="AF241" i="1"/>
  <c r="W241" i="1"/>
  <c r="E241" i="1"/>
  <c r="V241" i="1" s="1"/>
  <c r="AF240" i="1"/>
  <c r="W240" i="1"/>
  <c r="E240" i="1"/>
  <c r="V240" i="1" s="1"/>
  <c r="AF239" i="1"/>
  <c r="W239" i="1"/>
  <c r="E239" i="1"/>
  <c r="V239" i="1" s="1"/>
  <c r="AF238" i="1"/>
  <c r="W238" i="1"/>
  <c r="E238" i="1"/>
  <c r="V238" i="1" s="1"/>
  <c r="AF237" i="1"/>
  <c r="W237" i="1"/>
  <c r="E237" i="1"/>
  <c r="V237" i="1" s="1"/>
  <c r="V235" i="1" s="1"/>
  <c r="U235" i="1"/>
  <c r="T235" i="1"/>
  <c r="S235" i="1"/>
  <c r="R235" i="1"/>
  <c r="Q235" i="1"/>
  <c r="P235" i="1"/>
  <c r="O235" i="1"/>
  <c r="N235" i="1"/>
  <c r="M235" i="1"/>
  <c r="L235" i="1"/>
  <c r="K235" i="1"/>
  <c r="J235" i="1"/>
  <c r="I235" i="1"/>
  <c r="H235" i="1"/>
  <c r="G235" i="1"/>
  <c r="F235" i="1"/>
  <c r="V231" i="1"/>
  <c r="U231" i="1"/>
  <c r="T231" i="1"/>
  <c r="S231" i="1"/>
  <c r="R231" i="1"/>
  <c r="Q231" i="1"/>
  <c r="P231" i="1"/>
  <c r="O231" i="1"/>
  <c r="N231" i="1"/>
  <c r="M231" i="1"/>
  <c r="L231" i="1"/>
  <c r="K231" i="1"/>
  <c r="J231" i="1"/>
  <c r="I231" i="1"/>
  <c r="H231" i="1"/>
  <c r="G231" i="1"/>
  <c r="F231" i="1"/>
  <c r="B230" i="1"/>
  <c r="D230" i="1" s="1"/>
  <c r="U220" i="1"/>
  <c r="T220" i="1"/>
  <c r="S220" i="1"/>
  <c r="R220" i="1"/>
  <c r="Q220" i="1"/>
  <c r="P220" i="1"/>
  <c r="O220" i="1"/>
  <c r="N220" i="1"/>
  <c r="M220" i="1"/>
  <c r="L220" i="1"/>
  <c r="K220" i="1"/>
  <c r="J220" i="1"/>
  <c r="I220" i="1"/>
  <c r="H220" i="1"/>
  <c r="G220" i="1"/>
  <c r="F220" i="1"/>
  <c r="E219" i="1"/>
  <c r="V219" i="1" s="1"/>
  <c r="W219" i="1" s="1"/>
  <c r="E218" i="1"/>
  <c r="V218" i="1" s="1"/>
  <c r="W218" i="1" s="1"/>
  <c r="E217" i="1"/>
  <c r="V217" i="1" s="1"/>
  <c r="W217" i="1" s="1"/>
  <c r="AA216" i="1"/>
  <c r="E216" i="1"/>
  <c r="V216" i="1" s="1"/>
  <c r="W216" i="1" s="1"/>
  <c r="W215" i="1"/>
  <c r="E215" i="1"/>
  <c r="V215" i="1" s="1"/>
  <c r="W214" i="1"/>
  <c r="E214" i="1"/>
  <c r="V214" i="1" s="1"/>
  <c r="W213" i="1"/>
  <c r="E213" i="1"/>
  <c r="V213" i="1" s="1"/>
  <c r="W212" i="1"/>
  <c r="E212" i="1"/>
  <c r="V212" i="1" s="1"/>
  <c r="W211" i="1"/>
  <c r="E211" i="1"/>
  <c r="V211" i="1" s="1"/>
  <c r="W210" i="1"/>
  <c r="E210" i="1"/>
  <c r="V210" i="1" s="1"/>
  <c r="W209" i="1"/>
  <c r="E209" i="1"/>
  <c r="V209" i="1" s="1"/>
  <c r="W208" i="1"/>
  <c r="E208" i="1"/>
  <c r="V208" i="1" s="1"/>
  <c r="W207" i="1"/>
  <c r="E207" i="1"/>
  <c r="V207" i="1" s="1"/>
  <c r="W206" i="1"/>
  <c r="E206" i="1"/>
  <c r="V206" i="1" s="1"/>
  <c r="W205" i="1"/>
  <c r="E205" i="1"/>
  <c r="V205" i="1" s="1"/>
  <c r="W204" i="1"/>
  <c r="E204" i="1"/>
  <c r="V204" i="1" s="1"/>
  <c r="AA203" i="1"/>
  <c r="E203" i="1"/>
  <c r="V203" i="1" s="1"/>
  <c r="W203" i="1" s="1"/>
  <c r="W202" i="1"/>
  <c r="E202" i="1"/>
  <c r="V202" i="1" s="1"/>
  <c r="W201" i="1"/>
  <c r="E201" i="1"/>
  <c r="V201" i="1" s="1"/>
  <c r="W200" i="1"/>
  <c r="E200" i="1"/>
  <c r="V200" i="1" s="1"/>
  <c r="W199" i="1"/>
  <c r="E199" i="1"/>
  <c r="V199" i="1" s="1"/>
  <c r="W198" i="1"/>
  <c r="E198" i="1"/>
  <c r="V198" i="1" s="1"/>
  <c r="W197" i="1"/>
  <c r="E197" i="1"/>
  <c r="V197" i="1" s="1"/>
  <c r="AF196" i="1"/>
  <c r="W196" i="1"/>
  <c r="E196" i="1"/>
  <c r="V196" i="1" s="1"/>
  <c r="AF195" i="1"/>
  <c r="W195" i="1"/>
  <c r="E195" i="1"/>
  <c r="V195" i="1" s="1"/>
  <c r="AF194" i="1"/>
  <c r="W194" i="1"/>
  <c r="E194" i="1"/>
  <c r="V194" i="1" s="1"/>
  <c r="AF193" i="1"/>
  <c r="W193" i="1"/>
  <c r="E193" i="1"/>
  <c r="V193" i="1" s="1"/>
  <c r="AF192" i="1"/>
  <c r="W192" i="1"/>
  <c r="E192" i="1"/>
  <c r="V192" i="1" s="1"/>
  <c r="AF191" i="1"/>
  <c r="W191" i="1"/>
  <c r="E191" i="1"/>
  <c r="V191" i="1" s="1"/>
  <c r="AF190" i="1"/>
  <c r="W190" i="1"/>
  <c r="E190" i="1"/>
  <c r="V190" i="1" s="1"/>
  <c r="AF189" i="1"/>
  <c r="W189" i="1"/>
  <c r="E189" i="1"/>
  <c r="V189" i="1" s="1"/>
  <c r="AF188" i="1"/>
  <c r="W188" i="1"/>
  <c r="E188" i="1"/>
  <c r="V188" i="1" s="1"/>
  <c r="AF187" i="1"/>
  <c r="W187" i="1"/>
  <c r="E187" i="1"/>
  <c r="V187" i="1" s="1"/>
  <c r="AF186" i="1"/>
  <c r="W186" i="1"/>
  <c r="E186" i="1"/>
  <c r="V186" i="1" s="1"/>
  <c r="AF185" i="1"/>
  <c r="W185" i="1"/>
  <c r="E185" i="1"/>
  <c r="V185" i="1" s="1"/>
  <c r="AF184" i="1"/>
  <c r="W184" i="1"/>
  <c r="E184" i="1"/>
  <c r="V184" i="1" s="1"/>
  <c r="AF183" i="1"/>
  <c r="W183" i="1"/>
  <c r="E183" i="1"/>
  <c r="V183" i="1" s="1"/>
  <c r="AF182" i="1"/>
  <c r="W182" i="1"/>
  <c r="E182" i="1"/>
  <c r="V182" i="1" s="1"/>
  <c r="AF181" i="1"/>
  <c r="W181" i="1"/>
  <c r="E181" i="1"/>
  <c r="V181" i="1" s="1"/>
  <c r="AF180" i="1"/>
  <c r="B227" i="1" s="1"/>
  <c r="W180" i="1"/>
  <c r="E180" i="1"/>
  <c r="V180" i="1" s="1"/>
  <c r="V178" i="1" s="1"/>
  <c r="U178" i="1"/>
  <c r="T178" i="1"/>
  <c r="S178" i="1"/>
  <c r="R178" i="1"/>
  <c r="Q178" i="1"/>
  <c r="P178" i="1"/>
  <c r="O178" i="1"/>
  <c r="N178" i="1"/>
  <c r="M178" i="1"/>
  <c r="L178" i="1"/>
  <c r="K178" i="1"/>
  <c r="J178" i="1"/>
  <c r="I178" i="1"/>
  <c r="H178" i="1"/>
  <c r="G178" i="1"/>
  <c r="F178" i="1"/>
  <c r="V174" i="1"/>
  <c r="U174" i="1"/>
  <c r="T174" i="1"/>
  <c r="S174" i="1"/>
  <c r="R174" i="1"/>
  <c r="Q174" i="1"/>
  <c r="P174" i="1"/>
  <c r="O174" i="1"/>
  <c r="N174" i="1"/>
  <c r="M174" i="1"/>
  <c r="L174" i="1"/>
  <c r="K174" i="1"/>
  <c r="J174" i="1"/>
  <c r="I174" i="1"/>
  <c r="H174" i="1"/>
  <c r="G174" i="1"/>
  <c r="F174" i="1"/>
  <c r="B173" i="1"/>
  <c r="D173" i="1" s="1"/>
  <c r="U163" i="1"/>
  <c r="T163" i="1"/>
  <c r="S163" i="1"/>
  <c r="R163" i="1"/>
  <c r="Q163" i="1"/>
  <c r="P163" i="1"/>
  <c r="O163" i="1"/>
  <c r="N163" i="1"/>
  <c r="M163" i="1"/>
  <c r="L163" i="1"/>
  <c r="K163" i="1"/>
  <c r="J163" i="1"/>
  <c r="I163" i="1"/>
  <c r="H163" i="1"/>
  <c r="G163" i="1"/>
  <c r="F163" i="1"/>
  <c r="E162" i="1"/>
  <c r="V162" i="1" s="1"/>
  <c r="W162" i="1" s="1"/>
  <c r="E161" i="1"/>
  <c r="V161" i="1" s="1"/>
  <c r="W161" i="1" s="1"/>
  <c r="E160" i="1"/>
  <c r="V160" i="1" s="1"/>
  <c r="W160" i="1" s="1"/>
  <c r="AA159" i="1"/>
  <c r="E159" i="1"/>
  <c r="V159" i="1" s="1"/>
  <c r="W159" i="1" s="1"/>
  <c r="W158" i="1"/>
  <c r="E158" i="1"/>
  <c r="V158" i="1" s="1"/>
  <c r="W157" i="1"/>
  <c r="E157" i="1"/>
  <c r="V157" i="1" s="1"/>
  <c r="W156" i="1"/>
  <c r="E156" i="1"/>
  <c r="V156" i="1" s="1"/>
  <c r="W155" i="1"/>
  <c r="E155" i="1"/>
  <c r="V155" i="1" s="1"/>
  <c r="W154" i="1"/>
  <c r="E154" i="1"/>
  <c r="V154" i="1" s="1"/>
  <c r="W153" i="1"/>
  <c r="E153" i="1"/>
  <c r="V153" i="1" s="1"/>
  <c r="W152" i="1"/>
  <c r="E152" i="1"/>
  <c r="V152" i="1" s="1"/>
  <c r="A152" i="1"/>
  <c r="A209" i="1" s="1"/>
  <c r="A266" i="1" s="1"/>
  <c r="W151" i="1"/>
  <c r="E151" i="1"/>
  <c r="V151" i="1" s="1"/>
  <c r="A151" i="1"/>
  <c r="A208" i="1" s="1"/>
  <c r="A265" i="1" s="1"/>
  <c r="W150" i="1"/>
  <c r="E150" i="1"/>
  <c r="V150" i="1" s="1"/>
  <c r="A150" i="1"/>
  <c r="A207" i="1" s="1"/>
  <c r="A264" i="1" s="1"/>
  <c r="W149" i="1"/>
  <c r="E149" i="1"/>
  <c r="V149" i="1" s="1"/>
  <c r="A149" i="1"/>
  <c r="A206" i="1" s="1"/>
  <c r="A263" i="1" s="1"/>
  <c r="W148" i="1"/>
  <c r="E148" i="1"/>
  <c r="V148" i="1" s="1"/>
  <c r="A148" i="1"/>
  <c r="A205" i="1" s="1"/>
  <c r="A262" i="1" s="1"/>
  <c r="W147" i="1"/>
  <c r="E147" i="1"/>
  <c r="V147" i="1" s="1"/>
  <c r="A147" i="1"/>
  <c r="A204" i="1" s="1"/>
  <c r="A261" i="1" s="1"/>
  <c r="AA146" i="1"/>
  <c r="E146" i="1"/>
  <c r="V146" i="1" s="1"/>
  <c r="W146" i="1" s="1"/>
  <c r="A146" i="1"/>
  <c r="W145" i="1"/>
  <c r="E145" i="1"/>
  <c r="V145" i="1" s="1"/>
  <c r="A145" i="1"/>
  <c r="A202" i="1" s="1"/>
  <c r="A259" i="1" s="1"/>
  <c r="W144" i="1"/>
  <c r="E144" i="1"/>
  <c r="V144" i="1" s="1"/>
  <c r="A144" i="1"/>
  <c r="A201" i="1" s="1"/>
  <c r="A258" i="1" s="1"/>
  <c r="W143" i="1"/>
  <c r="E143" i="1"/>
  <c r="V143" i="1" s="1"/>
  <c r="A143" i="1"/>
  <c r="A200" i="1" s="1"/>
  <c r="A257" i="1" s="1"/>
  <c r="W142" i="1"/>
  <c r="E142" i="1"/>
  <c r="V142" i="1" s="1"/>
  <c r="A142" i="1"/>
  <c r="A199" i="1" s="1"/>
  <c r="A256" i="1" s="1"/>
  <c r="W141" i="1"/>
  <c r="E141" i="1"/>
  <c r="V141" i="1" s="1"/>
  <c r="A141" i="1"/>
  <c r="A198" i="1" s="1"/>
  <c r="W140" i="1"/>
  <c r="E140" i="1"/>
  <c r="V140" i="1" s="1"/>
  <c r="A140" i="1"/>
  <c r="A197" i="1" s="1"/>
  <c r="AF139" i="1"/>
  <c r="W139" i="1"/>
  <c r="E139" i="1"/>
  <c r="V139" i="1" s="1"/>
  <c r="A139" i="1"/>
  <c r="A196" i="1" s="1"/>
  <c r="AF138" i="1"/>
  <c r="W138" i="1"/>
  <c r="E138" i="1"/>
  <c r="V138" i="1" s="1"/>
  <c r="A138" i="1"/>
  <c r="A195" i="1" s="1"/>
  <c r="A252" i="1" s="1"/>
  <c r="AF137" i="1"/>
  <c r="W137" i="1"/>
  <c r="E137" i="1"/>
  <c r="V137" i="1" s="1"/>
  <c r="A137" i="1"/>
  <c r="A194" i="1" s="1"/>
  <c r="A251" i="1" s="1"/>
  <c r="AF136" i="1"/>
  <c r="W136" i="1"/>
  <c r="E136" i="1"/>
  <c r="V136" i="1" s="1"/>
  <c r="A136" i="1"/>
  <c r="A193" i="1" s="1"/>
  <c r="A250" i="1" s="1"/>
  <c r="AF135" i="1"/>
  <c r="W135" i="1"/>
  <c r="E135" i="1"/>
  <c r="V135" i="1" s="1"/>
  <c r="A135" i="1"/>
  <c r="A192" i="1" s="1"/>
  <c r="A249" i="1" s="1"/>
  <c r="AF134" i="1"/>
  <c r="W134" i="1"/>
  <c r="E134" i="1"/>
  <c r="V134" i="1" s="1"/>
  <c r="A134" i="1"/>
  <c r="A191" i="1" s="1"/>
  <c r="A248" i="1" s="1"/>
  <c r="AF133" i="1"/>
  <c r="W133" i="1"/>
  <c r="E133" i="1"/>
  <c r="V133" i="1" s="1"/>
  <c r="A133" i="1"/>
  <c r="A190" i="1" s="1"/>
  <c r="A247" i="1" s="1"/>
  <c r="AF132" i="1"/>
  <c r="W132" i="1"/>
  <c r="E132" i="1"/>
  <c r="V132" i="1" s="1"/>
  <c r="A132" i="1"/>
  <c r="A189" i="1" s="1"/>
  <c r="A246" i="1" s="1"/>
  <c r="AF131" i="1"/>
  <c r="W131" i="1"/>
  <c r="E131" i="1"/>
  <c r="V131" i="1" s="1"/>
  <c r="A131" i="1"/>
  <c r="A188" i="1" s="1"/>
  <c r="A245" i="1" s="1"/>
  <c r="AF130" i="1"/>
  <c r="W130" i="1"/>
  <c r="E130" i="1"/>
  <c r="V130" i="1" s="1"/>
  <c r="A130" i="1"/>
  <c r="A187" i="1" s="1"/>
  <c r="A244" i="1" s="1"/>
  <c r="AF129" i="1"/>
  <c r="W129" i="1"/>
  <c r="E129" i="1"/>
  <c r="V129" i="1" s="1"/>
  <c r="A129" i="1"/>
  <c r="A186" i="1" s="1"/>
  <c r="A243" i="1" s="1"/>
  <c r="AF128" i="1"/>
  <c r="W128" i="1"/>
  <c r="E128" i="1"/>
  <c r="V128" i="1" s="1"/>
  <c r="A128" i="1"/>
  <c r="A185" i="1" s="1"/>
  <c r="A242" i="1" s="1"/>
  <c r="AF127" i="1"/>
  <c r="W127" i="1"/>
  <c r="E127" i="1"/>
  <c r="V127" i="1" s="1"/>
  <c r="A127" i="1"/>
  <c r="A184" i="1" s="1"/>
  <c r="A241" i="1" s="1"/>
  <c r="AF126" i="1"/>
  <c r="W126" i="1"/>
  <c r="E126" i="1"/>
  <c r="V126" i="1" s="1"/>
  <c r="A126" i="1"/>
  <c r="A183" i="1" s="1"/>
  <c r="A240" i="1" s="1"/>
  <c r="AF125" i="1"/>
  <c r="W125" i="1"/>
  <c r="E125" i="1"/>
  <c r="V125" i="1" s="1"/>
  <c r="A125" i="1"/>
  <c r="A182" i="1" s="1"/>
  <c r="A239" i="1" s="1"/>
  <c r="AF124" i="1"/>
  <c r="W124" i="1"/>
  <c r="E124" i="1"/>
  <c r="V124" i="1" s="1"/>
  <c r="A124" i="1"/>
  <c r="A181" i="1" s="1"/>
  <c r="A238" i="1" s="1"/>
  <c r="AF123" i="1"/>
  <c r="W123" i="1"/>
  <c r="E123" i="1"/>
  <c r="V123" i="1" s="1"/>
  <c r="V121" i="1" s="1"/>
  <c r="A123" i="1"/>
  <c r="A180" i="1" s="1"/>
  <c r="A237" i="1" s="1"/>
  <c r="U121" i="1"/>
  <c r="T121" i="1"/>
  <c r="S121" i="1"/>
  <c r="R121" i="1"/>
  <c r="Q121" i="1"/>
  <c r="P121" i="1"/>
  <c r="O121" i="1"/>
  <c r="N121" i="1"/>
  <c r="M121" i="1"/>
  <c r="L121" i="1"/>
  <c r="K121" i="1"/>
  <c r="J121" i="1"/>
  <c r="I121" i="1"/>
  <c r="H121" i="1"/>
  <c r="G121" i="1"/>
  <c r="F121" i="1"/>
  <c r="V117" i="1"/>
  <c r="U117" i="1"/>
  <c r="T117" i="1"/>
  <c r="S117" i="1"/>
  <c r="R117" i="1"/>
  <c r="Q117" i="1"/>
  <c r="P117" i="1"/>
  <c r="O117" i="1"/>
  <c r="N117" i="1"/>
  <c r="M117" i="1"/>
  <c r="L117" i="1"/>
  <c r="K117" i="1"/>
  <c r="J117" i="1"/>
  <c r="I117" i="1"/>
  <c r="H117" i="1"/>
  <c r="G117" i="1"/>
  <c r="F117" i="1"/>
  <c r="B116" i="1"/>
  <c r="D116" i="1" s="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E67" i="1" s="1"/>
  <c r="A66" i="1"/>
  <c r="U106" i="1"/>
  <c r="T106" i="1"/>
  <c r="S106" i="1"/>
  <c r="R106" i="1"/>
  <c r="Q106" i="1"/>
  <c r="P106" i="1"/>
  <c r="O106" i="1"/>
  <c r="N106" i="1"/>
  <c r="M106" i="1"/>
  <c r="L106" i="1"/>
  <c r="K106" i="1"/>
  <c r="J106" i="1"/>
  <c r="I106" i="1"/>
  <c r="H106" i="1"/>
  <c r="G106" i="1"/>
  <c r="F106" i="1"/>
  <c r="E105" i="1"/>
  <c r="V105" i="1" s="1"/>
  <c r="W105" i="1" s="1"/>
  <c r="E104" i="1"/>
  <c r="V104" i="1" s="1"/>
  <c r="W104" i="1" s="1"/>
  <c r="E103" i="1"/>
  <c r="V103" i="1" s="1"/>
  <c r="W103" i="1" s="1"/>
  <c r="AA102" i="1"/>
  <c r="E102" i="1"/>
  <c r="V102" i="1" s="1"/>
  <c r="W102" i="1" s="1"/>
  <c r="W101" i="1"/>
  <c r="E101" i="1"/>
  <c r="V101" i="1" s="1"/>
  <c r="W100" i="1"/>
  <c r="E100" i="1"/>
  <c r="V100" i="1" s="1"/>
  <c r="W99" i="1"/>
  <c r="E99" i="1"/>
  <c r="V99" i="1" s="1"/>
  <c r="W98" i="1"/>
  <c r="E98" i="1"/>
  <c r="V98" i="1" s="1"/>
  <c r="W97" i="1"/>
  <c r="E97" i="1"/>
  <c r="V97" i="1" s="1"/>
  <c r="W96" i="1"/>
  <c r="E96" i="1"/>
  <c r="V96" i="1" s="1"/>
  <c r="AE95" i="1"/>
  <c r="AD95" i="1"/>
  <c r="W95" i="1"/>
  <c r="E95" i="1"/>
  <c r="V95" i="1" s="1"/>
  <c r="AE94" i="1"/>
  <c r="AD94" i="1"/>
  <c r="W94" i="1"/>
  <c r="E94" i="1"/>
  <c r="V94" i="1" s="1"/>
  <c r="AE93" i="1"/>
  <c r="AD93" i="1"/>
  <c r="W93" i="1"/>
  <c r="E93" i="1"/>
  <c r="V93" i="1" s="1"/>
  <c r="AE92" i="1"/>
  <c r="AD92" i="1"/>
  <c r="W92" i="1"/>
  <c r="E92" i="1"/>
  <c r="V92" i="1" s="1"/>
  <c r="AE91" i="1"/>
  <c r="AD91" i="1"/>
  <c r="W91" i="1"/>
  <c r="E91" i="1"/>
  <c r="V91" i="1" s="1"/>
  <c r="AE90" i="1"/>
  <c r="AD90" i="1"/>
  <c r="W90" i="1"/>
  <c r="E90" i="1"/>
  <c r="V90" i="1" s="1"/>
  <c r="AE89" i="1"/>
  <c r="AD89" i="1"/>
  <c r="AA89" i="1"/>
  <c r="AB89" i="1" s="1"/>
  <c r="E89" i="1"/>
  <c r="V89" i="1" s="1"/>
  <c r="W89" i="1" s="1"/>
  <c r="AE88" i="1"/>
  <c r="AD88" i="1"/>
  <c r="W88" i="1"/>
  <c r="E88" i="1"/>
  <c r="V88" i="1" s="1"/>
  <c r="AE87" i="1"/>
  <c r="AD87" i="1"/>
  <c r="W87" i="1"/>
  <c r="E87" i="1"/>
  <c r="V87" i="1" s="1"/>
  <c r="AE86" i="1"/>
  <c r="AD86" i="1"/>
  <c r="W86" i="1"/>
  <c r="E86" i="1"/>
  <c r="V86" i="1" s="1"/>
  <c r="AE85" i="1"/>
  <c r="AD85" i="1"/>
  <c r="W85" i="1"/>
  <c r="E85" i="1"/>
  <c r="V85" i="1" s="1"/>
  <c r="AE84" i="1"/>
  <c r="AD84" i="1"/>
  <c r="W84" i="1"/>
  <c r="E84" i="1"/>
  <c r="V84" i="1" s="1"/>
  <c r="AE83" i="1"/>
  <c r="AD83" i="1"/>
  <c r="W83" i="1"/>
  <c r="E83" i="1"/>
  <c r="V83" i="1" s="1"/>
  <c r="AF82" i="1"/>
  <c r="AE82" i="1"/>
  <c r="AD82" i="1"/>
  <c r="W82" i="1"/>
  <c r="E82" i="1"/>
  <c r="V82" i="1" s="1"/>
  <c r="AF81" i="1"/>
  <c r="W81" i="1"/>
  <c r="E81" i="1"/>
  <c r="V81" i="1" s="1"/>
  <c r="AF80" i="1"/>
  <c r="W80" i="1"/>
  <c r="E80" i="1"/>
  <c r="V80" i="1" s="1"/>
  <c r="AF79" i="1"/>
  <c r="W79" i="1"/>
  <c r="E79" i="1"/>
  <c r="V79" i="1" s="1"/>
  <c r="AF78" i="1"/>
  <c r="W78" i="1"/>
  <c r="E78" i="1"/>
  <c r="V78" i="1" s="1"/>
  <c r="AF77" i="1"/>
  <c r="W77" i="1"/>
  <c r="E77" i="1"/>
  <c r="V77" i="1" s="1"/>
  <c r="AF76" i="1"/>
  <c r="W76" i="1"/>
  <c r="E76" i="1"/>
  <c r="V76" i="1" s="1"/>
  <c r="AF75" i="1"/>
  <c r="W75" i="1"/>
  <c r="E75" i="1"/>
  <c r="V75" i="1" s="1"/>
  <c r="AF74" i="1"/>
  <c r="W74" i="1"/>
  <c r="E74" i="1"/>
  <c r="V74" i="1" s="1"/>
  <c r="AF73" i="1"/>
  <c r="W73" i="1"/>
  <c r="E73" i="1"/>
  <c r="V73" i="1" s="1"/>
  <c r="AF72" i="1"/>
  <c r="W72" i="1"/>
  <c r="E72" i="1"/>
  <c r="V72" i="1" s="1"/>
  <c r="AF71" i="1"/>
  <c r="W71" i="1"/>
  <c r="E71" i="1"/>
  <c r="V71" i="1" s="1"/>
  <c r="AF70" i="1"/>
  <c r="W70" i="1"/>
  <c r="E70" i="1"/>
  <c r="V70" i="1" s="1"/>
  <c r="AF69" i="1"/>
  <c r="W69" i="1"/>
  <c r="E69" i="1"/>
  <c r="V69" i="1" s="1"/>
  <c r="AF68" i="1"/>
  <c r="W68" i="1"/>
  <c r="E68" i="1"/>
  <c r="V68" i="1" s="1"/>
  <c r="AF67" i="1"/>
  <c r="AD67" i="1"/>
  <c r="W67" i="1"/>
  <c r="E67" i="1"/>
  <c r="V67" i="1" s="1"/>
  <c r="AF66" i="1"/>
  <c r="B113" i="1" s="1"/>
  <c r="AE66" i="1"/>
  <c r="AD66" i="1"/>
  <c r="W66" i="1"/>
  <c r="E66" i="1"/>
  <c r="V66" i="1" s="1"/>
  <c r="U64" i="1"/>
  <c r="T64" i="1"/>
  <c r="S64" i="1"/>
  <c r="R64" i="1"/>
  <c r="Q64" i="1"/>
  <c r="P64" i="1"/>
  <c r="O64" i="1"/>
  <c r="N64" i="1"/>
  <c r="M64" i="1"/>
  <c r="L64" i="1"/>
  <c r="K64" i="1"/>
  <c r="J64" i="1"/>
  <c r="I64" i="1"/>
  <c r="H64" i="1"/>
  <c r="G64" i="1"/>
  <c r="F64" i="1"/>
  <c r="V60" i="1"/>
  <c r="U60" i="1"/>
  <c r="T60" i="1"/>
  <c r="S60" i="1"/>
  <c r="R60" i="1"/>
  <c r="Q60" i="1"/>
  <c r="P60" i="1"/>
  <c r="O60" i="1"/>
  <c r="N60" i="1"/>
  <c r="M60" i="1"/>
  <c r="L60" i="1"/>
  <c r="K60" i="1"/>
  <c r="J60" i="1"/>
  <c r="I60" i="1"/>
  <c r="H60" i="1"/>
  <c r="G60" i="1"/>
  <c r="F60" i="1"/>
  <c r="B59" i="1"/>
  <c r="D59" i="1" s="1"/>
  <c r="AD29" i="1"/>
  <c r="B2" i="1"/>
  <c r="D2" i="1" s="1"/>
  <c r="AF24" i="1"/>
  <c r="AF23" i="1"/>
  <c r="AF22" i="1"/>
  <c r="AF21" i="1"/>
  <c r="AF20" i="1"/>
  <c r="AF19" i="1"/>
  <c r="AF18" i="1"/>
  <c r="AF17" i="1"/>
  <c r="AF16" i="1"/>
  <c r="AF15" i="1"/>
  <c r="AF14" i="1"/>
  <c r="AF13" i="1"/>
  <c r="AF12" i="1"/>
  <c r="AF11" i="1"/>
  <c r="AF10" i="1"/>
  <c r="AF9" i="1"/>
  <c r="AD48" i="1"/>
  <c r="AD47" i="1"/>
  <c r="AD46" i="1"/>
  <c r="AD45" i="1"/>
  <c r="AD44" i="1"/>
  <c r="AD43" i="1"/>
  <c r="AD42" i="1"/>
  <c r="AD41" i="1"/>
  <c r="AD40" i="1"/>
  <c r="AD39" i="1"/>
  <c r="AD38" i="1"/>
  <c r="AD37" i="1"/>
  <c r="AD36" i="1"/>
  <c r="AD35" i="1"/>
  <c r="AD34" i="1"/>
  <c r="AD33" i="1"/>
  <c r="AD32" i="1"/>
  <c r="AD31" i="1"/>
  <c r="AD30" i="1"/>
  <c r="AD28" i="1"/>
  <c r="AD27" i="1"/>
  <c r="AD26" i="1"/>
  <c r="AD25" i="1"/>
  <c r="AD24" i="1"/>
  <c r="AD23" i="1"/>
  <c r="AD22" i="1"/>
  <c r="AD21" i="1"/>
  <c r="AD20" i="1"/>
  <c r="AD19" i="1"/>
  <c r="AD18" i="1"/>
  <c r="AD17" i="1"/>
  <c r="AD16" i="1"/>
  <c r="AD15" i="1"/>
  <c r="AD14" i="1"/>
  <c r="AD13" i="1"/>
  <c r="AD12" i="1"/>
  <c r="AD11" i="1"/>
  <c r="AD10" i="1"/>
  <c r="AF25" i="1"/>
  <c r="AE48" i="1"/>
  <c r="AE47" i="1"/>
  <c r="AE46" i="1"/>
  <c r="AE45" i="1"/>
  <c r="AE44" i="1"/>
  <c r="AE43" i="1"/>
  <c r="AE42" i="1"/>
  <c r="AE41" i="1"/>
  <c r="AE40" i="1"/>
  <c r="AE39" i="1"/>
  <c r="AE38" i="1"/>
  <c r="AE37" i="1"/>
  <c r="AE36" i="1"/>
  <c r="AE35" i="1"/>
  <c r="AE34" i="1"/>
  <c r="AE33" i="1"/>
  <c r="AE32" i="1"/>
  <c r="AE31" i="1"/>
  <c r="AE30" i="1"/>
  <c r="AE21" i="1"/>
  <c r="AE28" i="1"/>
  <c r="AE27" i="1"/>
  <c r="AE26" i="1"/>
  <c r="AE25" i="1"/>
  <c r="AE24" i="1"/>
  <c r="AE23" i="1"/>
  <c r="AE22" i="1"/>
  <c r="AE20" i="1"/>
  <c r="AE19" i="1"/>
  <c r="AE18" i="1"/>
  <c r="AE17" i="1"/>
  <c r="AE16" i="1"/>
  <c r="AE15" i="1"/>
  <c r="AE14" i="1"/>
  <c r="AE13" i="1"/>
  <c r="AE12" i="1"/>
  <c r="AE11" i="1"/>
  <c r="AE10" i="1"/>
  <c r="AE29" i="1"/>
  <c r="E48" i="1"/>
  <c r="V48" i="1" s="1"/>
  <c r="W48" i="1" s="1"/>
  <c r="E47" i="1"/>
  <c r="V47" i="1" s="1"/>
  <c r="W47" i="1" s="1"/>
  <c r="E46" i="1"/>
  <c r="V46" i="1" s="1"/>
  <c r="W46" i="1" s="1"/>
  <c r="E45" i="1"/>
  <c r="V45" i="1" s="1"/>
  <c r="W45" i="1" s="1"/>
  <c r="E44" i="1"/>
  <c r="V44" i="1" s="1"/>
  <c r="W44" i="1" s="1"/>
  <c r="E43" i="1"/>
  <c r="V43" i="1" s="1"/>
  <c r="W43" i="1" s="1"/>
  <c r="E42" i="1"/>
  <c r="V42" i="1" s="1"/>
  <c r="W42" i="1" s="1"/>
  <c r="E41" i="1"/>
  <c r="V41" i="1" s="1"/>
  <c r="W41" i="1" s="1"/>
  <c r="E40" i="1"/>
  <c r="V40" i="1" s="1"/>
  <c r="W40" i="1" s="1"/>
  <c r="E39" i="1"/>
  <c r="V39" i="1" s="1"/>
  <c r="W39" i="1" s="1"/>
  <c r="E38" i="1"/>
  <c r="V38" i="1" s="1"/>
  <c r="W38" i="1" s="1"/>
  <c r="E37" i="1"/>
  <c r="V37" i="1" s="1"/>
  <c r="W37" i="1" s="1"/>
  <c r="E36" i="1"/>
  <c r="V36" i="1" s="1"/>
  <c r="W36" i="1" s="1"/>
  <c r="E35" i="1"/>
  <c r="V35" i="1" s="1"/>
  <c r="W35" i="1" s="1"/>
  <c r="E34" i="1"/>
  <c r="V34" i="1" s="1"/>
  <c r="W34" i="1" s="1"/>
  <c r="E33" i="1"/>
  <c r="V33" i="1" s="1"/>
  <c r="W33" i="1" s="1"/>
  <c r="E32" i="1"/>
  <c r="V32" i="1" s="1"/>
  <c r="W32" i="1" s="1"/>
  <c r="E31" i="1"/>
  <c r="V31" i="1" s="1"/>
  <c r="W31" i="1" s="1"/>
  <c r="E30" i="1"/>
  <c r="V30" i="1" s="1"/>
  <c r="W30" i="1" s="1"/>
  <c r="E29" i="1"/>
  <c r="V29" i="1" s="1"/>
  <c r="W29" i="1" s="1"/>
  <c r="E28" i="1"/>
  <c r="V28" i="1" s="1"/>
  <c r="W28" i="1" s="1"/>
  <c r="E27" i="1"/>
  <c r="V27" i="1" s="1"/>
  <c r="W27" i="1" s="1"/>
  <c r="E26" i="1"/>
  <c r="V26" i="1" s="1"/>
  <c r="W26" i="1" s="1"/>
  <c r="E25" i="1"/>
  <c r="V25" i="1" s="1"/>
  <c r="W25" i="1" s="1"/>
  <c r="E24" i="1"/>
  <c r="V24" i="1" s="1"/>
  <c r="W24" i="1" s="1"/>
  <c r="E23" i="1"/>
  <c r="V23" i="1" s="1"/>
  <c r="W23" i="1" s="1"/>
  <c r="E22" i="1"/>
  <c r="V22" i="1" s="1"/>
  <c r="W22" i="1" s="1"/>
  <c r="E21" i="1"/>
  <c r="V21" i="1" s="1"/>
  <c r="W21" i="1" s="1"/>
  <c r="E20" i="1"/>
  <c r="V20" i="1" s="1"/>
  <c r="W20" i="1" s="1"/>
  <c r="E19" i="1"/>
  <c r="V19" i="1" s="1"/>
  <c r="W19" i="1" s="1"/>
  <c r="E18" i="1"/>
  <c r="V18" i="1" s="1"/>
  <c r="W18" i="1" s="1"/>
  <c r="E17" i="1"/>
  <c r="V17" i="1" s="1"/>
  <c r="W17" i="1" s="1"/>
  <c r="E16" i="1"/>
  <c r="V16" i="1" s="1"/>
  <c r="W16" i="1" s="1"/>
  <c r="E15" i="1"/>
  <c r="V15" i="1" s="1"/>
  <c r="W15" i="1" s="1"/>
  <c r="E14" i="1"/>
  <c r="V14" i="1" s="1"/>
  <c r="W14" i="1" s="1"/>
  <c r="E13" i="1"/>
  <c r="V13" i="1" s="1"/>
  <c r="W13" i="1" s="1"/>
  <c r="E12" i="1"/>
  <c r="V12" i="1" s="1"/>
  <c r="W12" i="1" s="1"/>
  <c r="E11" i="1"/>
  <c r="V11" i="1" s="1"/>
  <c r="W11" i="1" s="1"/>
  <c r="E10" i="1"/>
  <c r="V10" i="1" s="1"/>
  <c r="W10" i="1" s="1"/>
  <c r="E9" i="1"/>
  <c r="V9" i="1" s="1"/>
  <c r="W9" i="1" s="1"/>
  <c r="U7" i="1"/>
  <c r="T7" i="1"/>
  <c r="S7" i="1"/>
  <c r="R7" i="1"/>
  <c r="Q7" i="1"/>
  <c r="P7" i="1"/>
  <c r="O7" i="1"/>
  <c r="N7" i="1"/>
  <c r="M7" i="1"/>
  <c r="L7" i="1"/>
  <c r="K7" i="1"/>
  <c r="J7" i="1"/>
  <c r="I7" i="1"/>
  <c r="H7" i="1"/>
  <c r="G7" i="1"/>
  <c r="F7" i="1"/>
  <c r="U49" i="1"/>
  <c r="T49" i="1"/>
  <c r="S49" i="1"/>
  <c r="R49" i="1"/>
  <c r="Q49" i="1"/>
  <c r="P49" i="1"/>
  <c r="O49" i="1"/>
  <c r="N49" i="1"/>
  <c r="M49" i="1"/>
  <c r="L49" i="1"/>
  <c r="K49" i="1"/>
  <c r="J49" i="1"/>
  <c r="I49" i="1"/>
  <c r="H49" i="1"/>
  <c r="G49" i="1"/>
  <c r="F49" i="1"/>
  <c r="V3" i="1"/>
  <c r="F3" i="1"/>
  <c r="G3" i="1"/>
  <c r="H3" i="1"/>
  <c r="I3" i="1"/>
  <c r="J3" i="1"/>
  <c r="K3" i="1"/>
  <c r="L3" i="1"/>
  <c r="M3" i="1"/>
  <c r="N3" i="1"/>
  <c r="O3" i="1"/>
  <c r="P3" i="1"/>
  <c r="Q3" i="1"/>
  <c r="R3" i="1"/>
  <c r="S3" i="1"/>
  <c r="T3" i="1"/>
  <c r="U3" i="1"/>
  <c r="AB102" i="1" l="1"/>
  <c r="A162" i="1"/>
  <c r="A219" i="1" s="1"/>
  <c r="A276" i="1" s="1"/>
  <c r="AE105" i="1"/>
  <c r="AD105" i="1"/>
  <c r="A161" i="1"/>
  <c r="A218" i="1" s="1"/>
  <c r="A275" i="1" s="1"/>
  <c r="AE104" i="1"/>
  <c r="AD104" i="1"/>
  <c r="A160" i="1"/>
  <c r="A217" i="1" s="1"/>
  <c r="A274" i="1" s="1"/>
  <c r="AE103" i="1"/>
  <c r="AD103" i="1"/>
  <c r="A159" i="1"/>
  <c r="A216" i="1" s="1"/>
  <c r="AE102" i="1"/>
  <c r="AD102" i="1"/>
  <c r="A158" i="1"/>
  <c r="A215" i="1" s="1"/>
  <c r="A272" i="1" s="1"/>
  <c r="AE101" i="1"/>
  <c r="AD101" i="1"/>
  <c r="A157" i="1"/>
  <c r="A214" i="1" s="1"/>
  <c r="A271" i="1" s="1"/>
  <c r="AE100" i="1"/>
  <c r="AD100" i="1"/>
  <c r="A156" i="1"/>
  <c r="A213" i="1" s="1"/>
  <c r="A270" i="1" s="1"/>
  <c r="AE99" i="1"/>
  <c r="AD99" i="1"/>
  <c r="A155" i="1"/>
  <c r="A212" i="1" s="1"/>
  <c r="A269" i="1" s="1"/>
  <c r="AE98" i="1"/>
  <c r="AD98" i="1"/>
  <c r="A154" i="1"/>
  <c r="A211" i="1" s="1"/>
  <c r="A268" i="1" s="1"/>
  <c r="AE97" i="1"/>
  <c r="AD97" i="1"/>
  <c r="A153" i="1"/>
  <c r="A210" i="1" s="1"/>
  <c r="A267" i="1" s="1"/>
  <c r="AE96" i="1"/>
  <c r="B112" i="1" s="1"/>
  <c r="AD96" i="1"/>
  <c r="B110" i="1" s="1"/>
  <c r="B53" i="1"/>
  <c r="AB146" i="1"/>
  <c r="A203" i="1"/>
  <c r="A260" i="1" s="1"/>
  <c r="AD146" i="1"/>
  <c r="AE146" i="1"/>
  <c r="AD196" i="1"/>
  <c r="AE196" i="1"/>
  <c r="A253" i="1"/>
  <c r="B170" i="1"/>
  <c r="B284" i="1"/>
  <c r="X276" i="1" a="1"/>
  <c r="Y276" i="1" s="1"/>
  <c r="AA276" i="1" s="1"/>
  <c r="AB276" i="1" s="1"/>
  <c r="Z276" i="1" a="1"/>
  <c r="AE276" i="1"/>
  <c r="AD276" i="1"/>
  <c r="AC276" i="1"/>
  <c r="X275" i="1" a="1"/>
  <c r="Y275" i="1" s="1"/>
  <c r="AA275" i="1" s="1"/>
  <c r="AB275" i="1" s="1"/>
  <c r="Z275" i="1" a="1"/>
  <c r="AC275" i="1" s="1"/>
  <c r="AE275" i="1"/>
  <c r="AD275" i="1"/>
  <c r="X274" i="1" a="1"/>
  <c r="Y274" i="1" s="1"/>
  <c r="AA274" i="1" s="1"/>
  <c r="AB274" i="1" s="1"/>
  <c r="Z274" i="1" a="1"/>
  <c r="AD274" i="1"/>
  <c r="AE274" i="1"/>
  <c r="AC274" i="1"/>
  <c r="X273" i="1" a="1"/>
  <c r="Y273" i="1" s="1"/>
  <c r="Z273" i="1" a="1"/>
  <c r="AC273" i="1" s="1"/>
  <c r="AE273" i="1"/>
  <c r="AD273" i="1"/>
  <c r="AB273" i="1"/>
  <c r="X272" i="1" a="1"/>
  <c r="Y272" i="1" s="1"/>
  <c r="AA272" i="1" s="1"/>
  <c r="AB272" i="1" s="1"/>
  <c r="Z272" i="1" a="1"/>
  <c r="AE272" i="1"/>
  <c r="AD272" i="1"/>
  <c r="AC272" i="1"/>
  <c r="X271" i="1" a="1"/>
  <c r="Y271" i="1" s="1"/>
  <c r="AA271" i="1" s="1"/>
  <c r="AB271" i="1" s="1"/>
  <c r="Z271" i="1" a="1"/>
  <c r="AE271" i="1"/>
  <c r="AD271" i="1"/>
  <c r="AC271" i="1"/>
  <c r="Z270" i="1" a="1"/>
  <c r="X270" i="1" a="1"/>
  <c r="Y270" i="1" s="1"/>
  <c r="AA270" i="1" s="1"/>
  <c r="AB270" i="1" s="1"/>
  <c r="AE270" i="1"/>
  <c r="AD270" i="1"/>
  <c r="AC270" i="1"/>
  <c r="Z269" i="1" a="1"/>
  <c r="X269" i="1" a="1"/>
  <c r="Y269" i="1" s="1"/>
  <c r="AA269" i="1" s="1"/>
  <c r="AB269" i="1" s="1"/>
  <c r="AE269" i="1"/>
  <c r="AD269" i="1"/>
  <c r="AC269" i="1"/>
  <c r="Z268" i="1" a="1"/>
  <c r="AC268" i="1" s="1"/>
  <c r="X268" i="1" a="1"/>
  <c r="Y268" i="1" s="1"/>
  <c r="AA268" i="1" s="1"/>
  <c r="AB268" i="1" s="1"/>
  <c r="AE268" i="1"/>
  <c r="AD268" i="1"/>
  <c r="Z267" i="1" a="1"/>
  <c r="X267" i="1" a="1"/>
  <c r="Y267" i="1" s="1"/>
  <c r="AA267" i="1" s="1"/>
  <c r="AE267" i="1"/>
  <c r="AD267" i="1"/>
  <c r="AC267" i="1"/>
  <c r="Z266" i="1" a="1"/>
  <c r="X266" i="1" a="1"/>
  <c r="Y266" i="1" s="1"/>
  <c r="AA266" i="1" s="1"/>
  <c r="AB266" i="1" s="1"/>
  <c r="AE266" i="1"/>
  <c r="AD266" i="1"/>
  <c r="AC266" i="1"/>
  <c r="Z265" i="1" a="1"/>
  <c r="X265" i="1" a="1"/>
  <c r="Y265" i="1" s="1"/>
  <c r="AA265" i="1" s="1"/>
  <c r="AB265" i="1" s="1"/>
  <c r="AE265" i="1"/>
  <c r="AD265" i="1"/>
  <c r="AC265" i="1"/>
  <c r="Z264" i="1" a="1"/>
  <c r="AC264" i="1" s="1"/>
  <c r="X264" i="1" a="1"/>
  <c r="Y264" i="1" s="1"/>
  <c r="AA264" i="1" s="1"/>
  <c r="AB264" i="1" s="1"/>
  <c r="AD264" i="1"/>
  <c r="AE264" i="1"/>
  <c r="Z263" i="1" a="1"/>
  <c r="X263" i="1" a="1"/>
  <c r="Y263" i="1" s="1"/>
  <c r="AA263" i="1" s="1"/>
  <c r="AB263" i="1" s="1"/>
  <c r="AE263" i="1"/>
  <c r="AD263" i="1"/>
  <c r="AC263" i="1"/>
  <c r="Z262" i="1" a="1"/>
  <c r="AC262" i="1" s="1"/>
  <c r="X262" i="1" a="1"/>
  <c r="Y262" i="1" s="1"/>
  <c r="AA262" i="1" s="1"/>
  <c r="AB262" i="1" s="1"/>
  <c r="AE262" i="1"/>
  <c r="AD262" i="1"/>
  <c r="Z261" i="1" a="1"/>
  <c r="X261" i="1" a="1"/>
  <c r="Y261" i="1" s="1"/>
  <c r="AA261" i="1" s="1"/>
  <c r="AB261" i="1" s="1"/>
  <c r="AC261" i="1"/>
  <c r="AE261" i="1"/>
  <c r="AD261" i="1"/>
  <c r="X260" i="1" a="1"/>
  <c r="Y260" i="1" s="1"/>
  <c r="Z260" i="1" a="1"/>
  <c r="AC260" i="1" s="1"/>
  <c r="AE260" i="1"/>
  <c r="AD260" i="1"/>
  <c r="AB260" i="1"/>
  <c r="X259" i="1" a="1"/>
  <c r="Y259" i="1" s="1"/>
  <c r="AA259" i="1" s="1"/>
  <c r="AB259" i="1" s="1"/>
  <c r="Z259" i="1" a="1"/>
  <c r="AE259" i="1"/>
  <c r="AD259" i="1"/>
  <c r="AC259" i="1"/>
  <c r="Z258" i="1" a="1"/>
  <c r="X258" i="1" a="1"/>
  <c r="Y258" i="1" s="1"/>
  <c r="AA258" i="1" s="1"/>
  <c r="AB258" i="1" s="1"/>
  <c r="AE258" i="1"/>
  <c r="AD258" i="1"/>
  <c r="AC258" i="1"/>
  <c r="Z257" i="1" a="1"/>
  <c r="X257" i="1" a="1"/>
  <c r="Y257" i="1" s="1"/>
  <c r="AA257" i="1" s="1"/>
  <c r="AB257" i="1" s="1"/>
  <c r="AC257" i="1"/>
  <c r="AE257" i="1"/>
  <c r="AD257" i="1"/>
  <c r="Z256" i="1" a="1"/>
  <c r="X256" i="1" a="1"/>
  <c r="Y256" i="1" s="1"/>
  <c r="AA256" i="1" s="1"/>
  <c r="AD256" i="1"/>
  <c r="AE256" i="1"/>
  <c r="AC256" i="1"/>
  <c r="AB256" i="1"/>
  <c r="Z255" i="1" a="1"/>
  <c r="X255" i="1" a="1"/>
  <c r="Y255" i="1" s="1"/>
  <c r="AA255" i="1" s="1"/>
  <c r="Z254" i="1" a="1"/>
  <c r="X254" i="1" a="1"/>
  <c r="Y254" i="1" s="1"/>
  <c r="AA254" i="1" s="1"/>
  <c r="X253" i="1" a="1"/>
  <c r="Y253" i="1" s="1"/>
  <c r="AA253" i="1" s="1"/>
  <c r="AB253" i="1" s="1"/>
  <c r="Z253" i="1" a="1"/>
  <c r="AC253" i="1"/>
  <c r="AD253" i="1"/>
  <c r="AE253" i="1"/>
  <c r="Z252" i="1" a="1"/>
  <c r="AC252" i="1" s="1"/>
  <c r="X252" i="1" a="1"/>
  <c r="Y252" i="1" s="1"/>
  <c r="AA252" i="1" s="1"/>
  <c r="AB252" i="1" s="1"/>
  <c r="AE252" i="1"/>
  <c r="AD252" i="1"/>
  <c r="Z251" i="1" a="1"/>
  <c r="X251" i="1" a="1"/>
  <c r="Y251" i="1" s="1"/>
  <c r="AA251" i="1" s="1"/>
  <c r="AB251" i="1" s="1"/>
  <c r="AE251" i="1"/>
  <c r="AD251" i="1"/>
  <c r="AC251" i="1"/>
  <c r="Z250" i="1" a="1"/>
  <c r="X250" i="1" a="1"/>
  <c r="Y250" i="1" s="1"/>
  <c r="AA250" i="1" s="1"/>
  <c r="AB250" i="1" s="1"/>
  <c r="AC250" i="1"/>
  <c r="AD250" i="1"/>
  <c r="AE250" i="1"/>
  <c r="Z249" i="1" a="1"/>
  <c r="AC249" i="1" s="1"/>
  <c r="X249" i="1" a="1"/>
  <c r="Y249" i="1" s="1"/>
  <c r="AA249" i="1" s="1"/>
  <c r="AB249" i="1" s="1"/>
  <c r="AE249" i="1"/>
  <c r="AD249" i="1"/>
  <c r="X248" i="1" a="1"/>
  <c r="Y248" i="1" s="1"/>
  <c r="AA248" i="1" s="1"/>
  <c r="AB248" i="1" s="1"/>
  <c r="Z248" i="1" a="1"/>
  <c r="AE248" i="1"/>
  <c r="AD248" i="1"/>
  <c r="AC248" i="1"/>
  <c r="X247" i="1" a="1"/>
  <c r="Y247" i="1" s="1"/>
  <c r="AA247" i="1" s="1"/>
  <c r="AB247" i="1" s="1"/>
  <c r="Z247" i="1" a="1"/>
  <c r="AC247" i="1" s="1"/>
  <c r="AD247" i="1"/>
  <c r="AE247" i="1"/>
  <c r="Z246" i="1" a="1"/>
  <c r="AC246" i="1" s="1"/>
  <c r="X246" i="1" a="1"/>
  <c r="Y246" i="1" s="1"/>
  <c r="AA246" i="1" s="1"/>
  <c r="AB246" i="1" s="1"/>
  <c r="AE246" i="1"/>
  <c r="AD246" i="1"/>
  <c r="X245" i="1" a="1"/>
  <c r="Y245" i="1" s="1"/>
  <c r="AA245" i="1" s="1"/>
  <c r="Z245" i="1" a="1"/>
  <c r="AE245" i="1"/>
  <c r="AC245" i="1"/>
  <c r="AB245" i="1"/>
  <c r="AD245" i="1"/>
  <c r="Z244" i="1" a="1"/>
  <c r="AC244" i="1" s="1"/>
  <c r="X244" i="1" a="1"/>
  <c r="Y244" i="1" s="1"/>
  <c r="AA244" i="1" s="1"/>
  <c r="AE244" i="1"/>
  <c r="AD244" i="1"/>
  <c r="AB244" i="1"/>
  <c r="Z243" i="1" a="1"/>
  <c r="X243" i="1" a="1"/>
  <c r="Y243" i="1" s="1"/>
  <c r="AA243" i="1" s="1"/>
  <c r="AD243" i="1"/>
  <c r="AE243" i="1"/>
  <c r="AC243" i="1"/>
  <c r="AB243" i="1"/>
  <c r="X242" i="1" a="1"/>
  <c r="Y242" i="1" s="1"/>
  <c r="AA242" i="1" s="1"/>
  <c r="Z242" i="1" a="1"/>
  <c r="AE242" i="1"/>
  <c r="AD242" i="1"/>
  <c r="AC242" i="1"/>
  <c r="AB242" i="1"/>
  <c r="X241" i="1" a="1"/>
  <c r="Y241" i="1" s="1"/>
  <c r="AA241" i="1" s="1"/>
  <c r="AB241" i="1" s="1"/>
  <c r="Z241" i="1" a="1"/>
  <c r="AE241" i="1"/>
  <c r="AD241" i="1"/>
  <c r="AC241" i="1"/>
  <c r="Z240" i="1" a="1"/>
  <c r="AC240" i="1" s="1"/>
  <c r="X240" i="1" a="1"/>
  <c r="Y240" i="1" s="1"/>
  <c r="AA240" i="1" s="1"/>
  <c r="AB240" i="1" s="1"/>
  <c r="AE240" i="1"/>
  <c r="AD240" i="1"/>
  <c r="X239" i="1" a="1"/>
  <c r="Y239" i="1" s="1"/>
  <c r="AA239" i="1" s="1"/>
  <c r="AB239" i="1" s="1"/>
  <c r="Z239" i="1" a="1"/>
  <c r="AE239" i="1"/>
  <c r="AD239" i="1"/>
  <c r="AC239" i="1"/>
  <c r="X238" i="1" a="1"/>
  <c r="Y238" i="1" s="1"/>
  <c r="AA238" i="1" s="1"/>
  <c r="AB238" i="1" s="1"/>
  <c r="Z238" i="1" a="1"/>
  <c r="AE238" i="1"/>
  <c r="AD238" i="1"/>
  <c r="AC238" i="1"/>
  <c r="X237" i="1" a="1"/>
  <c r="Y237" i="1" s="1"/>
  <c r="AA237" i="1" s="1"/>
  <c r="Z237" i="1" a="1"/>
  <c r="AC237" i="1" s="1"/>
  <c r="AE237" i="1"/>
  <c r="AD237" i="1"/>
  <c r="AB237" i="1"/>
  <c r="A278" i="1"/>
  <c r="A279" i="1"/>
  <c r="A280" i="1"/>
  <c r="A281" i="1"/>
  <c r="A282" i="1"/>
  <c r="A283" i="1"/>
  <c r="A284" i="1"/>
  <c r="X219" i="1" a="1"/>
  <c r="Y219" i="1" s="1"/>
  <c r="AA219" i="1" s="1"/>
  <c r="AB219" i="1" s="1"/>
  <c r="Z219" i="1" a="1"/>
  <c r="AE219" i="1"/>
  <c r="AD219" i="1"/>
  <c r="AC219" i="1"/>
  <c r="X218" i="1" a="1"/>
  <c r="Y218" i="1" s="1"/>
  <c r="AA218" i="1" s="1"/>
  <c r="AB218" i="1" s="1"/>
  <c r="Z218" i="1" a="1"/>
  <c r="AE218" i="1"/>
  <c r="AD218" i="1"/>
  <c r="AC218" i="1"/>
  <c r="X217" i="1" a="1"/>
  <c r="Y217" i="1" s="1"/>
  <c r="AA217" i="1" s="1"/>
  <c r="AB217" i="1" s="1"/>
  <c r="Z217" i="1" a="1"/>
  <c r="AE217" i="1"/>
  <c r="AD217" i="1"/>
  <c r="AC217" i="1"/>
  <c r="X216" i="1" a="1"/>
  <c r="Y216" i="1" s="1"/>
  <c r="Z216" i="1" a="1"/>
  <c r="Z215" i="1" a="1"/>
  <c r="X215" i="1" a="1"/>
  <c r="Y215" i="1" s="1"/>
  <c r="AA215" i="1" s="1"/>
  <c r="AB215" i="1" s="1"/>
  <c r="AE215" i="1"/>
  <c r="AD215" i="1"/>
  <c r="AC215" i="1"/>
  <c r="Z214" i="1" a="1"/>
  <c r="X214" i="1" a="1"/>
  <c r="Y214" i="1" s="1"/>
  <c r="AA214" i="1" s="1"/>
  <c r="AB214" i="1" s="1"/>
  <c r="AE214" i="1"/>
  <c r="AD214" i="1"/>
  <c r="AC214" i="1"/>
  <c r="Z213" i="1" a="1"/>
  <c r="X213" i="1" a="1"/>
  <c r="Y213" i="1" s="1"/>
  <c r="AA213" i="1" s="1"/>
  <c r="AB213" i="1" s="1"/>
  <c r="AD213" i="1"/>
  <c r="AE213" i="1"/>
  <c r="AC213" i="1"/>
  <c r="Z212" i="1" a="1"/>
  <c r="X212" i="1" a="1"/>
  <c r="Y212" i="1" s="1"/>
  <c r="AA212" i="1" s="1"/>
  <c r="AB212" i="1" s="1"/>
  <c r="AE212" i="1"/>
  <c r="AD212" i="1"/>
  <c r="AC212" i="1"/>
  <c r="Z211" i="1" a="1"/>
  <c r="X211" i="1" a="1"/>
  <c r="Y211" i="1" s="1"/>
  <c r="AA211" i="1" s="1"/>
  <c r="AE211" i="1"/>
  <c r="AD211" i="1"/>
  <c r="AC211" i="1"/>
  <c r="AB211" i="1"/>
  <c r="Z210" i="1" a="1"/>
  <c r="X210" i="1" a="1"/>
  <c r="Y210" i="1" s="1"/>
  <c r="AA210" i="1" s="1"/>
  <c r="AE210" i="1"/>
  <c r="AD210" i="1"/>
  <c r="AC210" i="1"/>
  <c r="AB210" i="1"/>
  <c r="Z209" i="1" a="1"/>
  <c r="X209" i="1" a="1"/>
  <c r="Y209" i="1" s="1"/>
  <c r="AA209" i="1" s="1"/>
  <c r="AD209" i="1"/>
  <c r="AC209" i="1"/>
  <c r="AB209" i="1"/>
  <c r="AE209" i="1"/>
  <c r="X208" i="1" a="1"/>
  <c r="Y208" i="1" s="1"/>
  <c r="AA208" i="1" s="1"/>
  <c r="Z208" i="1" a="1"/>
  <c r="AE208" i="1"/>
  <c r="AD208" i="1"/>
  <c r="AC208" i="1"/>
  <c r="AB208" i="1"/>
  <c r="X207" i="1" a="1"/>
  <c r="Y207" i="1" s="1"/>
  <c r="AA207" i="1" s="1"/>
  <c r="Z207" i="1" a="1"/>
  <c r="AE207" i="1"/>
  <c r="AD207" i="1"/>
  <c r="AC207" i="1"/>
  <c r="AB207" i="1"/>
  <c r="Z206" i="1" a="1"/>
  <c r="X206" i="1" a="1"/>
  <c r="Y206" i="1" s="1"/>
  <c r="AA206" i="1" s="1"/>
  <c r="AB206" i="1" s="1"/>
  <c r="AE206" i="1"/>
  <c r="AD206" i="1"/>
  <c r="AC206" i="1"/>
  <c r="Z205" i="1" a="1"/>
  <c r="X205" i="1" a="1"/>
  <c r="Y205" i="1" s="1"/>
  <c r="AA205" i="1" s="1"/>
  <c r="AB205" i="1" s="1"/>
  <c r="AE205" i="1"/>
  <c r="AD205" i="1"/>
  <c r="AC205" i="1"/>
  <c r="X204" i="1" a="1"/>
  <c r="Y204" i="1" s="1"/>
  <c r="AA204" i="1" s="1"/>
  <c r="AB204" i="1" s="1"/>
  <c r="Z204" i="1" a="1"/>
  <c r="AC204" i="1" s="1"/>
  <c r="AD204" i="1"/>
  <c r="AE204" i="1"/>
  <c r="X203" i="1" a="1"/>
  <c r="Y203" i="1" s="1"/>
  <c r="Z203" i="1" a="1"/>
  <c r="AE203" i="1"/>
  <c r="AD203" i="1"/>
  <c r="AC203" i="1"/>
  <c r="AB203" i="1"/>
  <c r="Z202" i="1" a="1"/>
  <c r="X202" i="1" a="1"/>
  <c r="Y202" i="1" s="1"/>
  <c r="AA202" i="1" s="1"/>
  <c r="AB202" i="1" s="1"/>
  <c r="AE202" i="1"/>
  <c r="AD202" i="1"/>
  <c r="AC202" i="1"/>
  <c r="Z201" i="1" a="1"/>
  <c r="X201" i="1" a="1"/>
  <c r="Y201" i="1" s="1"/>
  <c r="AA201" i="1" s="1"/>
  <c r="AB201" i="1" s="1"/>
  <c r="AE201" i="1"/>
  <c r="AD201" i="1"/>
  <c r="AC201" i="1"/>
  <c r="X200" i="1" a="1"/>
  <c r="Y200" i="1" s="1"/>
  <c r="AA200" i="1" s="1"/>
  <c r="AB200" i="1" s="1"/>
  <c r="Z200" i="1" a="1"/>
  <c r="AE200" i="1"/>
  <c r="AD200" i="1"/>
  <c r="AC200" i="1"/>
  <c r="Z199" i="1" a="1"/>
  <c r="AC199" i="1" s="1"/>
  <c r="X199" i="1" a="1"/>
  <c r="Y199" i="1" s="1"/>
  <c r="AA199" i="1" s="1"/>
  <c r="AB199" i="1" s="1"/>
  <c r="AE199" i="1"/>
  <c r="AD199" i="1"/>
  <c r="Z198" i="1" a="1"/>
  <c r="X198" i="1" a="1"/>
  <c r="Y198" i="1" s="1"/>
  <c r="AA198" i="1" s="1"/>
  <c r="AD198" i="1"/>
  <c r="A255" i="1"/>
  <c r="AE198" i="1"/>
  <c r="AC198" i="1"/>
  <c r="AB198" i="1"/>
  <c r="Z197" i="1" a="1"/>
  <c r="X197" i="1" a="1"/>
  <c r="Y197" i="1" s="1"/>
  <c r="AA197" i="1" s="1"/>
  <c r="AC197" i="1"/>
  <c r="AB197" i="1"/>
  <c r="A254" i="1"/>
  <c r="AE197" i="1"/>
  <c r="AD197" i="1"/>
  <c r="Z196" i="1" a="1"/>
  <c r="AC196" i="1" s="1"/>
  <c r="X196" i="1" a="1"/>
  <c r="Y196" i="1" s="1"/>
  <c r="AA196" i="1" s="1"/>
  <c r="AB196" i="1" s="1"/>
  <c r="Z195" i="1" a="1"/>
  <c r="AC195" i="1" s="1"/>
  <c r="X195" i="1" a="1"/>
  <c r="Y195" i="1" s="1"/>
  <c r="AA195" i="1" s="1"/>
  <c r="AB195" i="1" s="1"/>
  <c r="AE195" i="1"/>
  <c r="AD195" i="1"/>
  <c r="Z194" i="1" a="1"/>
  <c r="X194" i="1" a="1"/>
  <c r="Y194" i="1" s="1"/>
  <c r="AA194" i="1" s="1"/>
  <c r="AB194" i="1"/>
  <c r="AE194" i="1"/>
  <c r="AD194" i="1"/>
  <c r="AC194" i="1"/>
  <c r="Z193" i="1" a="1"/>
  <c r="X193" i="1" a="1"/>
  <c r="Y193" i="1" s="1"/>
  <c r="AA193" i="1" s="1"/>
  <c r="AE193" i="1"/>
  <c r="AD193" i="1"/>
  <c r="AC193" i="1"/>
  <c r="AB193" i="1"/>
  <c r="Z192" i="1" a="1"/>
  <c r="X192" i="1" a="1"/>
  <c r="Y192" i="1" s="1"/>
  <c r="AA192" i="1" s="1"/>
  <c r="AE192" i="1"/>
  <c r="AD192" i="1"/>
  <c r="AC192" i="1"/>
  <c r="AB192" i="1"/>
  <c r="Z191" i="1" a="1"/>
  <c r="X191" i="1" a="1"/>
  <c r="Y191" i="1" s="1"/>
  <c r="AA191" i="1" s="1"/>
  <c r="AE191" i="1"/>
  <c r="AD191" i="1"/>
  <c r="AC191" i="1"/>
  <c r="AB191" i="1"/>
  <c r="Z190" i="1" a="1"/>
  <c r="AC190" i="1" s="1"/>
  <c r="X190" i="1" a="1"/>
  <c r="Y190" i="1" s="1"/>
  <c r="AA190" i="1" s="1"/>
  <c r="AB190" i="1" s="1"/>
  <c r="AE190" i="1"/>
  <c r="AD190" i="1"/>
  <c r="Z189" i="1" a="1"/>
  <c r="X189" i="1" a="1"/>
  <c r="Y189" i="1" s="1"/>
  <c r="AA189" i="1" s="1"/>
  <c r="AB189" i="1" s="1"/>
  <c r="AE189" i="1"/>
  <c r="AD189" i="1"/>
  <c r="AC189" i="1"/>
  <c r="Z188" i="1" a="1"/>
  <c r="X188" i="1" a="1"/>
  <c r="Y188" i="1" s="1"/>
  <c r="AA188" i="1" s="1"/>
  <c r="AB188" i="1" s="1"/>
  <c r="AE188" i="1"/>
  <c r="AD188" i="1"/>
  <c r="AC188" i="1"/>
  <c r="Z187" i="1" a="1"/>
  <c r="X187" i="1" a="1"/>
  <c r="Y187" i="1" s="1"/>
  <c r="AA187" i="1" s="1"/>
  <c r="AB187" i="1" s="1"/>
  <c r="AE187" i="1"/>
  <c r="AD187" i="1"/>
  <c r="AC187" i="1"/>
  <c r="Z186" i="1" a="1"/>
  <c r="AC186" i="1" s="1"/>
  <c r="X186" i="1" a="1"/>
  <c r="Y186" i="1" s="1"/>
  <c r="AA186" i="1" s="1"/>
  <c r="AB186" i="1" s="1"/>
  <c r="AE186" i="1"/>
  <c r="AD186" i="1"/>
  <c r="Z185" i="1" a="1"/>
  <c r="X185" i="1" a="1"/>
  <c r="Y185" i="1" s="1"/>
  <c r="AA185" i="1" s="1"/>
  <c r="AE185" i="1"/>
  <c r="AD185" i="1"/>
  <c r="AC185" i="1"/>
  <c r="AB185" i="1"/>
  <c r="Z184" i="1" a="1"/>
  <c r="X184" i="1" a="1"/>
  <c r="Y184" i="1" s="1"/>
  <c r="AA184" i="1" s="1"/>
  <c r="AE184" i="1"/>
  <c r="AD184" i="1"/>
  <c r="AC184" i="1"/>
  <c r="AB184" i="1"/>
  <c r="Z183" i="1" a="1"/>
  <c r="X183" i="1" a="1"/>
  <c r="Y183" i="1" s="1"/>
  <c r="AA183" i="1" s="1"/>
  <c r="AE183" i="1"/>
  <c r="AD183" i="1"/>
  <c r="AC183" i="1"/>
  <c r="AB183" i="1"/>
  <c r="Z182" i="1" a="1"/>
  <c r="AC182" i="1" s="1"/>
  <c r="X182" i="1" a="1"/>
  <c r="Y182" i="1" s="1"/>
  <c r="AA182" i="1" s="1"/>
  <c r="AB182" i="1" s="1"/>
  <c r="AE182" i="1"/>
  <c r="AD182" i="1"/>
  <c r="Z181" i="1" a="1"/>
  <c r="X181" i="1" a="1"/>
  <c r="Y181" i="1" s="1"/>
  <c r="AA181" i="1" s="1"/>
  <c r="AB181" i="1" s="1"/>
  <c r="AE181" i="1"/>
  <c r="AD181" i="1"/>
  <c r="AC181" i="1"/>
  <c r="Z180" i="1" a="1"/>
  <c r="X180" i="1" a="1"/>
  <c r="Y180" i="1" s="1"/>
  <c r="AA180" i="1" s="1"/>
  <c r="AB180" i="1" s="1"/>
  <c r="AE180" i="1"/>
  <c r="AD180" i="1"/>
  <c r="AC180" i="1"/>
  <c r="A222" i="1"/>
  <c r="A224" i="1"/>
  <c r="A226" i="1"/>
  <c r="A227" i="1"/>
  <c r="A28" i="3" s="1" a="1"/>
  <c r="A221" i="1"/>
  <c r="A223" i="1"/>
  <c r="A225" i="1"/>
  <c r="X162" i="1" a="1"/>
  <c r="Y162" i="1" s="1"/>
  <c r="AA162" i="1" s="1"/>
  <c r="Z162" i="1" a="1"/>
  <c r="AC162" i="1" s="1"/>
  <c r="AE162" i="1"/>
  <c r="AD162" i="1"/>
  <c r="AB162" i="1"/>
  <c r="X161" i="1" a="1"/>
  <c r="Y161" i="1" s="1"/>
  <c r="AA161" i="1" s="1"/>
  <c r="Z161" i="1" a="1"/>
  <c r="AC161" i="1"/>
  <c r="AE161" i="1"/>
  <c r="AD161" i="1"/>
  <c r="AB161" i="1"/>
  <c r="X160" i="1" a="1"/>
  <c r="Y160" i="1" s="1"/>
  <c r="AA160" i="1" s="1"/>
  <c r="AB160" i="1" s="1"/>
  <c r="Z160" i="1" a="1"/>
  <c r="AE160" i="1"/>
  <c r="AD160" i="1"/>
  <c r="AC160" i="1"/>
  <c r="X159" i="1" a="1"/>
  <c r="Y159" i="1" s="1"/>
  <c r="Z159" i="1" a="1"/>
  <c r="AE159" i="1"/>
  <c r="AD159" i="1"/>
  <c r="AC159" i="1"/>
  <c r="AB159" i="1"/>
  <c r="Z158" i="1" a="1"/>
  <c r="X158" i="1" a="1"/>
  <c r="Y158" i="1" s="1"/>
  <c r="AA158" i="1" s="1"/>
  <c r="AE158" i="1"/>
  <c r="AD158" i="1"/>
  <c r="AC158" i="1"/>
  <c r="AB158" i="1"/>
  <c r="X157" i="1" a="1"/>
  <c r="Y157" i="1" s="1"/>
  <c r="AA157" i="1" s="1"/>
  <c r="Z157" i="1" a="1"/>
  <c r="AE157" i="1"/>
  <c r="AD157" i="1"/>
  <c r="AC157" i="1"/>
  <c r="AB157" i="1"/>
  <c r="Z156" i="1" a="1"/>
  <c r="AC156" i="1" s="1"/>
  <c r="X156" i="1" a="1"/>
  <c r="Y156" i="1" s="1"/>
  <c r="AA156" i="1" s="1"/>
  <c r="AB156" i="1" s="1"/>
  <c r="AE156" i="1"/>
  <c r="AD156" i="1"/>
  <c r="X155" i="1" a="1"/>
  <c r="Y155" i="1" s="1"/>
  <c r="AA155" i="1" s="1"/>
  <c r="AB155" i="1" s="1"/>
  <c r="Z155" i="1" a="1"/>
  <c r="AE155" i="1"/>
  <c r="AD155" i="1"/>
  <c r="AC155" i="1"/>
  <c r="Z154" i="1" a="1"/>
  <c r="X154" i="1" a="1"/>
  <c r="Y154" i="1" s="1"/>
  <c r="AA154" i="1" s="1"/>
  <c r="AE154" i="1"/>
  <c r="AD154" i="1"/>
  <c r="AC154" i="1"/>
  <c r="AB154" i="1"/>
  <c r="Z153" i="1" a="1"/>
  <c r="X153" i="1" a="1"/>
  <c r="Y153" i="1" s="1"/>
  <c r="AA153" i="1" s="1"/>
  <c r="AB153" i="1" s="1"/>
  <c r="AE153" i="1"/>
  <c r="AD153" i="1"/>
  <c r="AC153" i="1"/>
  <c r="Z152" i="1" a="1"/>
  <c r="AC152" i="1" s="1"/>
  <c r="X152" i="1" a="1"/>
  <c r="Y152" i="1" s="1"/>
  <c r="AA152" i="1" s="1"/>
  <c r="AB152" i="1" s="1"/>
  <c r="AE152" i="1"/>
  <c r="AD152" i="1"/>
  <c r="Z151" i="1" a="1"/>
  <c r="X151" i="1" a="1"/>
  <c r="Y151" i="1" s="1"/>
  <c r="AA151" i="1" s="1"/>
  <c r="AB151" i="1" s="1"/>
  <c r="AE151" i="1"/>
  <c r="AD151" i="1"/>
  <c r="AC151" i="1"/>
  <c r="Z150" i="1" a="1"/>
  <c r="X150" i="1" a="1"/>
  <c r="Y150" i="1" s="1"/>
  <c r="AA150" i="1" s="1"/>
  <c r="AB150" i="1" s="1"/>
  <c r="AE150" i="1"/>
  <c r="AD150" i="1"/>
  <c r="AC150" i="1"/>
  <c r="Z149" i="1" a="1"/>
  <c r="AC149" i="1" s="1"/>
  <c r="X149" i="1" a="1"/>
  <c r="Y149" i="1" s="1"/>
  <c r="AA149" i="1" s="1"/>
  <c r="AB149" i="1" s="1"/>
  <c r="AE149" i="1"/>
  <c r="AD149" i="1"/>
  <c r="Z148" i="1" a="1"/>
  <c r="X148" i="1" a="1"/>
  <c r="Y148" i="1" s="1"/>
  <c r="AA148" i="1" s="1"/>
  <c r="AB148" i="1" s="1"/>
  <c r="AE148" i="1"/>
  <c r="AD148" i="1"/>
  <c r="AC148" i="1"/>
  <c r="Z147" i="1" a="1"/>
  <c r="AC147" i="1" s="1"/>
  <c r="X147" i="1" a="1"/>
  <c r="Y147" i="1" s="1"/>
  <c r="AA147" i="1" s="1"/>
  <c r="AB147" i="1" s="1"/>
  <c r="AE147" i="1"/>
  <c r="AD147" i="1"/>
  <c r="X146" i="1" a="1"/>
  <c r="Y146" i="1" s="1"/>
  <c r="Z146" i="1" a="1"/>
  <c r="AC146" i="1" s="1"/>
  <c r="Z145" i="1" a="1"/>
  <c r="X145" i="1" a="1"/>
  <c r="Y145" i="1" s="1"/>
  <c r="AA145" i="1" s="1"/>
  <c r="AE145" i="1"/>
  <c r="AD145" i="1"/>
  <c r="AC145" i="1"/>
  <c r="AB145" i="1"/>
  <c r="Z144" i="1" a="1"/>
  <c r="X144" i="1" a="1"/>
  <c r="Y144" i="1" s="1"/>
  <c r="AA144" i="1" s="1"/>
  <c r="AB144" i="1" s="1"/>
  <c r="AE144" i="1"/>
  <c r="AD144" i="1"/>
  <c r="AC144" i="1"/>
  <c r="Z143" i="1" a="1"/>
  <c r="X143" i="1" a="1"/>
  <c r="Y143" i="1" s="1"/>
  <c r="AA143" i="1" s="1"/>
  <c r="AB143" i="1" s="1"/>
  <c r="AE143" i="1"/>
  <c r="AD143" i="1"/>
  <c r="AC143" i="1"/>
  <c r="X142" i="1" a="1"/>
  <c r="Y142" i="1" s="1"/>
  <c r="AA142" i="1" s="1"/>
  <c r="AB142" i="1" s="1"/>
  <c r="Z142" i="1" a="1"/>
  <c r="AE142" i="1"/>
  <c r="AD142" i="1"/>
  <c r="AC142" i="1"/>
  <c r="Z141" i="1" a="1"/>
  <c r="X141" i="1" a="1"/>
  <c r="Y141" i="1" s="1"/>
  <c r="AA141" i="1" s="1"/>
  <c r="AB141" i="1" s="1"/>
  <c r="AE141" i="1"/>
  <c r="AD141" i="1"/>
  <c r="AC141" i="1"/>
  <c r="X140" i="1" a="1"/>
  <c r="Y140" i="1" s="1"/>
  <c r="AA140" i="1" s="1"/>
  <c r="AB140" i="1" s="1"/>
  <c r="Z140" i="1" a="1"/>
  <c r="AE140" i="1"/>
  <c r="AD140" i="1"/>
  <c r="AC140" i="1"/>
  <c r="Z139" i="1" a="1"/>
  <c r="AC139" i="1" s="1"/>
  <c r="X139" i="1" a="1"/>
  <c r="Y139" i="1" s="1"/>
  <c r="AA139" i="1" s="1"/>
  <c r="AB139" i="1" s="1"/>
  <c r="AE139" i="1"/>
  <c r="AD139" i="1"/>
  <c r="Z138" i="1" a="1"/>
  <c r="AC138" i="1" s="1"/>
  <c r="X138" i="1" a="1"/>
  <c r="Y138" i="1" s="1"/>
  <c r="AA138" i="1" s="1"/>
  <c r="AB138" i="1" s="1"/>
  <c r="AE138" i="1"/>
  <c r="AD138" i="1"/>
  <c r="Z137" i="1" a="1"/>
  <c r="X137" i="1" a="1"/>
  <c r="Y137" i="1" s="1"/>
  <c r="AA137" i="1" s="1"/>
  <c r="AB137" i="1" s="1"/>
  <c r="AC137" i="1"/>
  <c r="AD137" i="1"/>
  <c r="AE137" i="1"/>
  <c r="Z136" i="1" a="1"/>
  <c r="X136" i="1" a="1"/>
  <c r="Y136" i="1" s="1"/>
  <c r="AA136" i="1" s="1"/>
  <c r="AB136" i="1" s="1"/>
  <c r="AE136" i="1"/>
  <c r="AD136" i="1"/>
  <c r="AC136" i="1"/>
  <c r="Z135" i="1" a="1"/>
  <c r="X135" i="1" a="1"/>
  <c r="Y135" i="1" s="1"/>
  <c r="AA135" i="1" s="1"/>
  <c r="AB135" i="1" s="1"/>
  <c r="AE135" i="1"/>
  <c r="AD135" i="1"/>
  <c r="AC135" i="1"/>
  <c r="Z134" i="1" a="1"/>
  <c r="AC134" i="1" s="1"/>
  <c r="X134" i="1" a="1"/>
  <c r="Y134" i="1" s="1"/>
  <c r="AA134" i="1" s="1"/>
  <c r="AB134" i="1" s="1"/>
  <c r="AE134" i="1"/>
  <c r="AD134" i="1"/>
  <c r="Z133" i="1" a="1"/>
  <c r="X133" i="1" a="1"/>
  <c r="Y133" i="1" s="1"/>
  <c r="AA133" i="1" s="1"/>
  <c r="AB133" i="1" s="1"/>
  <c r="AE133" i="1"/>
  <c r="AD133" i="1"/>
  <c r="AC133" i="1"/>
  <c r="Z132" i="1" a="1"/>
  <c r="AC132" i="1" s="1"/>
  <c r="X132" i="1" a="1"/>
  <c r="Y132" i="1" s="1"/>
  <c r="AA132" i="1" s="1"/>
  <c r="AB132" i="1" s="1"/>
  <c r="AE132" i="1"/>
  <c r="AD132" i="1"/>
  <c r="Z131" i="1" a="1"/>
  <c r="AC131" i="1" s="1"/>
  <c r="X131" i="1" a="1"/>
  <c r="Y131" i="1" s="1"/>
  <c r="AA131" i="1" s="1"/>
  <c r="AB131" i="1" s="1"/>
  <c r="AE131" i="1"/>
  <c r="AD131" i="1"/>
  <c r="Z130" i="1" a="1"/>
  <c r="AC130" i="1" s="1"/>
  <c r="X130" i="1" a="1"/>
  <c r="Y130" i="1" s="1"/>
  <c r="AA130" i="1" s="1"/>
  <c r="AB130" i="1" s="1"/>
  <c r="AE130" i="1"/>
  <c r="AD130" i="1"/>
  <c r="Z129" i="1" a="1"/>
  <c r="X129" i="1" a="1"/>
  <c r="Y129" i="1" s="1"/>
  <c r="AA129" i="1" s="1"/>
  <c r="AD129" i="1"/>
  <c r="AE129" i="1"/>
  <c r="AC129" i="1"/>
  <c r="AB129" i="1"/>
  <c r="Z128" i="1" a="1"/>
  <c r="X128" i="1" a="1"/>
  <c r="Y128" i="1" s="1"/>
  <c r="AA128" i="1" s="1"/>
  <c r="AE128" i="1"/>
  <c r="AD128" i="1"/>
  <c r="AC128" i="1"/>
  <c r="AB128" i="1"/>
  <c r="Z127" i="1" a="1"/>
  <c r="X127" i="1" a="1"/>
  <c r="Y127" i="1" s="1"/>
  <c r="AA127" i="1" s="1"/>
  <c r="AC127" i="1"/>
  <c r="AB127" i="1"/>
  <c r="AE127" i="1"/>
  <c r="AD127" i="1"/>
  <c r="Z126" i="1" a="1"/>
  <c r="X126" i="1" a="1"/>
  <c r="Y126" i="1" s="1"/>
  <c r="AA126" i="1" s="1"/>
  <c r="AE126" i="1"/>
  <c r="AD126" i="1"/>
  <c r="AC126" i="1"/>
  <c r="AB126" i="1"/>
  <c r="Z125" i="1" a="1"/>
  <c r="X125" i="1" a="1"/>
  <c r="Y125" i="1" s="1"/>
  <c r="AA125" i="1" s="1"/>
  <c r="AE125" i="1"/>
  <c r="AD125" i="1"/>
  <c r="AC125" i="1"/>
  <c r="AB125" i="1"/>
  <c r="Z124" i="1" a="1"/>
  <c r="X124" i="1" a="1"/>
  <c r="Y124" i="1" s="1"/>
  <c r="AA124" i="1" s="1"/>
  <c r="AE124" i="1"/>
  <c r="AD124" i="1"/>
  <c r="AC124" i="1"/>
  <c r="AB124" i="1"/>
  <c r="Z123" i="1" a="1"/>
  <c r="X123" i="1" a="1"/>
  <c r="Y123" i="1" s="1"/>
  <c r="AA123" i="1" s="1"/>
  <c r="AB123" i="1" s="1"/>
  <c r="AE123" i="1"/>
  <c r="AD123" i="1"/>
  <c r="AC123" i="1"/>
  <c r="A164" i="1"/>
  <c r="A165" i="1"/>
  <c r="A166" i="1"/>
  <c r="A167" i="1"/>
  <c r="A168" i="1"/>
  <c r="A169" i="1"/>
  <c r="A170" i="1"/>
  <c r="AE81" i="1"/>
  <c r="AD81" i="1"/>
  <c r="AE80" i="1"/>
  <c r="AD80" i="1"/>
  <c r="AE79" i="1"/>
  <c r="AD79" i="1"/>
  <c r="AE78" i="1"/>
  <c r="AD78" i="1"/>
  <c r="AE77" i="1"/>
  <c r="AD77" i="1"/>
  <c r="AE76" i="1"/>
  <c r="AD76" i="1"/>
  <c r="AE75" i="1"/>
  <c r="AD75" i="1"/>
  <c r="AE74" i="1"/>
  <c r="AD74" i="1"/>
  <c r="AE73" i="1"/>
  <c r="AD73" i="1"/>
  <c r="AE72" i="1"/>
  <c r="AD72" i="1"/>
  <c r="AE71" i="1"/>
  <c r="AD71" i="1"/>
  <c r="AE70" i="1"/>
  <c r="AD70" i="1"/>
  <c r="AE69" i="1"/>
  <c r="AD69" i="1"/>
  <c r="AE68" i="1"/>
  <c r="B111" i="1" s="1"/>
  <c r="AD68" i="1"/>
  <c r="B109" i="1" s="1"/>
  <c r="X105" i="1" a="1"/>
  <c r="Y105" i="1" s="1"/>
  <c r="AA105" i="1" s="1"/>
  <c r="AB105" i="1" s="1"/>
  <c r="Z105" i="1" a="1"/>
  <c r="AC105" i="1" s="1"/>
  <c r="X104" i="1" a="1"/>
  <c r="Y104" i="1" s="1"/>
  <c r="AA104" i="1" s="1"/>
  <c r="AB104" i="1" s="1"/>
  <c r="Z104" i="1" a="1"/>
  <c r="AC104" i="1" s="1"/>
  <c r="X103" i="1" a="1"/>
  <c r="Y103" i="1" s="1"/>
  <c r="AA103" i="1" s="1"/>
  <c r="AB103" i="1" s="1"/>
  <c r="Z103" i="1" a="1"/>
  <c r="AC103" i="1" s="1"/>
  <c r="X102" i="1" a="1"/>
  <c r="Y102" i="1" s="1"/>
  <c r="Z102" i="1" a="1"/>
  <c r="AC102" i="1" s="1"/>
  <c r="Z101" i="1" a="1"/>
  <c r="AC101" i="1" s="1"/>
  <c r="X101" i="1" a="1"/>
  <c r="Y101" i="1" s="1"/>
  <c r="AA101" i="1" s="1"/>
  <c r="AB101" i="1" s="1"/>
  <c r="X100" i="1" a="1"/>
  <c r="Y100" i="1" s="1"/>
  <c r="AA100" i="1" s="1"/>
  <c r="AB100" i="1" s="1"/>
  <c r="Z100" i="1" a="1"/>
  <c r="AC100" i="1" s="1"/>
  <c r="Z99" i="1" a="1"/>
  <c r="AC99" i="1" s="1"/>
  <c r="X99" i="1" a="1"/>
  <c r="Y99" i="1" s="1"/>
  <c r="AA99" i="1" s="1"/>
  <c r="AB99" i="1" s="1"/>
  <c r="Z98" i="1" a="1"/>
  <c r="AC98" i="1" s="1"/>
  <c r="X98" i="1" a="1"/>
  <c r="Y98" i="1" s="1"/>
  <c r="AA98" i="1" s="1"/>
  <c r="AB98" i="1" s="1"/>
  <c r="Z97" i="1" a="1"/>
  <c r="AC97" i="1" s="1"/>
  <c r="X97" i="1" a="1"/>
  <c r="Y97" i="1" s="1"/>
  <c r="AA97" i="1" s="1"/>
  <c r="AB97" i="1" s="1"/>
  <c r="Z96" i="1" a="1"/>
  <c r="AC96" i="1" s="1"/>
  <c r="X96" i="1" a="1"/>
  <c r="Y96" i="1" s="1"/>
  <c r="AA96" i="1" s="1"/>
  <c r="AB96" i="1" s="1"/>
  <c r="X95" i="1" a="1"/>
  <c r="Y95" i="1" s="1"/>
  <c r="AA95" i="1" s="1"/>
  <c r="AB95" i="1" s="1"/>
  <c r="Z95" i="1" a="1"/>
  <c r="AC95" i="1" s="1"/>
  <c r="Z94" i="1" a="1"/>
  <c r="AC94" i="1" s="1"/>
  <c r="X94" i="1" a="1"/>
  <c r="Y94" i="1" s="1"/>
  <c r="AA94" i="1" s="1"/>
  <c r="AB94" i="1" s="1"/>
  <c r="Z93" i="1" a="1"/>
  <c r="AC93" i="1" s="1"/>
  <c r="X93" i="1" a="1"/>
  <c r="Y93" i="1" s="1"/>
  <c r="AA93" i="1" s="1"/>
  <c r="AB93" i="1" s="1"/>
  <c r="Z92" i="1" a="1"/>
  <c r="AC92" i="1" s="1"/>
  <c r="X92" i="1" a="1"/>
  <c r="Y92" i="1" s="1"/>
  <c r="AA92" i="1" s="1"/>
  <c r="AB92" i="1" s="1"/>
  <c r="Z91" i="1" a="1"/>
  <c r="AC91" i="1" s="1"/>
  <c r="X91" i="1" a="1"/>
  <c r="Y91" i="1" s="1"/>
  <c r="AA91" i="1" s="1"/>
  <c r="AB91" i="1" s="1"/>
  <c r="Z90" i="1" a="1"/>
  <c r="AC90" i="1" s="1"/>
  <c r="X90" i="1" a="1"/>
  <c r="Y90" i="1" s="1"/>
  <c r="AA90" i="1" s="1"/>
  <c r="AB90" i="1" s="1"/>
  <c r="X89" i="1" a="1"/>
  <c r="Y89" i="1" s="1"/>
  <c r="Z89" i="1" a="1"/>
  <c r="AC89" i="1" s="1"/>
  <c r="Z88" i="1" a="1"/>
  <c r="AC88" i="1" s="1"/>
  <c r="X88" i="1" a="1"/>
  <c r="Y88" i="1" s="1"/>
  <c r="AA88" i="1" s="1"/>
  <c r="AB88" i="1" s="1"/>
  <c r="X87" i="1" a="1"/>
  <c r="Y87" i="1" s="1"/>
  <c r="AA87" i="1" s="1"/>
  <c r="AB87" i="1" s="1"/>
  <c r="Z87" i="1" a="1"/>
  <c r="AC87" i="1" s="1"/>
  <c r="X86" i="1" a="1"/>
  <c r="Y86" i="1" s="1"/>
  <c r="AA86" i="1" s="1"/>
  <c r="AB86" i="1" s="1"/>
  <c r="Z86" i="1" a="1"/>
  <c r="AC86" i="1" s="1"/>
  <c r="Z85" i="1" a="1"/>
  <c r="AC85" i="1" s="1"/>
  <c r="X85" i="1" a="1"/>
  <c r="Y85" i="1" s="1"/>
  <c r="AA85" i="1" s="1"/>
  <c r="AB85" i="1" s="1"/>
  <c r="X84" i="1" a="1"/>
  <c r="Y84" i="1" s="1"/>
  <c r="AA84" i="1" s="1"/>
  <c r="AB84" i="1" s="1"/>
  <c r="Z84" i="1" a="1"/>
  <c r="AC84" i="1" s="1"/>
  <c r="X83" i="1" a="1"/>
  <c r="Y83" i="1" s="1"/>
  <c r="AA83" i="1" s="1"/>
  <c r="AB83" i="1" s="1"/>
  <c r="Z83" i="1" a="1"/>
  <c r="AC83" i="1" s="1"/>
  <c r="X82" i="1" a="1"/>
  <c r="Y82" i="1" s="1"/>
  <c r="AA82" i="1" s="1"/>
  <c r="AB82" i="1" s="1"/>
  <c r="Z82" i="1" a="1"/>
  <c r="AC82" i="1" s="1"/>
  <c r="Z81" i="1" a="1"/>
  <c r="AC81" i="1" s="1"/>
  <c r="X81" i="1" a="1"/>
  <c r="Y81" i="1" s="1"/>
  <c r="AA81" i="1" s="1"/>
  <c r="AB81" i="1" s="1"/>
  <c r="Z80" i="1" a="1"/>
  <c r="AC80" i="1" s="1"/>
  <c r="X80" i="1" a="1"/>
  <c r="Y80" i="1" s="1"/>
  <c r="AA80" i="1" s="1"/>
  <c r="AB80" i="1" s="1"/>
  <c r="Z79" i="1" a="1"/>
  <c r="AC79" i="1" s="1"/>
  <c r="X79" i="1" a="1"/>
  <c r="Y79" i="1" s="1"/>
  <c r="AA79" i="1" s="1"/>
  <c r="AB79" i="1" s="1"/>
  <c r="Z78" i="1" a="1"/>
  <c r="AC78" i="1" s="1"/>
  <c r="X78" i="1" a="1"/>
  <c r="Y78" i="1" s="1"/>
  <c r="AA78" i="1" s="1"/>
  <c r="AB78" i="1" s="1"/>
  <c r="Z77" i="1" a="1"/>
  <c r="AC77" i="1" s="1"/>
  <c r="X77" i="1" a="1"/>
  <c r="Y77" i="1" s="1"/>
  <c r="AA77" i="1" s="1"/>
  <c r="AB77" i="1" s="1"/>
  <c r="X76" i="1" a="1"/>
  <c r="Y76" i="1" s="1"/>
  <c r="AA76" i="1" s="1"/>
  <c r="AB76" i="1" s="1"/>
  <c r="Z76" i="1" a="1"/>
  <c r="AC76" i="1" s="1"/>
  <c r="X75" i="1" a="1"/>
  <c r="Y75" i="1" s="1"/>
  <c r="AA75" i="1" s="1"/>
  <c r="AB75" i="1" s="1"/>
  <c r="Z75" i="1" a="1"/>
  <c r="AC75" i="1" s="1"/>
  <c r="X74" i="1" a="1"/>
  <c r="Y74" i="1" s="1"/>
  <c r="AA74" i="1" s="1"/>
  <c r="AB74" i="1" s="1"/>
  <c r="Z74" i="1" a="1"/>
  <c r="AC74" i="1" s="1"/>
  <c r="Z73" i="1" a="1"/>
  <c r="AC73" i="1" s="1"/>
  <c r="X73" i="1" a="1"/>
  <c r="Y73" i="1" s="1"/>
  <c r="AA73" i="1" s="1"/>
  <c r="AB73" i="1" s="1"/>
  <c r="Z72" i="1" a="1"/>
  <c r="AC72" i="1" s="1"/>
  <c r="X72" i="1" a="1"/>
  <c r="Y72" i="1" s="1"/>
  <c r="AA72" i="1" s="1"/>
  <c r="AB72" i="1" s="1"/>
  <c r="Z71" i="1" a="1"/>
  <c r="AC71" i="1" s="1"/>
  <c r="X71" i="1" a="1"/>
  <c r="Y71" i="1" s="1"/>
  <c r="AA71" i="1" s="1"/>
  <c r="AB71" i="1" s="1"/>
  <c r="Z70" i="1" a="1"/>
  <c r="AC70" i="1" s="1"/>
  <c r="X70" i="1" a="1"/>
  <c r="Y70" i="1" s="1"/>
  <c r="AA70" i="1" s="1"/>
  <c r="AB70" i="1" s="1"/>
  <c r="Z69" i="1" a="1"/>
  <c r="AC69" i="1" s="1"/>
  <c r="X69" i="1" a="1"/>
  <c r="Y69" i="1" s="1"/>
  <c r="AA69" i="1" s="1"/>
  <c r="AB69" i="1" s="1"/>
  <c r="Z68" i="1" a="1"/>
  <c r="AC68" i="1" s="1"/>
  <c r="X68" i="1" a="1"/>
  <c r="Y68" i="1" s="1"/>
  <c r="AA68" i="1" s="1"/>
  <c r="AB68" i="1" s="1"/>
  <c r="Z67" i="1" a="1"/>
  <c r="AC67" i="1" s="1"/>
  <c r="X67" i="1" a="1"/>
  <c r="Y67" i="1" s="1"/>
  <c r="AA67" i="1" s="1"/>
  <c r="AB67" i="1" s="1"/>
  <c r="Z66" i="1" a="1"/>
  <c r="AC66" i="1" s="1"/>
  <c r="X66" i="1" a="1"/>
  <c r="Y66" i="1" s="1"/>
  <c r="AA66" i="1" s="1"/>
  <c r="AB66" i="1" s="1"/>
  <c r="A107" i="1"/>
  <c r="A108" i="1"/>
  <c r="A109" i="1"/>
  <c r="A110" i="1"/>
  <c r="A11" i="3" s="1" a="1"/>
  <c r="A111" i="1"/>
  <c r="A112" i="1"/>
  <c r="A13" i="3" s="1" a="1"/>
  <c r="A113" i="1"/>
  <c r="A14" i="3" s="1" a="1"/>
  <c r="V64" i="1"/>
  <c r="A53" i="1"/>
  <c r="A4" i="3" s="1" a="1"/>
  <c r="A52" i="1"/>
  <c r="B55" i="1"/>
  <c r="A50" i="1"/>
  <c r="A55" i="1"/>
  <c r="A6" i="3" s="1" a="1"/>
  <c r="A54" i="1"/>
  <c r="A51" i="1"/>
  <c r="A56" i="1"/>
  <c r="AD9" i="1"/>
  <c r="B52" i="1" s="1"/>
  <c r="AE9" i="1"/>
  <c r="B54" i="1" s="1"/>
  <c r="Z48" i="1" a="1"/>
  <c r="AC48" i="1" s="1"/>
  <c r="X48" i="1" a="1"/>
  <c r="X47" i="1" a="1"/>
  <c r="Z47" i="1" a="1"/>
  <c r="AC47" i="1" s="1"/>
  <c r="Z46" i="1" a="1"/>
  <c r="AC46" i="1" s="1"/>
  <c r="X46" i="1" a="1"/>
  <c r="X45" i="1" a="1"/>
  <c r="Z45" i="1" a="1"/>
  <c r="AC45" i="1" s="1"/>
  <c r="X44" i="1" a="1"/>
  <c r="Z44" i="1" a="1"/>
  <c r="AC44" i="1" s="1"/>
  <c r="X43" i="1" a="1"/>
  <c r="Z43" i="1" a="1"/>
  <c r="AC43" i="1" s="1"/>
  <c r="Z42" i="1" a="1"/>
  <c r="AC42" i="1" s="1"/>
  <c r="X42" i="1" a="1"/>
  <c r="Z41" i="1" a="1"/>
  <c r="AC41" i="1" s="1"/>
  <c r="X41" i="1" a="1"/>
  <c r="Z40" i="1" a="1"/>
  <c r="AC40" i="1" s="1"/>
  <c r="X40" i="1" a="1"/>
  <c r="Z39" i="1" a="1"/>
  <c r="AC39" i="1" s="1"/>
  <c r="X39" i="1" a="1"/>
  <c r="Z38" i="1" a="1"/>
  <c r="AC38" i="1" s="1"/>
  <c r="X38" i="1" a="1"/>
  <c r="Z37" i="1" a="1"/>
  <c r="AC37" i="1" s="1"/>
  <c r="X37" i="1" a="1"/>
  <c r="X36" i="1" a="1"/>
  <c r="Z36" i="1" a="1"/>
  <c r="AC36" i="1" s="1"/>
  <c r="Z35" i="1" a="1"/>
  <c r="AC35" i="1" s="1"/>
  <c r="X35" i="1" a="1"/>
  <c r="Z34" i="1" a="1"/>
  <c r="AC34" i="1" s="1"/>
  <c r="X34" i="1" a="1"/>
  <c r="Z33" i="1" a="1"/>
  <c r="AC33" i="1" s="1"/>
  <c r="X33" i="1" a="1"/>
  <c r="X32" i="1" a="1"/>
  <c r="Z32" i="1" a="1"/>
  <c r="AC32" i="1" s="1"/>
  <c r="Z31" i="1" a="1"/>
  <c r="AC31" i="1" s="1"/>
  <c r="X31" i="1" a="1"/>
  <c r="Z30" i="1" a="1"/>
  <c r="AC30" i="1" s="1"/>
  <c r="X30" i="1" a="1"/>
  <c r="Z29" i="1" a="1"/>
  <c r="AC29" i="1" s="1"/>
  <c r="X29" i="1" a="1"/>
  <c r="Z28" i="1" a="1"/>
  <c r="AC28" i="1" s="1"/>
  <c r="X28" i="1" a="1"/>
  <c r="Z27" i="1" a="1"/>
  <c r="AC27" i="1" s="1"/>
  <c r="X27" i="1" a="1"/>
  <c r="Z26" i="1" a="1"/>
  <c r="AC26" i="1" s="1"/>
  <c r="X26" i="1" a="1"/>
  <c r="Z25" i="1" a="1"/>
  <c r="AC25" i="1" s="1"/>
  <c r="X25" i="1" a="1"/>
  <c r="Z24" i="1" a="1"/>
  <c r="AC24" i="1" s="1"/>
  <c r="X24" i="1" a="1"/>
  <c r="Z23" i="1" a="1"/>
  <c r="AC23" i="1" s="1"/>
  <c r="X23" i="1" a="1"/>
  <c r="Y23" i="1" s="1"/>
  <c r="AA23" i="1" s="1"/>
  <c r="AB23" i="1" s="1"/>
  <c r="X22" i="1" a="1"/>
  <c r="Z22" i="1" a="1"/>
  <c r="AC22" i="1" s="1"/>
  <c r="X21" i="1" a="1"/>
  <c r="Z21" i="1" a="1"/>
  <c r="AC21" i="1" s="1"/>
  <c r="Z20" i="1" a="1"/>
  <c r="AC20" i="1" s="1"/>
  <c r="X20" i="1" a="1"/>
  <c r="X19" i="1" a="1"/>
  <c r="Z19" i="1" a="1"/>
  <c r="AC19" i="1" s="1"/>
  <c r="X18" i="1" a="1"/>
  <c r="Y18" i="1" s="1"/>
  <c r="AA18" i="1" s="1"/>
  <c r="AB18" i="1" s="1"/>
  <c r="Z18" i="1" a="1"/>
  <c r="AC18" i="1" s="1"/>
  <c r="X17" i="1" a="1"/>
  <c r="Y17" i="1" s="1"/>
  <c r="AA17" i="1" s="1"/>
  <c r="Z17" i="1" a="1"/>
  <c r="AC17" i="1" s="1"/>
  <c r="X16" i="1" a="1"/>
  <c r="Y16" i="1" s="1"/>
  <c r="AA16" i="1" s="1"/>
  <c r="AB16" i="1" s="1"/>
  <c r="Z16" i="1" a="1"/>
  <c r="AC16" i="1" s="1"/>
  <c r="X14" i="1" a="1"/>
  <c r="Z14" i="1" a="1"/>
  <c r="AC14" i="1" s="1"/>
  <c r="X13" i="1" a="1"/>
  <c r="Y13" i="1" s="1"/>
  <c r="AA13" i="1" s="1"/>
  <c r="AB13" i="1" s="1"/>
  <c r="Z13" i="1" a="1"/>
  <c r="AC13" i="1" s="1"/>
  <c r="X15" i="1" a="1"/>
  <c r="Y15" i="1" s="1"/>
  <c r="AA15" i="1" s="1"/>
  <c r="AB15" i="1" s="1"/>
  <c r="Z15" i="1" a="1"/>
  <c r="AC15" i="1" s="1"/>
  <c r="X12" i="1" a="1"/>
  <c r="Y12" i="1" s="1"/>
  <c r="AA12" i="1" s="1"/>
  <c r="AB12" i="1" s="1"/>
  <c r="Z12" i="1" a="1"/>
  <c r="AC12" i="1" s="1"/>
  <c r="Z11" i="1" a="1"/>
  <c r="AC11" i="1" s="1"/>
  <c r="X11" i="1" a="1"/>
  <c r="Y11" i="1" s="1"/>
  <c r="AA11" i="1" s="1"/>
  <c r="AB11" i="1" s="1"/>
  <c r="X10" i="1" a="1"/>
  <c r="Y10" i="1" s="1"/>
  <c r="AA10" i="1" s="1"/>
  <c r="AB10" i="1" s="1"/>
  <c r="Z10" i="1" a="1"/>
  <c r="AC10" i="1" s="1"/>
  <c r="B56" i="1"/>
  <c r="X9" i="1" a="1"/>
  <c r="Y9" i="1" s="1"/>
  <c r="AA9" i="1" s="1"/>
  <c r="AB9" i="1" s="1"/>
  <c r="Z9" i="1" a="1"/>
  <c r="AC9" i="1" s="1"/>
  <c r="V7" i="1"/>
  <c r="AB267" i="1" l="1"/>
  <c r="A10" i="3" a="1"/>
  <c r="A12" i="3" a="1"/>
  <c r="A3" i="3" a="1"/>
  <c r="A5" i="3" a="1"/>
  <c r="A7" i="3" a="1"/>
  <c r="A273" i="1"/>
  <c r="AB216" i="1"/>
  <c r="B221" i="1" s="1"/>
  <c r="A22" i="3" s="1" a="1"/>
  <c r="AE216" i="1"/>
  <c r="AD216" i="1"/>
  <c r="AC216" i="1"/>
  <c r="A35" i="3" a="1"/>
  <c r="B283" i="1"/>
  <c r="A34" i="3" s="1" a="1"/>
  <c r="B281" i="1"/>
  <c r="A32" i="3" s="1" a="1"/>
  <c r="B222" i="1"/>
  <c r="A23" i="3" s="1" a="1"/>
  <c r="B169" i="1"/>
  <c r="A20" i="3" s="1" a="1"/>
  <c r="B167" i="1"/>
  <c r="A18" i="3" s="1" a="1"/>
  <c r="B164" i="1"/>
  <c r="A15" i="3" s="1" a="1"/>
  <c r="A21" i="3" a="1"/>
  <c r="AB255" i="1"/>
  <c r="AC255" i="1"/>
  <c r="AD255" i="1"/>
  <c r="AE255" i="1"/>
  <c r="AB254" i="1"/>
  <c r="B278" i="1" s="1"/>
  <c r="A29" i="3" s="1" a="1"/>
  <c r="AC254" i="1"/>
  <c r="B279" i="1" s="1"/>
  <c r="A30" i="3" s="1" a="1"/>
  <c r="AD254" i="1"/>
  <c r="B280" i="1" s="1"/>
  <c r="A31" i="3" s="1" a="1"/>
  <c r="AE254" i="1"/>
  <c r="B226" i="1"/>
  <c r="A27" i="3" s="1" a="1"/>
  <c r="B224" i="1"/>
  <c r="A25" i="3" s="1" a="1"/>
  <c r="B225" i="1"/>
  <c r="A26" i="3" s="1" a="1"/>
  <c r="B223" i="1"/>
  <c r="A24" i="3" s="1" a="1"/>
  <c r="B168" i="1"/>
  <c r="A19" i="3" s="1" a="1"/>
  <c r="B166" i="1"/>
  <c r="A17" i="3" s="1" a="1"/>
  <c r="B165" i="1"/>
  <c r="A16" i="3" s="1" a="1"/>
  <c r="B107" i="1"/>
  <c r="A8" i="3" s="1" a="1"/>
  <c r="B108" i="1"/>
  <c r="A9" i="3" s="1" a="1"/>
  <c r="B51" i="1"/>
  <c r="A2" i="3" s="1" a="1"/>
  <c r="AB17" i="1"/>
  <c r="Y28" i="1"/>
  <c r="AA28" i="1" s="1"/>
  <c r="AB28" i="1" s="1"/>
  <c r="Y22" i="1"/>
  <c r="AA22" i="1" s="1"/>
  <c r="AB22" i="1" s="1"/>
  <c r="Y21" i="1"/>
  <c r="AA21" i="1" s="1"/>
  <c r="AB21" i="1" s="1"/>
  <c r="Y20" i="1"/>
  <c r="AA20" i="1" s="1"/>
  <c r="AB20" i="1" s="1"/>
  <c r="Y14" i="1"/>
  <c r="AA14" i="1" s="1"/>
  <c r="AB14" i="1" s="1"/>
  <c r="B282" i="1" l="1"/>
  <c r="A33" i="3" s="1" a="1"/>
  <c r="Y33" i="1"/>
  <c r="AA33" i="1" s="1"/>
  <c r="AB33" i="1" s="1"/>
  <c r="Y27" i="1"/>
  <c r="AA27" i="1" s="1"/>
  <c r="AB27" i="1" s="1"/>
  <c r="Y26" i="1"/>
  <c r="AA26" i="1" s="1"/>
  <c r="AB26" i="1" s="1"/>
  <c r="Y25" i="1"/>
  <c r="AA25" i="1" s="1"/>
  <c r="AB25" i="1" s="1"/>
  <c r="Y19" i="1"/>
  <c r="AA19" i="1" s="1"/>
  <c r="AB19" i="1" s="1"/>
  <c r="Y38" i="1" l="1"/>
  <c r="AA38" i="1" s="1"/>
  <c r="AB38" i="1" s="1"/>
  <c r="Y32" i="1"/>
  <c r="AA32" i="1" s="1"/>
  <c r="AB32" i="1" s="1"/>
  <c r="Y31" i="1"/>
  <c r="AA31" i="1" s="1"/>
  <c r="AB31" i="1" s="1"/>
  <c r="Y30" i="1"/>
  <c r="AA30" i="1" s="1"/>
  <c r="AB30" i="1" s="1"/>
  <c r="Y24" i="1"/>
  <c r="AA24" i="1" s="1"/>
  <c r="AB24" i="1" s="1"/>
  <c r="Y43" i="1" l="1"/>
  <c r="AA43" i="1" s="1"/>
  <c r="AB43" i="1" s="1"/>
  <c r="Y37" i="1"/>
  <c r="AA37" i="1" s="1"/>
  <c r="AB37" i="1" s="1"/>
  <c r="Y36" i="1"/>
  <c r="AA36" i="1" s="1"/>
  <c r="AB36" i="1" s="1"/>
  <c r="Y35" i="1"/>
  <c r="AA35" i="1" s="1"/>
  <c r="AB35" i="1" s="1"/>
  <c r="Y29" i="1"/>
  <c r="AA29" i="1" s="1"/>
  <c r="AB29" i="1" s="1"/>
  <c r="Y48" i="1" l="1"/>
  <c r="AA48" i="1" s="1"/>
  <c r="AB48" i="1" s="1"/>
  <c r="Y42" i="1"/>
  <c r="AA42" i="1" s="1"/>
  <c r="AB42" i="1" s="1"/>
  <c r="Y41" i="1"/>
  <c r="AA41" i="1" s="1"/>
  <c r="AB41" i="1" s="1"/>
  <c r="Y40" i="1"/>
  <c r="AA40" i="1" s="1"/>
  <c r="AB40" i="1" s="1"/>
  <c r="Y34" i="1"/>
  <c r="AA34" i="1" s="1"/>
  <c r="AB34" i="1" s="1"/>
  <c r="Y47" i="1" l="1"/>
  <c r="AA47" i="1" s="1"/>
  <c r="AB47" i="1" s="1"/>
  <c r="Y46" i="1"/>
  <c r="AA46" i="1" s="1"/>
  <c r="AB46" i="1" s="1"/>
  <c r="Y45" i="1"/>
  <c r="AA45" i="1" s="1"/>
  <c r="AB45" i="1" s="1"/>
  <c r="Y39" i="1"/>
  <c r="AA39" i="1" s="1"/>
  <c r="AB39" i="1" s="1"/>
  <c r="Y44" i="1" l="1"/>
  <c r="AA44" i="1" s="1"/>
  <c r="AB44" i="1" s="1"/>
  <c r="B50" i="1" l="1"/>
  <c r="A1" i="3" s="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<sst xmlns="http://schemas.openxmlformats.org/spreadsheetml/2006/main" count="978" uniqueCount="139">
  <si>
    <t>DCA #:</t>
  </si>
  <si>
    <t>MediumB</t>
  </si>
  <si>
    <t>BrightB</t>
  </si>
  <si>
    <t>Violet</t>
  </si>
  <si>
    <t>Turquoise</t>
  </si>
  <si>
    <t>Green</t>
  </si>
  <si>
    <t>OliveG</t>
  </si>
  <si>
    <t>Yellow</t>
  </si>
  <si>
    <t>Brown</t>
  </si>
  <si>
    <t>Red</t>
  </si>
  <si>
    <t>Coral</t>
  </si>
  <si>
    <t>Pink</t>
  </si>
  <si>
    <t>DarkV</t>
  </si>
  <si>
    <t>Gold</t>
  </si>
  <si>
    <t>LightB</t>
  </si>
  <si>
    <t>Tangerine</t>
  </si>
  <si>
    <t>LightG</t>
  </si>
  <si>
    <t>Gray</t>
  </si>
  <si>
    <t>White</t>
  </si>
  <si>
    <t>COLORS</t>
  </si>
  <si>
    <t>MAINS</t>
  </si>
  <si>
    <t>x</t>
  </si>
  <si>
    <t>POSTINS</t>
  </si>
  <si>
    <t>FX</t>
  </si>
  <si>
    <t>AUTO_X</t>
  </si>
  <si>
    <t>AUTO_Y</t>
  </si>
  <si>
    <t>y</t>
  </si>
  <si>
    <t>Name</t>
  </si>
  <si>
    <t>Name:</t>
  </si>
  <si>
    <t>#</t>
  </si>
  <si>
    <t>Color if On:</t>
  </si>
  <si>
    <t>colorname</t>
  </si>
  <si>
    <t>COLOR AND MUTE</t>
  </si>
  <si>
    <t>color number</t>
  </si>
  <si>
    <t>TAGS</t>
  </si>
  <si>
    <t>TAG</t>
  </si>
  <si>
    <t>color and tag column</t>
  </si>
  <si>
    <t>NAMES</t>
  </si>
  <si>
    <t>POSTINS and Mode</t>
  </si>
  <si>
    <t>DCA NAME and COLOR</t>
  </si>
  <si>
    <t>Q:</t>
  </si>
  <si>
    <t>usecolor</t>
  </si>
  <si>
    <t>Col Off</t>
  </si>
  <si>
    <t>AMX on</t>
  </si>
  <si>
    <t>AMY on</t>
  </si>
  <si>
    <t>CAROLINE.ariel</t>
  </si>
  <si>
    <t>GABE.eric</t>
  </si>
  <si>
    <t>KEITH.grimsby</t>
  </si>
  <si>
    <t>CHADLEY.sebastian</t>
  </si>
  <si>
    <t>ANNA.flounder</t>
  </si>
  <si>
    <t>SYR.pilot</t>
  </si>
  <si>
    <t>MARGERY.ursula</t>
  </si>
  <si>
    <t>JOHN.triton</t>
  </si>
  <si>
    <t>JUDAH.chefL</t>
  </si>
  <si>
    <t>BRIDGET.scuttle</t>
  </si>
  <si>
    <t>DYLAN.flotsam</t>
  </si>
  <si>
    <t>ELIJAH.jetsam</t>
  </si>
  <si>
    <t>KATELYN.aquata</t>
  </si>
  <si>
    <t>NADJA.adrina</t>
  </si>
  <si>
    <t>MAURA.atina</t>
  </si>
  <si>
    <t>RACHELP.arista</t>
  </si>
  <si>
    <t>JACKLYN.adella</t>
  </si>
  <si>
    <t>SARAH.allana</t>
  </si>
  <si>
    <t>REBECCA.maid</t>
  </si>
  <si>
    <t>ANNIE.maid</t>
  </si>
  <si>
    <t>KARA.maid</t>
  </si>
  <si>
    <t>GENEVIEVE.leeward</t>
  </si>
  <si>
    <t>JOCELYN.windward</t>
  </si>
  <si>
    <t>.</t>
  </si>
  <si>
    <t>ROBERT.sail</t>
  </si>
  <si>
    <t>TOM.sail</t>
  </si>
  <si>
    <t>BILL.sail</t>
  </si>
  <si>
    <t>DENNIS.sail</t>
  </si>
  <si>
    <t>JOSHUA.sail</t>
  </si>
  <si>
    <t>RAY.sail</t>
  </si>
  <si>
    <t>WILL.sail</t>
  </si>
  <si>
    <t>PRISCILLA</t>
  </si>
  <si>
    <t>RACHELS</t>
  </si>
  <si>
    <t>JEN</t>
  </si>
  <si>
    <t>OS1</t>
  </si>
  <si>
    <t>OS2</t>
  </si>
  <si>
    <t>unusedos</t>
  </si>
  <si>
    <t>INS.fr.ext</t>
  </si>
  <si>
    <t>VOX.fr.ext</t>
  </si>
  <si>
    <t>pass.fr.w2</t>
  </si>
  <si>
    <t>OS</t>
  </si>
  <si>
    <t>FlotJet</t>
  </si>
  <si>
    <t>LEADS</t>
  </si>
  <si>
    <t>Sail</t>
  </si>
  <si>
    <t>Sisters</t>
  </si>
  <si>
    <t>Maids</t>
  </si>
  <si>
    <t>LeeWind</t>
  </si>
  <si>
    <t>PrRaJen</t>
  </si>
  <si>
    <t>VOX+.VRB</t>
  </si>
  <si>
    <t>INST+.VRB</t>
  </si>
  <si>
    <t>VOX_.VRB</t>
  </si>
  <si>
    <t>INST_.VRB</t>
  </si>
  <si>
    <t>AMIxy</t>
  </si>
  <si>
    <t>OnX</t>
  </si>
  <si>
    <t>Overview</t>
  </si>
  <si>
    <t>To use this sheet in a CUE the cue file needs to reference the strings this sheet creates.  These strings are in the EXPORT tab.</t>
  </si>
  <si>
    <t>Ideally, copy the content of EXPORT and use NOTEPAD and paste the content there. Then save that as a file in the folder where your CUEs are.</t>
  </si>
  <si>
    <t>Then in the CUE enter the following but instead of "WING1" use the reference you set up for the mixer in the Build_Device_Types.cmd file for the target mixer and use the cell D2 (etc.) value insead of "w1_001" value:</t>
  </si>
  <si>
    <t>WING1|VARIABLEFROMFILE|w1_0001_ch_col_mute|</t>
  </si>
  <si>
    <t>WING1|VARIABLEFROMFILE|w1_0001_ch_tags|</t>
  </si>
  <si>
    <t>WING1|VARIABLEFROMFILE|w1_0001_ch_postins_a|</t>
  </si>
  <si>
    <t>WING1|VARIABLEFROMFILE|w1_0001_ch_postins_b|</t>
  </si>
  <si>
    <t>WING1|VARIABLEFROMFILE|w1_0001_dcas_amix|</t>
  </si>
  <si>
    <t>Cell D2 (and copies) is where you set the cue file content name.  You can use a formula, but this is risky since adding an entry in the sequence would result in renaming all of the cue references.  If you only add at the end, this is not a problem.</t>
  </si>
  <si>
    <t>Cell C3 has a dropdown for the color name of the color to set channels when they are muted in the script.</t>
  </si>
  <si>
    <t>The rest of row 2 and 3 is set and should not be changed.  DCA numbers are in row 2 and tags are in row 3.  Column V is used for channels that are not in a DCA to set their channel color.</t>
  </si>
  <si>
    <t>Cell C4 is where you turn AUTOMIX X on and off.  An x in C4 says enable it, otherwise it is disabled.</t>
  </si>
  <si>
    <t>Cell C6 is where you turn AUTOMIX Y on and off.  An x in c6 says enable it, otherwise it is disabled.</t>
  </si>
  <si>
    <t>The rest of the cells in row 4 are where you set the DCA color (use the dropdown).</t>
  </si>
  <si>
    <t>Note that Column V, other than the color in v4 that you set, is filled in by formulas.  If a channel is not in a DCA an X will appear for it in column V.</t>
  </si>
  <si>
    <t xml:space="preserve">The rest of Row 6 is for DCA names.  They are limited to </t>
  </si>
  <si>
    <t>abcdefghijklmnopqrstuvwxyzABCDEFGHIJKLMNOPQRSTUVWXYZ1234567890.-_+</t>
  </si>
  <si>
    <t>Note that spaces are also not allowed.  The first 16 characters of the name are passed to the WING.</t>
  </si>
  <si>
    <t>Row 7 indicates how many channels are in the DCA.</t>
  </si>
  <si>
    <t>Then there are the 40 channels rows.</t>
  </si>
  <si>
    <t>Column C is where a channel is muted or unmuted.  If an x is present, the channel will be muted in the cue, and the effect in the Post Inset will be set off.  Note that the color of this cell turns red or green depending on setting.  Muted cells also get the color of c3 instead of the DCA color.</t>
  </si>
  <si>
    <t xml:space="preserve">Column D is for the channel name.  They are limited to </t>
  </si>
  <si>
    <t>Column E is the number of DCA values the channel has set.  It should be 0 or 1.  There is a rule set to be sure there is only 1 x in the range for each row and a pop-up will warn you of a problem, but so you can set a 2nd x it is issued as a warning.  Please be sure to correct the problem.  Formulas will pick just 1 DCA per channel.</t>
  </si>
  <si>
    <t>Place an x in columns F through U to indicate the channel DCA.</t>
  </si>
  <si>
    <t>That's about it!</t>
  </si>
  <si>
    <t xml:space="preserve">Sequential Cue number (not the name used in Cues, just a sequence number) is in Cell B2. </t>
  </si>
  <si>
    <t>In this sample, yes, the sequential number is used in the cue name because it is only a sample and they are sequential…</t>
  </si>
  <si>
    <t>Column A is the channel number.  In the first CUE they are coded as number, then subsequent copies use a formula to use the channel number of the prior cue.  If you change one, this way all subsequent numbers also change.</t>
  </si>
  <si>
    <t>Column B can be set to x to assign the channel to automix X or set to y for automix y otherwise the channel mode is set to FX.</t>
  </si>
  <si>
    <t>In the Build_Variable_From_File.cmd file follow the instructions and use the file name you saved in the code you edit in that file.</t>
  </si>
  <si>
    <t>The Export tab has about 4000 rows populated with formulas.  But if you need more, just copy and paste from prior row(s) in that same tab as needed.</t>
  </si>
  <si>
    <t>20261016b</t>
  </si>
  <si>
    <t>Initial Release</t>
  </si>
  <si>
    <t>20261026a</t>
  </si>
  <si>
    <t>Split the names OSC into 2 lines because it was possible for the OSC string to exceed the 1024 character limit</t>
  </si>
  <si>
    <t>WING1|VARIABLEFROMFILE|w1_0001_ch_names_a|</t>
  </si>
  <si>
    <t>WING1|VARIABLEFROMFILE|w1_0001_ch_names_b|</t>
  </si>
  <si>
    <t>Names now use these lines:</t>
  </si>
  <si>
    <t>Make new cue settings in new copies of rows 1-57.  Be sure to get the whole range and past the copy immediately under the prior cue information so formulas work correctly.  Get the black bar through the final blue bar in the copy and paste. NOTE: If you want formulas for the Channel numbers copy the 2nd et repeatedly since the first set has hard coded channel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</si>
</sst>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sz val="8"/>
      <name val="Aptos Narrow"/>
      <family val="2"/>
      <scheme val="minor"/>
    </font>
    <font>
      <b/>
      <sz val="11"/>
      <name val="Aptos Narrow"/>
      <family val="2"/>
      <scheme val="minor"/>
    </font>
    <font>
      <sz val="9"/>
      <color theme="1"/>
      <name val="Aptos Narrow"/>
      <family val="2"/>
      <scheme val="minor"/>
    </font>
    <font>
      <b/>
      <sz val="11"/>
      <color theme="0"/>
      <name val="Aptos Narrow"/>
      <family val="2"/>
      <scheme val="minor"/>
    </font>
    <font>
      <b/>
      <sz val="10"/>
      <color rgb="FFFF0000"/>
      <name val="Aptos Narrow"/>
      <family val="2"/>
      <scheme val="minor"/>
    </font>
    <font>
      <sz val="8"/>
      <color theme="1"/>
      <name val="Aptos Narrow"/>
      <family val="2"/>
      <scheme val="minor"/>
    </font>
    <font>
      <b/>
      <sz val="12"/>
      <color theme="1"/>
      <name val="Aptos Narrow"/>
      <family val="2"/>
      <scheme val="minor"/>
    </font>
    <font>
      <b/>
      <sz val="10"/>
      <color theme="1"/>
      <name val="Aptos Narrow"/>
      <family val="2"/>
      <scheme val="minor"/>
    </font>
    <font>
      <b/>
      <sz val="10"/>
      <color theme="0"/>
      <name val="Aptos Narrow"/>
      <family val="2"/>
      <scheme val="minor"/>
    </font>
    <font>
      <b/>
      <sz val="9"/>
      <color rgb="FFFF0000"/>
      <name val="Aptos Narrow"/>
      <family val="2"/>
      <scheme val="minor"/>
    </font>
    <font>
      <b/>
      <sz val="8"/>
      <color rgb="FFFF0000"/>
      <name val="Aptos Narrow"/>
      <family val="2"/>
      <scheme val="minor"/>
    </font>
    <font>
      <b/>
      <sz val="8"/>
      <color theme="0" tint="-0.14999847407452621"/>
      <name val="Aptos Narrow"/>
      <family val="2"/>
      <scheme val="minor"/>
    </font>
    <font>
      <b/>
      <sz val="9"/>
      <color theme="0"/>
      <name val="Aptos Narrow"/>
      <family val="2"/>
      <scheme val="minor"/>
    </font>
    <font>
      <sz val="9"/>
      <color rgb="FFFF0000"/>
      <name val="Aptos Narrow"/>
      <family val="2"/>
      <scheme val="minor"/>
    </font>
    <font>
      <b/>
      <sz val="9"/>
      <name val="Aptos Narrow"/>
      <family val="2"/>
      <scheme val="minor"/>
    </font>
    <font>
      <sz val="11"/>
      <color theme="0" tint="-0.249977111117893"/>
      <name val="Aptos Narrow"/>
      <family val="2"/>
      <scheme val="minor"/>
    </font>
    <font>
      <b/>
      <sz val="10"/>
      <color theme="0" tint="-0.249977111117893"/>
      <name val="Aptos Narrow"/>
      <family val="2"/>
      <scheme val="minor"/>
    </font>
    <font>
      <b/>
      <sz val="8"/>
      <color theme="0" tint="-0.249977111117893"/>
      <name val="Aptos Narrow"/>
      <family val="2"/>
      <scheme val="minor"/>
    </font>
    <font>
      <b/>
      <sz val="9"/>
      <color theme="0" tint="-0.249977111117893"/>
      <name val="Aptos Narrow"/>
      <family val="2"/>
      <scheme val="minor"/>
    </font>
    <font>
      <b/>
      <sz val="11"/>
      <color theme="0" tint="-0.249977111117893"/>
      <name val="Aptos Narrow"/>
      <family val="2"/>
      <scheme val="minor"/>
    </font>
    <font>
      <sz val="9"/>
      <color theme="0" tint="-0.249977111117893"/>
      <name val="Aptos Narrow"/>
      <family val="2"/>
      <scheme val="minor"/>
    </font>
    <font>
      <sz val="8"/>
      <color theme="0" tint="-0.249977111117893"/>
      <name val="Aptos Narrow"/>
      <family val="2"/>
      <scheme val="minor"/>
    </font>
    <font>
      <sz val="9"/>
      <name val="Aptos Narrow"/>
      <family val="2"/>
      <scheme val="minor"/>
    </font>
    <font>
      <b/>
      <sz val="16"/>
      <color rgb="FF7030A0"/>
      <name val="Aptos Narrow"/>
      <family val="2"/>
      <scheme val="minor"/>
    </font>
    <font>
      <sz val="10"/>
      <color theme="1"/>
      <name val="Aptos Narrow"/>
      <family val="2"/>
      <scheme val="minor"/>
    </font>
    <font>
      <i/>
      <sz val="11"/>
      <name val="Aptos Narrow"/>
      <family val="2"/>
      <scheme val="minor"/>
    </font>
    <font>
      <i/>
      <sz val="11"/>
      <color theme="1"/>
      <name val="Aptos Narrow"/>
      <family val="2"/>
      <scheme val="minor"/>
    </font>
  </fonts>
  <fills count="21">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indexed="64"/>
      </patternFill>
    </fill>
    <fill>
      <patternFill patternType="solid">
        <fgColor rgb="FFC00000"/>
        <bgColor indexed="64"/>
      </patternFill>
    </fill>
    <fill>
      <patternFill patternType="solid">
        <fgColor theme="0" tint="-0.249977111117893"/>
        <bgColor indexed="64"/>
      </patternFill>
    </fill>
    <fill>
      <patternFill patternType="solid">
        <fgColor theme="7"/>
        <bgColor indexed="64"/>
      </patternFill>
    </fill>
    <fill>
      <patternFill patternType="solid">
        <fgColor rgb="FF7030A0"/>
        <bgColor indexed="64"/>
      </patternFill>
    </fill>
    <fill>
      <patternFill patternType="solid">
        <fgColor theme="5" tint="-0.249977111117893"/>
        <bgColor indexed="64"/>
      </patternFill>
    </fill>
    <fill>
      <patternFill patternType="solid">
        <fgColor theme="4"/>
        <bgColor indexed="64"/>
      </patternFill>
    </fill>
    <fill>
      <patternFill patternType="solid">
        <fgColor theme="5"/>
        <bgColor indexed="64"/>
      </patternFill>
    </fill>
    <fill>
      <patternFill patternType="solid">
        <fgColor theme="5" tint="-0.499984740745262"/>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2" tint="-0.499984740745262"/>
        <bgColor indexed="64"/>
      </patternFill>
    </fill>
    <fill>
      <patternFill patternType="solid">
        <fgColor theme="8"/>
        <bgColor indexed="64"/>
      </patternFill>
    </fill>
    <fill>
      <patternFill patternType="solid">
        <fgColor theme="6" tint="-0.499984740745262"/>
        <bgColor indexed="64"/>
      </patternFill>
    </fill>
  </fills>
  <borders count="22">
    <border>
      <left/>
      <right/>
      <top/>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hair">
        <color auto="1"/>
      </bottom>
      <diagonal/>
    </border>
    <border>
      <left style="medium">
        <color auto="1"/>
      </left>
      <right style="medium">
        <color auto="1"/>
      </right>
      <top style="hair">
        <color auto="1"/>
      </top>
      <bottom style="medium">
        <color auto="1"/>
      </bottom>
      <diagonal/>
    </border>
    <border>
      <left style="hair">
        <color auto="1"/>
      </left>
      <right style="hair">
        <color auto="1"/>
      </right>
      <top/>
      <bottom/>
      <diagonal/>
    </border>
    <border>
      <left/>
      <right style="hair">
        <color auto="1"/>
      </right>
      <top/>
      <bottom/>
      <diagonal/>
    </border>
    <border>
      <left style="hair">
        <color auto="1"/>
      </left>
      <right/>
      <top style="hair">
        <color auto="1"/>
      </top>
      <bottom style="hair">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hair">
        <color auto="1"/>
      </top>
      <bottom style="hair">
        <color auto="1"/>
      </bottom>
      <diagonal/>
    </border>
  </borders>
  <cellStyleXfs count="1">
    <xf numFmtId="0" fontId="0" fillId="0" borderId="0"/>
  </cellStyleXfs>
  <cellXfs count="98">
    <xf numFmtId="0" fontId="0" fillId="0" borderId="0" xfId="0"/>
    <xf numFmtId="0" fontId="2" fillId="0" borderId="0" xfId="0" applyFont="1"/>
    <xf numFmtId="0" fontId="6" fillId="0" borderId="0" xfId="0" applyFont="1"/>
    <xf numFmtId="0" fontId="0" fillId="0" borderId="0" xfId="0" applyAlignment="1">
      <alignment vertical="center"/>
    </xf>
    <xf numFmtId="0" fontId="0" fillId="0" borderId="0" xfId="0" applyAlignment="1">
      <alignment horizontal="center" vertical="center"/>
    </xf>
    <xf numFmtId="0" fontId="0" fillId="0" borderId="2" xfId="0" applyBorder="1" applyAlignment="1">
      <alignment horizontal="center" vertical="center"/>
    </xf>
    <xf numFmtId="0" fontId="10" fillId="0" borderId="2" xfId="0" applyFont="1" applyBorder="1" applyAlignment="1">
      <alignment horizontal="center" vertical="center"/>
    </xf>
    <xf numFmtId="0" fontId="0" fillId="4" borderId="2" xfId="0" applyFill="1" applyBorder="1" applyAlignment="1">
      <alignment vertical="center"/>
    </xf>
    <xf numFmtId="0" fontId="0" fillId="4" borderId="2" xfId="0" applyFill="1" applyBorder="1" applyAlignment="1">
      <alignment horizontal="center" vertical="center"/>
    </xf>
    <xf numFmtId="0" fontId="0" fillId="0" borderId="2" xfId="0" applyBorder="1"/>
    <xf numFmtId="0" fontId="8" fillId="6" borderId="2" xfId="0" applyFont="1" applyFill="1" applyBorder="1" applyAlignment="1">
      <alignment horizontal="right" vertical="center"/>
    </xf>
    <xf numFmtId="0" fontId="11" fillId="6" borderId="2" xfId="0" applyFont="1" applyFill="1" applyBorder="1" applyAlignment="1">
      <alignment horizontal="center" vertical="center"/>
    </xf>
    <xf numFmtId="0" fontId="3" fillId="6" borderId="2" xfId="0" applyFont="1" applyFill="1" applyBorder="1" applyAlignment="1">
      <alignment horizontal="right" vertical="center"/>
    </xf>
    <xf numFmtId="0" fontId="12" fillId="4" borderId="2" xfId="0" applyFont="1" applyFill="1" applyBorder="1" applyAlignment="1">
      <alignment horizontal="center" vertical="center"/>
    </xf>
    <xf numFmtId="0" fontId="0" fillId="6" borderId="2" xfId="0" applyFill="1" applyBorder="1" applyAlignment="1">
      <alignment vertical="center"/>
    </xf>
    <xf numFmtId="0" fontId="0" fillId="6" borderId="2" xfId="0" applyFill="1" applyBorder="1" applyAlignment="1">
      <alignment horizontal="center" vertical="center"/>
    </xf>
    <xf numFmtId="0" fontId="0" fillId="5" borderId="2" xfId="0" applyFill="1" applyBorder="1" applyAlignment="1">
      <alignment vertical="center"/>
    </xf>
    <xf numFmtId="0" fontId="0" fillId="5" borderId="2" xfId="0" applyFill="1" applyBorder="1" applyAlignment="1">
      <alignment horizontal="center" vertical="center"/>
    </xf>
    <xf numFmtId="0" fontId="13" fillId="6" borderId="2" xfId="0" applyFont="1" applyFill="1" applyBorder="1" applyAlignment="1">
      <alignment horizontal="right" vertical="center"/>
    </xf>
    <xf numFmtId="0" fontId="14" fillId="6" borderId="2" xfId="0" applyFont="1" applyFill="1" applyBorder="1" applyAlignment="1">
      <alignment horizontal="right" vertical="center"/>
    </xf>
    <xf numFmtId="0" fontId="15" fillId="3" borderId="2" xfId="0" applyFont="1" applyFill="1" applyBorder="1" applyAlignment="1">
      <alignment horizontal="center" vertical="center"/>
    </xf>
    <xf numFmtId="0" fontId="16" fillId="4" borderId="2" xfId="0" applyFont="1" applyFill="1" applyBorder="1" applyAlignment="1">
      <alignment horizontal="center" vertical="center"/>
    </xf>
    <xf numFmtId="0" fontId="6" fillId="4" borderId="2" xfId="0" applyFont="1" applyFill="1" applyBorder="1" applyAlignment="1">
      <alignment horizontal="center" vertical="center"/>
    </xf>
    <xf numFmtId="0" fontId="6" fillId="5" borderId="2" xfId="0" applyFont="1" applyFill="1" applyBorder="1" applyAlignment="1">
      <alignment horizontal="center" vertical="center"/>
    </xf>
    <xf numFmtId="0" fontId="6" fillId="0" borderId="0" xfId="0" applyFont="1" applyAlignment="1">
      <alignment horizontal="center" vertical="center"/>
    </xf>
    <xf numFmtId="0" fontId="7" fillId="8" borderId="2" xfId="0" applyFont="1" applyFill="1" applyBorder="1" applyAlignment="1">
      <alignment horizontal="center" vertical="center"/>
    </xf>
    <xf numFmtId="0" fontId="19" fillId="4" borderId="2" xfId="0" applyFont="1" applyFill="1" applyBorder="1" applyAlignment="1">
      <alignment horizontal="center" vertical="center"/>
    </xf>
    <xf numFmtId="0" fontId="20" fillId="9" borderId="2" xfId="0" applyFont="1" applyFill="1" applyBorder="1" applyAlignment="1">
      <alignment horizontal="center" vertical="center"/>
    </xf>
    <xf numFmtId="0" fontId="19" fillId="5" borderId="2" xfId="0" applyFont="1" applyFill="1" applyBorder="1" applyAlignment="1">
      <alignment horizontal="center" vertical="center"/>
    </xf>
    <xf numFmtId="0" fontId="19" fillId="0" borderId="0" xfId="0" applyFont="1" applyAlignment="1">
      <alignment horizontal="center" vertical="center"/>
    </xf>
    <xf numFmtId="0" fontId="6"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25" fillId="6" borderId="2" xfId="0" applyFont="1" applyFill="1" applyBorder="1" applyAlignment="1">
      <alignment horizontal="center" vertical="center"/>
    </xf>
    <xf numFmtId="0" fontId="0" fillId="0" borderId="6" xfId="0" applyBorder="1"/>
    <xf numFmtId="0" fontId="0" fillId="0" borderId="8" xfId="0" applyBorder="1"/>
    <xf numFmtId="0" fontId="0" fillId="0" borderId="4" xfId="0" applyBorder="1"/>
    <xf numFmtId="0" fontId="20" fillId="9" borderId="15" xfId="0" applyFont="1" applyFill="1" applyBorder="1" applyAlignment="1">
      <alignment horizontal="center" vertical="center"/>
    </xf>
    <xf numFmtId="0" fontId="21" fillId="3" borderId="15" xfId="0" applyFont="1" applyFill="1" applyBorder="1" applyAlignment="1">
      <alignment horizontal="center" vertical="center"/>
    </xf>
    <xf numFmtId="0" fontId="0" fillId="0" borderId="7" xfId="0" applyBorder="1"/>
    <xf numFmtId="0" fontId="0" fillId="0" borderId="5" xfId="0" applyBorder="1"/>
    <xf numFmtId="0" fontId="1" fillId="4" borderId="3" xfId="0" applyFont="1" applyFill="1" applyBorder="1" applyAlignment="1">
      <alignment horizontal="right" vertical="center"/>
    </xf>
    <xf numFmtId="0" fontId="1" fillId="4" borderId="3" xfId="0" applyFont="1" applyFill="1" applyBorder="1" applyAlignment="1">
      <alignment horizontal="center" vertical="center"/>
    </xf>
    <xf numFmtId="0" fontId="17" fillId="4" borderId="3" xfId="0" applyFont="1" applyFill="1" applyBorder="1" applyAlignment="1">
      <alignment horizontal="center" vertical="center"/>
    </xf>
    <xf numFmtId="0" fontId="16" fillId="4" borderId="3" xfId="0" applyFont="1" applyFill="1" applyBorder="1" applyAlignment="1">
      <alignment horizontal="center" vertical="center"/>
    </xf>
    <xf numFmtId="0" fontId="22" fillId="4" borderId="3" xfId="0" applyFont="1" applyFill="1" applyBorder="1" applyAlignment="1">
      <alignment horizontal="center" vertical="center"/>
    </xf>
    <xf numFmtId="0" fontId="0" fillId="10" borderId="1" xfId="0" applyFill="1" applyBorder="1" applyAlignment="1">
      <alignment vertical="center"/>
    </xf>
    <xf numFmtId="0" fontId="0" fillId="10" borderId="1" xfId="0" applyFill="1" applyBorder="1" applyAlignment="1">
      <alignment horizontal="center" vertical="center"/>
    </xf>
    <xf numFmtId="0" fontId="6" fillId="10" borderId="1" xfId="0" applyFont="1" applyFill="1" applyBorder="1" applyAlignment="1">
      <alignment horizontal="center" vertical="center"/>
    </xf>
    <xf numFmtId="0" fontId="19" fillId="10" borderId="1" xfId="0" applyFont="1" applyFill="1" applyBorder="1" applyAlignment="1">
      <alignment horizontal="center" vertical="center"/>
    </xf>
    <xf numFmtId="0" fontId="5" fillId="2" borderId="7" xfId="0" applyFont="1" applyFill="1" applyBorder="1" applyAlignment="1">
      <alignment horizontal="center" vertical="center"/>
    </xf>
    <xf numFmtId="0" fontId="18" fillId="2" borderId="7" xfId="0" applyFont="1" applyFill="1" applyBorder="1" applyAlignment="1">
      <alignment horizontal="center" vertical="center"/>
    </xf>
    <xf numFmtId="0" fontId="23" fillId="2" borderId="16" xfId="0" applyFont="1" applyFill="1" applyBorder="1" applyAlignment="1">
      <alignment horizontal="center" vertical="center"/>
    </xf>
    <xf numFmtId="0" fontId="23" fillId="2" borderId="17" xfId="0" applyFont="1" applyFill="1" applyBorder="1" applyAlignment="1">
      <alignment horizontal="center" vertical="center"/>
    </xf>
    <xf numFmtId="0" fontId="6" fillId="9" borderId="4" xfId="0" applyFont="1" applyFill="1" applyBorder="1" applyAlignment="1">
      <alignment vertical="center"/>
    </xf>
    <xf numFmtId="0" fontId="6" fillId="9" borderId="5" xfId="0" applyFont="1" applyFill="1" applyBorder="1" applyAlignment="1">
      <alignment horizontal="center" vertical="center"/>
    </xf>
    <xf numFmtId="0" fontId="16" fillId="4" borderId="5" xfId="0" applyFont="1" applyFill="1" applyBorder="1" applyAlignment="1">
      <alignment horizontal="center" vertical="center"/>
    </xf>
    <xf numFmtId="0" fontId="24" fillId="9" borderId="18" xfId="0" applyFont="1" applyFill="1" applyBorder="1" applyAlignment="1">
      <alignment horizontal="center" vertical="center"/>
    </xf>
    <xf numFmtId="0" fontId="0" fillId="0" borderId="7" xfId="0" applyBorder="1" applyAlignment="1">
      <alignment horizontal="center"/>
    </xf>
    <xf numFmtId="0" fontId="0" fillId="3" borderId="6" xfId="0" applyFill="1" applyBorder="1" applyAlignment="1">
      <alignment horizontal="center" vertical="center"/>
    </xf>
    <xf numFmtId="0" fontId="0" fillId="3" borderId="7" xfId="0" applyFill="1" applyBorder="1"/>
    <xf numFmtId="0" fontId="0" fillId="3" borderId="16" xfId="0" applyFill="1" applyBorder="1"/>
    <xf numFmtId="0" fontId="0" fillId="3" borderId="8" xfId="0" applyFill="1" applyBorder="1"/>
    <xf numFmtId="0" fontId="0" fillId="3" borderId="2" xfId="0" applyFill="1" applyBorder="1"/>
    <xf numFmtId="0" fontId="0" fillId="3" borderId="17" xfId="0" applyFill="1" applyBorder="1"/>
    <xf numFmtId="0" fontId="0" fillId="3" borderId="4" xfId="0" applyFill="1" applyBorder="1"/>
    <xf numFmtId="0" fontId="0" fillId="3" borderId="5" xfId="0" applyFill="1" applyBorder="1"/>
    <xf numFmtId="0" fontId="0" fillId="3" borderId="18" xfId="0" applyFill="1" applyBorder="1"/>
    <xf numFmtId="0" fontId="26" fillId="5" borderId="14" xfId="0" applyFont="1" applyFill="1" applyBorder="1" applyAlignment="1">
      <alignment vertical="center"/>
    </xf>
    <xf numFmtId="0" fontId="26" fillId="5" borderId="13" xfId="0" applyFont="1" applyFill="1" applyBorder="1" applyAlignment="1">
      <alignment horizontal="center" vertical="center"/>
    </xf>
    <xf numFmtId="0" fontId="18" fillId="5" borderId="13" xfId="0" applyFont="1" applyFill="1" applyBorder="1" applyAlignment="1">
      <alignment horizontal="center" vertical="center"/>
    </xf>
    <xf numFmtId="0" fontId="26" fillId="5" borderId="9" xfId="0" applyFont="1" applyFill="1" applyBorder="1" applyAlignment="1">
      <alignment horizontal="center" vertical="center"/>
    </xf>
    <xf numFmtId="0" fontId="0" fillId="7" borderId="2" xfId="0" applyFill="1" applyBorder="1" applyAlignment="1">
      <alignment horizontal="center" vertical="center"/>
    </xf>
    <xf numFmtId="0" fontId="27" fillId="7" borderId="2" xfId="0" applyFont="1" applyFill="1" applyBorder="1" applyAlignment="1">
      <alignment horizontal="center" vertical="center"/>
    </xf>
    <xf numFmtId="0" fontId="0" fillId="0" borderId="10" xfId="0" applyBorder="1"/>
    <xf numFmtId="0" fontId="0" fillId="0" borderId="20" xfId="0" applyBorder="1"/>
    <xf numFmtId="0" fontId="0" fillId="0" borderId="19" xfId="0" applyBorder="1"/>
    <xf numFmtId="0" fontId="0" fillId="0" borderId="11" xfId="0" applyBorder="1"/>
    <xf numFmtId="0" fontId="0" fillId="0" borderId="21" xfId="0" applyBorder="1"/>
    <xf numFmtId="0" fontId="0" fillId="0" borderId="12" xfId="0" applyBorder="1"/>
    <xf numFmtId="0" fontId="28" fillId="0" borderId="2" xfId="0" applyFont="1" applyBorder="1"/>
    <xf numFmtId="0" fontId="0" fillId="7" borderId="2" xfId="0" applyFill="1" applyBorder="1"/>
    <xf numFmtId="0" fontId="28" fillId="7" borderId="2" xfId="0" applyFont="1" applyFill="1" applyBorder="1"/>
    <xf numFmtId="0" fontId="5" fillId="5" borderId="7" xfId="0" applyFont="1" applyFill="1" applyBorder="1" applyAlignment="1">
      <alignment horizontal="center" vertical="center"/>
    </xf>
    <xf numFmtId="0" fontId="10" fillId="5" borderId="2" xfId="0" applyFont="1" applyFill="1" applyBorder="1" applyAlignment="1">
      <alignment horizontal="center" vertical="center"/>
    </xf>
    <xf numFmtId="0" fontId="7" fillId="4" borderId="2" xfId="0" applyFont="1" applyFill="1" applyBorder="1" applyAlignment="1">
      <alignment horizontal="center" vertical="center"/>
    </xf>
    <xf numFmtId="0" fontId="7" fillId="12" borderId="2" xfId="0" applyFont="1" applyFill="1" applyBorder="1" applyAlignment="1">
      <alignment horizontal="center" vertical="center"/>
    </xf>
    <xf numFmtId="0" fontId="7" fillId="11" borderId="2" xfId="0" applyFont="1" applyFill="1" applyBorder="1" applyAlignment="1">
      <alignment horizontal="center" vertical="center"/>
    </xf>
    <xf numFmtId="0" fontId="7" fillId="13" borderId="2" xfId="0" applyFont="1" applyFill="1" applyBorder="1" applyAlignment="1">
      <alignment horizontal="center" vertical="center"/>
    </xf>
    <xf numFmtId="0" fontId="7" fillId="14" borderId="2" xfId="0" applyFont="1" applyFill="1" applyBorder="1" applyAlignment="1">
      <alignment horizontal="center" vertical="center"/>
    </xf>
    <xf numFmtId="0" fontId="7" fillId="15" borderId="2" xfId="0" applyFont="1" applyFill="1" applyBorder="1" applyAlignment="1">
      <alignment horizontal="center" vertical="center"/>
    </xf>
    <xf numFmtId="0" fontId="7" fillId="16" borderId="2" xfId="0" applyFont="1" applyFill="1" applyBorder="1" applyAlignment="1">
      <alignment horizontal="center" vertical="center"/>
    </xf>
    <xf numFmtId="0" fontId="7" fillId="17" borderId="2" xfId="0" applyFont="1" applyFill="1" applyBorder="1" applyAlignment="1">
      <alignment horizontal="center" vertical="center"/>
    </xf>
    <xf numFmtId="0" fontId="7" fillId="18" borderId="2" xfId="0" applyFont="1" applyFill="1" applyBorder="1" applyAlignment="1">
      <alignment horizontal="center" vertical="center"/>
    </xf>
    <xf numFmtId="0" fontId="5" fillId="6" borderId="2" xfId="0" applyFont="1" applyFill="1" applyBorder="1" applyAlignment="1">
      <alignment horizontal="center" vertical="center"/>
    </xf>
    <xf numFmtId="0" fontId="7" fillId="19" borderId="2" xfId="0" applyFont="1" applyFill="1" applyBorder="1" applyAlignment="1">
      <alignment horizontal="center" vertical="center"/>
    </xf>
    <xf numFmtId="0" fontId="7" fillId="20" borderId="2" xfId="0" applyFont="1" applyFill="1" applyBorder="1" applyAlignment="1">
      <alignment horizontal="center" vertical="center"/>
    </xf>
    <xf numFmtId="0" fontId="29" fillId="2" borderId="6" xfId="0" applyFont="1" applyFill="1" applyBorder="1" applyAlignment="1">
      <alignment horizontal="center" vertical="center"/>
    </xf>
    <xf numFmtId="0" fontId="30" fillId="0" borderId="8" xfId="0" applyFont="1" applyBorder="1" applyAlignment="1">
      <alignment horizontal="center" vertical="center"/>
    </xf>
  </cellXfs>
  <cellStyles count="1">
    <cellStyle name="Normal" xfId="0" builtinId="0"/>
  </cellStyles>
  <dxfs count="185">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ill>
        <patternFill>
          <bgColor rgb="FF00B05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ill>
        <patternFill>
          <bgColor rgb="FF00B05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ill>
        <patternFill>
          <bgColor rgb="FF00B05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ill>
        <patternFill>
          <bgColor rgb="FF00B05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ill>
        <patternFill>
          <bgColor rgb="FF00B05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6672C-ED20-45EA-932D-8B4BADFB2D8C}">
  <sheetPr>
    <pageSetUpPr fitToPage="1"/>
  </sheetPr>
  <dimension ref="A1:AF285"/>
  <sheetViews>
    <sheetView tabSelected="1" zoomScale="90" zoomScaleNormal="90" workbookViewId="0">
      <pane xSplit="1" topLeftCell="B1" activePane="topRight" state="frozen"/>
      <selection pane="topRight" activeCell="C13" sqref="C13"/>
    </sheetView>
  </sheetViews>
  <sheetFormatPr defaultRowHeight="15" x14ac:dyDescent="0.25"/>
  <cols>
    <col min="1" max="1" width="22.5703125" style="3" customWidth="1"/>
    <col min="2" max="2" width="6.28515625" style="4" customWidth="1"/>
    <col min="3" max="3" width="4" style="4" customWidth="1"/>
    <col min="4" max="4" width="19.140625" style="4" customWidth="1"/>
    <col min="5" max="5" width="2" style="24" customWidth="1"/>
    <col min="6" max="21" width="7.7109375" style="4" customWidth="1"/>
    <col min="22" max="22" width="7.7109375" style="29" customWidth="1"/>
    <col min="23" max="23" width="20.28515625" hidden="1" customWidth="1"/>
    <col min="24" max="24" width="11.85546875" hidden="1" customWidth="1"/>
    <col min="25" max="25" width="13.5703125" hidden="1" customWidth="1"/>
    <col min="26" max="26" width="16.42578125" hidden="1" customWidth="1"/>
    <col min="27" max="27" width="13" hidden="1" customWidth="1"/>
    <col min="28" max="28" width="20.5703125" hidden="1" customWidth="1"/>
    <col min="29" max="29" width="15.42578125" hidden="1" customWidth="1"/>
    <col min="30" max="30" width="28.7109375" hidden="1" customWidth="1"/>
    <col min="31" max="31" width="31.7109375" hidden="1" customWidth="1"/>
    <col min="32" max="32" width="41.5703125" hidden="1" customWidth="1"/>
  </cols>
  <sheetData>
    <row r="1" spans="1:32" ht="5.25" customHeight="1" x14ac:dyDescent="0.25">
      <c r="A1" s="7"/>
      <c r="B1" s="8"/>
      <c r="C1" s="8"/>
      <c r="D1" s="8"/>
      <c r="E1" s="22"/>
      <c r="F1" s="8"/>
      <c r="G1" s="8"/>
      <c r="H1" s="8"/>
      <c r="I1" s="8"/>
      <c r="J1" s="8"/>
      <c r="K1" s="8"/>
      <c r="L1" s="8"/>
      <c r="M1" s="8"/>
      <c r="N1" s="8"/>
      <c r="O1" s="8"/>
      <c r="P1" s="8"/>
      <c r="Q1" s="8"/>
      <c r="R1" s="8"/>
      <c r="S1" s="8"/>
      <c r="T1" s="8"/>
      <c r="U1" s="8"/>
      <c r="V1" s="26"/>
    </row>
    <row r="2" spans="1:32" ht="20.25" customHeight="1" x14ac:dyDescent="0.25">
      <c r="A2" s="14"/>
      <c r="B2" s="15">
        <f>INT(ROW()/56)+1</f>
        <v>1</v>
      </c>
      <c r="C2" s="71" t="s">
        <v>40</v>
      </c>
      <c r="D2" s="72" t="str">
        <f>"w1_"&amp;TEXT(B2,"0000")</f>
        <v>w1_0001</v>
      </c>
      <c r="E2" s="30"/>
      <c r="F2" s="31">
        <v>1</v>
      </c>
      <c r="G2" s="31">
        <v>2</v>
      </c>
      <c r="H2" s="31">
        <v>3</v>
      </c>
      <c r="I2" s="31">
        <v>4</v>
      </c>
      <c r="J2" s="31">
        <v>5</v>
      </c>
      <c r="K2" s="31">
        <v>6</v>
      </c>
      <c r="L2" s="31">
        <v>7</v>
      </c>
      <c r="M2" s="31">
        <v>8</v>
      </c>
      <c r="N2" s="31">
        <v>9</v>
      </c>
      <c r="O2" s="31">
        <v>10</v>
      </c>
      <c r="P2" s="31">
        <v>11</v>
      </c>
      <c r="Q2" s="31">
        <v>12</v>
      </c>
      <c r="R2" s="31">
        <v>13</v>
      </c>
      <c r="S2" s="31">
        <v>14</v>
      </c>
      <c r="T2" s="31">
        <v>15</v>
      </c>
      <c r="U2" s="31">
        <v>16</v>
      </c>
      <c r="V2" s="32">
        <v>17</v>
      </c>
    </row>
    <row r="3" spans="1:32" ht="13.5" customHeight="1" x14ac:dyDescent="0.25">
      <c r="A3" s="9"/>
      <c r="B3" s="79" t="s">
        <v>42</v>
      </c>
      <c r="C3" s="20" t="s">
        <v>17</v>
      </c>
      <c r="D3" s="10" t="s">
        <v>0</v>
      </c>
      <c r="E3" s="18"/>
      <c r="F3" s="11" t="str">
        <f>"#D1"</f>
        <v>#D1</v>
      </c>
      <c r="G3" s="11" t="str">
        <f>"#D2"</f>
        <v>#D2</v>
      </c>
      <c r="H3" s="11" t="str">
        <f>"#D3"</f>
        <v>#D3</v>
      </c>
      <c r="I3" s="11" t="str">
        <f>"#D4"</f>
        <v>#D4</v>
      </c>
      <c r="J3" s="11" t="str">
        <f>"#D5"</f>
        <v>#D5</v>
      </c>
      <c r="K3" s="11" t="str">
        <f>"#D6"</f>
        <v>#D6</v>
      </c>
      <c r="L3" s="11" t="str">
        <f>"#D7"</f>
        <v>#D7</v>
      </c>
      <c r="M3" s="11" t="str">
        <f>"#D8"</f>
        <v>#D8</v>
      </c>
      <c r="N3" s="11" t="str">
        <f>"#D9"</f>
        <v>#D9</v>
      </c>
      <c r="O3" s="11" t="str">
        <f>"#D10"</f>
        <v>#D10</v>
      </c>
      <c r="P3" s="11" t="str">
        <f>"#D11"</f>
        <v>#D11</v>
      </c>
      <c r="Q3" s="11" t="str">
        <f>"#D12"</f>
        <v>#D12</v>
      </c>
      <c r="R3" s="11" t="str">
        <f>"#D13"</f>
        <v>#D13</v>
      </c>
      <c r="S3" s="11" t="str">
        <f>"#D14"</f>
        <v>#D14</v>
      </c>
      <c r="T3" s="11" t="str">
        <f>"#D15"</f>
        <v>#D15</v>
      </c>
      <c r="U3" s="11" t="str">
        <f>"#D16"</f>
        <v>#D16</v>
      </c>
      <c r="V3" s="36" t="str">
        <f>""</f>
        <v/>
      </c>
    </row>
    <row r="4" spans="1:32" x14ac:dyDescent="0.25">
      <c r="A4" s="9"/>
      <c r="B4" s="81" t="s">
        <v>43</v>
      </c>
      <c r="C4" s="80" t="s">
        <v>21</v>
      </c>
      <c r="D4" s="19" t="s">
        <v>30</v>
      </c>
      <c r="E4" s="18"/>
      <c r="F4" s="20" t="s">
        <v>7</v>
      </c>
      <c r="G4" s="20" t="s">
        <v>1</v>
      </c>
      <c r="H4" s="20" t="s">
        <v>2</v>
      </c>
      <c r="I4" s="20" t="s">
        <v>3</v>
      </c>
      <c r="J4" s="20" t="s">
        <v>4</v>
      </c>
      <c r="K4" s="20" t="s">
        <v>5</v>
      </c>
      <c r="L4" s="20" t="s">
        <v>6</v>
      </c>
      <c r="M4" s="20" t="s">
        <v>7</v>
      </c>
      <c r="N4" s="20" t="s">
        <v>8</v>
      </c>
      <c r="O4" s="20" t="s">
        <v>9</v>
      </c>
      <c r="P4" s="20" t="s">
        <v>10</v>
      </c>
      <c r="Q4" s="20" t="s">
        <v>11</v>
      </c>
      <c r="R4" s="20" t="s">
        <v>12</v>
      </c>
      <c r="S4" s="20" t="s">
        <v>13</v>
      </c>
      <c r="T4" s="20" t="s">
        <v>14</v>
      </c>
      <c r="U4" s="20" t="s">
        <v>15</v>
      </c>
      <c r="V4" s="37" t="s">
        <v>18</v>
      </c>
    </row>
    <row r="5" spans="1:32" ht="5.25" customHeight="1" x14ac:dyDescent="0.25">
      <c r="A5" s="16"/>
      <c r="B5" s="17"/>
      <c r="C5" s="17"/>
      <c r="D5" s="17"/>
      <c r="E5" s="23"/>
      <c r="F5" s="17"/>
      <c r="G5" s="17"/>
      <c r="H5" s="17"/>
      <c r="I5" s="17"/>
      <c r="J5" s="17"/>
      <c r="K5" s="17"/>
      <c r="L5" s="17"/>
      <c r="M5" s="17"/>
      <c r="N5" s="17"/>
      <c r="O5" s="17"/>
      <c r="P5" s="17"/>
      <c r="Q5" s="17"/>
      <c r="R5" s="17"/>
      <c r="S5" s="17"/>
      <c r="T5" s="17"/>
      <c r="U5" s="17"/>
      <c r="V5" s="28"/>
    </row>
    <row r="6" spans="1:32" s="1" customFormat="1" ht="19.5" customHeight="1" x14ac:dyDescent="0.25">
      <c r="A6" s="9"/>
      <c r="B6" s="81" t="s">
        <v>44</v>
      </c>
      <c r="C6" s="80" t="s">
        <v>21</v>
      </c>
      <c r="D6" s="12" t="s">
        <v>28</v>
      </c>
      <c r="E6" s="18"/>
      <c r="F6" s="13" t="s">
        <v>87</v>
      </c>
      <c r="G6" s="13" t="s">
        <v>86</v>
      </c>
      <c r="H6" s="13" t="s">
        <v>88</v>
      </c>
      <c r="I6" s="13" t="s">
        <v>89</v>
      </c>
      <c r="J6" s="13" t="s">
        <v>90</v>
      </c>
      <c r="K6" s="13" t="s">
        <v>91</v>
      </c>
      <c r="L6" s="13" t="s">
        <v>92</v>
      </c>
      <c r="M6" s="13" t="s">
        <v>68</v>
      </c>
      <c r="N6" s="13" t="s">
        <v>68</v>
      </c>
      <c r="O6" s="13" t="s">
        <v>68</v>
      </c>
      <c r="P6" s="13" t="s">
        <v>85</v>
      </c>
      <c r="Q6" s="13" t="s">
        <v>93</v>
      </c>
      <c r="R6" s="13" t="s">
        <v>95</v>
      </c>
      <c r="S6" s="13" t="s">
        <v>94</v>
      </c>
      <c r="T6" s="13" t="s">
        <v>96</v>
      </c>
      <c r="U6" s="13" t="s">
        <v>20</v>
      </c>
      <c r="V6" s="27" t="s">
        <v>21</v>
      </c>
    </row>
    <row r="7" spans="1:32" ht="10.5" customHeight="1" thickBot="1" x14ac:dyDescent="0.3">
      <c r="A7" s="40"/>
      <c r="B7" s="41"/>
      <c r="C7" s="41"/>
      <c r="D7" s="41"/>
      <c r="E7" s="42"/>
      <c r="F7" s="43">
        <f>COUNTA(F9:F48)</f>
        <v>3</v>
      </c>
      <c r="G7" s="43">
        <f t="shared" ref="G7:U7" si="0">COUNTA(G9:G48)</f>
        <v>0</v>
      </c>
      <c r="H7" s="43">
        <f t="shared" si="0"/>
        <v>0</v>
      </c>
      <c r="I7" s="43">
        <f t="shared" si="0"/>
        <v>0</v>
      </c>
      <c r="J7" s="43">
        <f t="shared" si="0"/>
        <v>1</v>
      </c>
      <c r="K7" s="43">
        <f t="shared" si="0"/>
        <v>1</v>
      </c>
      <c r="L7" s="43">
        <f t="shared" si="0"/>
        <v>1</v>
      </c>
      <c r="M7" s="43">
        <f t="shared" si="0"/>
        <v>2</v>
      </c>
      <c r="N7" s="43">
        <f t="shared" si="0"/>
        <v>1</v>
      </c>
      <c r="O7" s="43">
        <f t="shared" si="0"/>
        <v>1</v>
      </c>
      <c r="P7" s="43">
        <f t="shared" si="0"/>
        <v>1</v>
      </c>
      <c r="Q7" s="43">
        <f t="shared" si="0"/>
        <v>1</v>
      </c>
      <c r="R7" s="43">
        <f t="shared" si="0"/>
        <v>1</v>
      </c>
      <c r="S7" s="43">
        <f t="shared" si="0"/>
        <v>1</v>
      </c>
      <c r="T7" s="43">
        <f t="shared" si="0"/>
        <v>1</v>
      </c>
      <c r="U7" s="43">
        <f t="shared" si="0"/>
        <v>1</v>
      </c>
      <c r="V7" s="44">
        <f>40-COUNTBLANK(V9:V48)</f>
        <v>24</v>
      </c>
    </row>
    <row r="8" spans="1:32" ht="13.5" customHeight="1" x14ac:dyDescent="0.25">
      <c r="A8" s="96" t="s">
        <v>29</v>
      </c>
      <c r="B8" s="49" t="s">
        <v>97</v>
      </c>
      <c r="C8" s="49" t="s">
        <v>98</v>
      </c>
      <c r="D8" s="49" t="s">
        <v>27</v>
      </c>
      <c r="E8" s="50"/>
      <c r="F8" s="49"/>
      <c r="G8" s="49"/>
      <c r="H8" s="49"/>
      <c r="I8" s="82"/>
      <c r="J8" s="49"/>
      <c r="K8" s="49"/>
      <c r="L8" s="49"/>
      <c r="M8" s="82"/>
      <c r="N8" s="49"/>
      <c r="O8" s="49"/>
      <c r="P8" s="49"/>
      <c r="Q8" s="82"/>
      <c r="R8" s="49"/>
      <c r="S8" s="49"/>
      <c r="T8" s="49"/>
      <c r="U8" s="49"/>
      <c r="V8" s="51"/>
      <c r="W8" s="33" t="s">
        <v>36</v>
      </c>
      <c r="X8" s="38" t="s">
        <v>31</v>
      </c>
      <c r="Y8" s="57" t="s">
        <v>33</v>
      </c>
      <c r="Z8" s="76" t="s">
        <v>35</v>
      </c>
      <c r="AA8" s="73" t="s">
        <v>41</v>
      </c>
      <c r="AB8" s="58" t="s">
        <v>32</v>
      </c>
      <c r="AC8" s="59" t="s">
        <v>34</v>
      </c>
      <c r="AD8" s="59" t="s">
        <v>37</v>
      </c>
      <c r="AE8" s="59" t="s">
        <v>38</v>
      </c>
      <c r="AF8" s="60" t="s">
        <v>39</v>
      </c>
    </row>
    <row r="9" spans="1:32" ht="13.5" customHeight="1" x14ac:dyDescent="0.25">
      <c r="A9" s="97">
        <v>1</v>
      </c>
      <c r="B9" s="5" t="s">
        <v>21</v>
      </c>
      <c r="C9" s="25" t="s">
        <v>21</v>
      </c>
      <c r="D9" s="84" t="s">
        <v>45</v>
      </c>
      <c r="E9" s="21">
        <f>COUNTA(F9:U9)</f>
        <v>1</v>
      </c>
      <c r="F9" s="6"/>
      <c r="G9" s="6"/>
      <c r="H9" s="6"/>
      <c r="I9" s="83"/>
      <c r="J9" s="6"/>
      <c r="K9" s="6"/>
      <c r="L9" s="6"/>
      <c r="M9" s="83" t="s">
        <v>21</v>
      </c>
      <c r="N9" s="6"/>
      <c r="O9" s="6"/>
      <c r="P9" s="6"/>
      <c r="Q9" s="83"/>
      <c r="R9" s="6"/>
      <c r="S9" s="6"/>
      <c r="T9" s="6"/>
      <c r="U9" s="6"/>
      <c r="V9" s="52" t="str">
        <f>IF(E9=0,"x","")</f>
        <v/>
      </c>
      <c r="W9" s="34">
        <f>_xlfn.XMATCH("x",F9:V9)</f>
        <v>8</v>
      </c>
      <c r="X9" s="9" t="str" cm="1">
        <f t="array" ref="X9">INDEX(F4:V4,W9)</f>
        <v>Yellow</v>
      </c>
      <c r="Y9" s="9">
        <f>_xlfn.XLOOKUP(X9,refs!$A$2:$A$19,refs!$B$2:$B$19)</f>
        <v>7</v>
      </c>
      <c r="Z9" s="77" t="str" cm="1">
        <f t="array" ref="Z9">INDEX($F$3:$V$3,W9)</f>
        <v>#D8</v>
      </c>
      <c r="AA9" s="74">
        <f>IF(C9="x",Y9,_xlfn.XLOOKUP(C3,refs!$A$2:$A$19,refs!$B$2:$B$19))</f>
        <v>7</v>
      </c>
      <c r="AB9" s="61" t="str">
        <f>"/ch."&amp;A9&amp;".col="&amp;AA9&amp;",mute="&amp;IF(C9="x",0,1)&amp;","</f>
        <v>/ch.1.col=7,mute=0,</v>
      </c>
      <c r="AC9" s="62" t="str">
        <f>"/ch."&amp;A9&amp;".tags="&amp;Z9&amp;","</f>
        <v>/ch.1.tags=#D8,</v>
      </c>
      <c r="AD9" s="62" t="str">
        <f>"/ch."&amp;A9&amp;".name="&amp;LEFT(D9,16)&amp;","</f>
        <v>/ch.1.name=CAROLINE.ariel,</v>
      </c>
      <c r="AE9" s="62" t="str">
        <f>"/ch."&amp;A9&amp;".postins.on="&amp;IF(B9="x",1,IF(B9="y",1,0))&amp;",mode="&amp;IF(B9="x","AUTO_X",IF(B9="y","AUTO_Y","FX"))&amp;","</f>
        <v>/ch.1.postins.on=1,mode=AUTO_X,</v>
      </c>
      <c r="AF9" s="63" t="str">
        <f>"/dca."&amp;F$2&amp;".col="&amp;_xlfn.XLOOKUP(F$4,refs!$A$2:$A$19,refs!$B$2:$B$19)&amp;",name="&amp;LEFT(F$6,16)&amp;","</f>
        <v>/dca.1.col=7,name=LEADS,</v>
      </c>
    </row>
    <row r="10" spans="1:32" ht="13.5" customHeight="1" x14ac:dyDescent="0.25">
      <c r="A10" s="97">
        <v>2</v>
      </c>
      <c r="B10" s="5" t="s">
        <v>21</v>
      </c>
      <c r="C10" s="25" t="s">
        <v>21</v>
      </c>
      <c r="D10" s="84" t="s">
        <v>46</v>
      </c>
      <c r="E10" s="21">
        <f t="shared" ref="E10:E48" si="1">COUNTA(F10:U10)</f>
        <v>1</v>
      </c>
      <c r="F10" s="6" t="s">
        <v>21</v>
      </c>
      <c r="G10" s="6"/>
      <c r="H10" s="6"/>
      <c r="I10" s="83"/>
      <c r="J10" s="6"/>
      <c r="K10" s="6"/>
      <c r="L10" s="6"/>
      <c r="M10" s="83"/>
      <c r="N10" s="6"/>
      <c r="O10" s="6"/>
      <c r="P10" s="6"/>
      <c r="Q10" s="83"/>
      <c r="R10" s="6"/>
      <c r="S10" s="6"/>
      <c r="T10" s="6"/>
      <c r="U10" s="6"/>
      <c r="V10" s="52" t="str">
        <f t="shared" ref="V10:V48" si="2">IF(E10=0,"x","")</f>
        <v/>
      </c>
      <c r="W10" s="34">
        <f t="shared" ref="W10:W48" si="3">_xlfn.XMATCH("x",F10:V10)</f>
        <v>1</v>
      </c>
      <c r="X10" s="9" t="str" cm="1">
        <f t="array" ref="X10">INDEX(F4:V4,W10)</f>
        <v>Yellow</v>
      </c>
      <c r="Y10" s="9">
        <f>_xlfn.XLOOKUP(X10,refs!$A$2:$A$19,refs!$B$2:$B$19)</f>
        <v>7</v>
      </c>
      <c r="Z10" s="77" t="str" cm="1">
        <f t="array" ref="Z10">INDEX($F$3:$V$3,W10)</f>
        <v>#D1</v>
      </c>
      <c r="AA10" s="74">
        <f>IF(C10="x",Y10,_xlfn.XLOOKUP(C3,refs!$A$2:$A$19,refs!$B$2:$B$19))</f>
        <v>7</v>
      </c>
      <c r="AB10" s="61" t="str">
        <f t="shared" ref="AB10:AB48" si="4">"."&amp;A10&amp;".col="&amp;AA10&amp;",mute="&amp;IF(C10="x",0,1)&amp;","</f>
        <v>.2.col=7,mute=0,</v>
      </c>
      <c r="AC10" s="62" t="str">
        <f t="shared" ref="AC10:AC48" si="5">"."&amp;A10&amp;".tags="&amp;Z10&amp;","</f>
        <v>.2.tags=#D1,</v>
      </c>
      <c r="AD10" s="62" t="str">
        <f>"."&amp;A10&amp;".name="&amp;LEFT(D10,166)&amp;","</f>
        <v>.2.name=GABE.eric,</v>
      </c>
      <c r="AE10" s="62" t="str">
        <f t="shared" ref="AE10:AE28" si="6">".."&amp;A10&amp;".postins.on="&amp;IF(B10="x",1,IF(B10="y",1,0))&amp;",mode="&amp;IF(B10="x","AUTO_X",IF(B10="y","AUTO_Y","FX"))&amp;","</f>
        <v>..2.postins.on=1,mode=AUTO_X,</v>
      </c>
      <c r="AF10" s="63" t="str">
        <f>"."&amp;G$2&amp;".col="&amp;_xlfn.XLOOKUP(G$4,refs!$A$2:$A$19,refs!$B$2:$B$19)&amp;",name="&amp;LEFT(G$6,16)&amp;","</f>
        <v>.2.col=1,name=FlotJet,</v>
      </c>
    </row>
    <row r="11" spans="1:32" ht="13.5" customHeight="1" x14ac:dyDescent="0.25">
      <c r="A11" s="97">
        <v>3</v>
      </c>
      <c r="B11" s="5" t="s">
        <v>21</v>
      </c>
      <c r="C11" s="25" t="s">
        <v>21</v>
      </c>
      <c r="D11" s="84" t="s">
        <v>47</v>
      </c>
      <c r="E11" s="21">
        <f t="shared" si="1"/>
        <v>1</v>
      </c>
      <c r="F11" s="6" t="s">
        <v>21</v>
      </c>
      <c r="G11" s="6"/>
      <c r="H11" s="6"/>
      <c r="I11" s="83"/>
      <c r="J11" s="6"/>
      <c r="K11" s="6"/>
      <c r="L11" s="6"/>
      <c r="M11" s="83"/>
      <c r="N11" s="6"/>
      <c r="O11" s="6"/>
      <c r="P11" s="6"/>
      <c r="Q11" s="83"/>
      <c r="R11" s="6"/>
      <c r="S11" s="6"/>
      <c r="T11" s="6"/>
      <c r="U11" s="6"/>
      <c r="V11" s="52" t="str">
        <f t="shared" si="2"/>
        <v/>
      </c>
      <c r="W11" s="34">
        <f t="shared" si="3"/>
        <v>1</v>
      </c>
      <c r="X11" s="9" t="str" cm="1">
        <f t="array" ref="X11">INDEX(F4:V4,W11)</f>
        <v>Yellow</v>
      </c>
      <c r="Y11" s="9">
        <f>_xlfn.XLOOKUP(X11,refs!$A$2:$A$19,refs!$B$2:$B$19)</f>
        <v>7</v>
      </c>
      <c r="Z11" s="77" t="str" cm="1">
        <f t="array" ref="Z11">INDEX($F$3:$V$3,W11)</f>
        <v>#D1</v>
      </c>
      <c r="AA11" s="74">
        <f>IF(C11="x",Y11,_xlfn.XLOOKUP(C3,refs!$A$2:$A$19,refs!$B$2:$B$19))</f>
        <v>7</v>
      </c>
      <c r="AB11" s="61" t="str">
        <f t="shared" si="4"/>
        <v>.3.col=7,mute=0,</v>
      </c>
      <c r="AC11" s="62" t="str">
        <f t="shared" si="5"/>
        <v>.3.tags=#D1,</v>
      </c>
      <c r="AD11" s="62" t="str">
        <f t="shared" ref="AD11:AD28" si="7">"."&amp;A11&amp;".name="&amp;LEFT(D11,16)&amp;","</f>
        <v>.3.name=KEITH.grimsby,</v>
      </c>
      <c r="AE11" s="62" t="str">
        <f t="shared" si="6"/>
        <v>..3.postins.on=1,mode=AUTO_X,</v>
      </c>
      <c r="AF11" s="63" t="str">
        <f>"."&amp;H$2&amp;".col="&amp;_xlfn.XLOOKUP(H$4,refs!$A$2:$A$19,refs!$B$2:$B$19)&amp;",name="&amp;LEFT(H$6,16)&amp;","</f>
        <v>.3.col=2,name=Sail,</v>
      </c>
    </row>
    <row r="12" spans="1:32" ht="13.5" customHeight="1" x14ac:dyDescent="0.25">
      <c r="A12" s="97">
        <v>4</v>
      </c>
      <c r="B12" s="5"/>
      <c r="C12" s="25" t="s">
        <v>21</v>
      </c>
      <c r="D12" s="25" t="s">
        <v>48</v>
      </c>
      <c r="E12" s="21">
        <f t="shared" si="1"/>
        <v>1</v>
      </c>
      <c r="F12" s="6" t="s">
        <v>21</v>
      </c>
      <c r="G12" s="6"/>
      <c r="H12" s="6"/>
      <c r="I12" s="83"/>
      <c r="J12" s="6"/>
      <c r="K12" s="6"/>
      <c r="L12" s="6"/>
      <c r="M12" s="83"/>
      <c r="N12" s="6"/>
      <c r="O12" s="6"/>
      <c r="P12" s="6"/>
      <c r="Q12" s="83"/>
      <c r="R12" s="6"/>
      <c r="S12" s="6"/>
      <c r="T12" s="6"/>
      <c r="U12" s="6"/>
      <c r="V12" s="52" t="str">
        <f t="shared" si="2"/>
        <v/>
      </c>
      <c r="W12" s="34">
        <f t="shared" si="3"/>
        <v>1</v>
      </c>
      <c r="X12" s="9" t="str" cm="1">
        <f t="array" ref="X12">INDEX(F4:V4,W12)</f>
        <v>Yellow</v>
      </c>
      <c r="Y12" s="9">
        <f>_xlfn.XLOOKUP(X12,refs!$A$2:$A$19,refs!$B$2:$B$19)</f>
        <v>7</v>
      </c>
      <c r="Z12" s="77" t="str" cm="1">
        <f t="array" ref="Z12">INDEX($F$3:$V$3,W12)</f>
        <v>#D1</v>
      </c>
      <c r="AA12" s="74">
        <f>IF(C12="x",Y12,_xlfn.XLOOKUP(C3,refs!$A$2:$A$19,refs!$B$2:$B$19))</f>
        <v>7</v>
      </c>
      <c r="AB12" s="61" t="str">
        <f t="shared" si="4"/>
        <v>.4.col=7,mute=0,</v>
      </c>
      <c r="AC12" s="62" t="str">
        <f t="shared" si="5"/>
        <v>.4.tags=#D1,</v>
      </c>
      <c r="AD12" s="62" t="str">
        <f t="shared" si="7"/>
        <v>.4.name=CHADLEY.sebastia,</v>
      </c>
      <c r="AE12" s="62" t="str">
        <f t="shared" si="6"/>
        <v>..4.postins.on=0,mode=FX,</v>
      </c>
      <c r="AF12" s="63" t="str">
        <f>"."&amp;I$2&amp;".col="&amp;_xlfn.XLOOKUP(I$4,refs!$A$2:$A$19,refs!$B$2:$B$19)&amp;",name="&amp;LEFT(I$6,16)&amp;","</f>
        <v>.4.col=3,name=Sisters,</v>
      </c>
    </row>
    <row r="13" spans="1:32" ht="13.5" customHeight="1" x14ac:dyDescent="0.25">
      <c r="A13" s="97">
        <v>5</v>
      </c>
      <c r="B13" s="5" t="s">
        <v>21</v>
      </c>
      <c r="C13" s="25" t="s">
        <v>21</v>
      </c>
      <c r="D13" s="85" t="s">
        <v>49</v>
      </c>
      <c r="E13" s="21">
        <f t="shared" si="1"/>
        <v>1</v>
      </c>
      <c r="F13" s="6"/>
      <c r="G13" s="6"/>
      <c r="H13" s="6"/>
      <c r="I13" s="83"/>
      <c r="J13" s="6" t="s">
        <v>21</v>
      </c>
      <c r="K13" s="6"/>
      <c r="L13" s="6"/>
      <c r="M13" s="83"/>
      <c r="N13" s="6"/>
      <c r="O13" s="6"/>
      <c r="P13" s="6"/>
      <c r="Q13" s="83"/>
      <c r="R13" s="6"/>
      <c r="S13" s="6"/>
      <c r="T13" s="6"/>
      <c r="U13" s="6"/>
      <c r="V13" s="52" t="str">
        <f t="shared" si="2"/>
        <v/>
      </c>
      <c r="W13" s="34">
        <f t="shared" si="3"/>
        <v>5</v>
      </c>
      <c r="X13" s="9" t="str" cm="1">
        <f t="array" ref="X13">INDEX(F4:V4,W13)</f>
        <v>Turquoise</v>
      </c>
      <c r="Y13" s="9">
        <f>_xlfn.XLOOKUP(X13,refs!$A$2:$A$19,refs!$B$2:$B$19)</f>
        <v>4</v>
      </c>
      <c r="Z13" s="77" t="str" cm="1">
        <f t="array" ref="Z13">INDEX($F$3:$V$3,W13)</f>
        <v>#D5</v>
      </c>
      <c r="AA13" s="74">
        <f>IF(C13="x",Y13,_xlfn.XLOOKUP(C3,refs!$A$2:$A$19,refs!$B$2:$B$19))</f>
        <v>4</v>
      </c>
      <c r="AB13" s="61" t="str">
        <f t="shared" si="4"/>
        <v>.5.col=4,mute=0,</v>
      </c>
      <c r="AC13" s="62" t="str">
        <f t="shared" si="5"/>
        <v>.5.tags=#D5,</v>
      </c>
      <c r="AD13" s="62" t="str">
        <f t="shared" si="7"/>
        <v>.5.name=ANNA.flounder,</v>
      </c>
      <c r="AE13" s="62" t="str">
        <f t="shared" si="6"/>
        <v>..5.postins.on=1,mode=AUTO_X,</v>
      </c>
      <c r="AF13" s="63" t="str">
        <f>"."&amp;J$2&amp;".col="&amp;_xlfn.XLOOKUP(J$4,refs!$A$2:$A$19,refs!$B$2:$B$19)&amp;",name="&amp;LEFT(J$6,16)&amp;","</f>
        <v>.5.col=4,name=Maids,</v>
      </c>
    </row>
    <row r="14" spans="1:32" ht="13.5" customHeight="1" x14ac:dyDescent="0.25">
      <c r="A14" s="97">
        <v>6</v>
      </c>
      <c r="B14" s="5" t="s">
        <v>21</v>
      </c>
      <c r="C14" s="25" t="s">
        <v>21</v>
      </c>
      <c r="D14" s="86" t="s">
        <v>51</v>
      </c>
      <c r="E14" s="21">
        <f t="shared" si="1"/>
        <v>1</v>
      </c>
      <c r="F14" s="6"/>
      <c r="G14" s="6"/>
      <c r="H14" s="6"/>
      <c r="I14" s="83"/>
      <c r="J14" s="6"/>
      <c r="K14" s="6" t="s">
        <v>21</v>
      </c>
      <c r="L14" s="6"/>
      <c r="M14" s="83"/>
      <c r="N14" s="6"/>
      <c r="O14" s="6"/>
      <c r="P14" s="6"/>
      <c r="Q14" s="83"/>
      <c r="R14" s="6"/>
      <c r="S14" s="6"/>
      <c r="T14" s="6"/>
      <c r="U14" s="6"/>
      <c r="V14" s="52" t="str">
        <f t="shared" si="2"/>
        <v/>
      </c>
      <c r="W14" s="34">
        <f t="shared" si="3"/>
        <v>6</v>
      </c>
      <c r="X14" s="9" t="str" cm="1">
        <f t="array" ref="X14">INDEX(F4:V4,W14)</f>
        <v>Green</v>
      </c>
      <c r="Y14" s="9">
        <f>_xlfn.XLOOKUP(X14,refs!$A$2:$A$19,refs!$B$2:$B$19)</f>
        <v>5</v>
      </c>
      <c r="Z14" s="77" t="str" cm="1">
        <f t="array" ref="Z14">INDEX($F$3:$V$3,W14)</f>
        <v>#D6</v>
      </c>
      <c r="AA14" s="74">
        <f>IF(C14="x",Y14,_xlfn.XLOOKUP(C3,refs!$A$2:$A$19,refs!$B$2:$B$19))</f>
        <v>5</v>
      </c>
      <c r="AB14" s="61" t="str">
        <f t="shared" si="4"/>
        <v>.6.col=5,mute=0,</v>
      </c>
      <c r="AC14" s="62" t="str">
        <f t="shared" si="5"/>
        <v>.6.tags=#D6,</v>
      </c>
      <c r="AD14" s="62" t="str">
        <f t="shared" si="7"/>
        <v>.6.name=MARGERY.ursula,</v>
      </c>
      <c r="AE14" s="62" t="str">
        <f t="shared" si="6"/>
        <v>..6.postins.on=1,mode=AUTO_X,</v>
      </c>
      <c r="AF14" s="63" t="str">
        <f>"."&amp;K$2&amp;".col="&amp;_xlfn.XLOOKUP(K$4,refs!$A$2:$A$19,refs!$B$2:$B$19)&amp;",name="&amp;LEFT(K$6,16)&amp;","</f>
        <v>.6.col=5,name=LeeWind,</v>
      </c>
    </row>
    <row r="15" spans="1:32" ht="13.5" customHeight="1" x14ac:dyDescent="0.25">
      <c r="A15" s="97">
        <v>7</v>
      </c>
      <c r="B15" s="5" t="s">
        <v>21</v>
      </c>
      <c r="C15" s="25" t="s">
        <v>21</v>
      </c>
      <c r="D15" s="87" t="s">
        <v>52</v>
      </c>
      <c r="E15" s="21">
        <f t="shared" si="1"/>
        <v>1</v>
      </c>
      <c r="F15" s="6"/>
      <c r="G15" s="6"/>
      <c r="H15" s="6"/>
      <c r="I15" s="83"/>
      <c r="J15" s="6"/>
      <c r="K15" s="6"/>
      <c r="L15" s="6" t="s">
        <v>21</v>
      </c>
      <c r="M15" s="83"/>
      <c r="N15" s="6"/>
      <c r="O15" s="6"/>
      <c r="P15" s="6"/>
      <c r="Q15" s="83"/>
      <c r="R15" s="6"/>
      <c r="S15" s="6"/>
      <c r="T15" s="6"/>
      <c r="U15" s="6"/>
      <c r="V15" s="52" t="str">
        <f t="shared" si="2"/>
        <v/>
      </c>
      <c r="W15" s="34">
        <f t="shared" si="3"/>
        <v>7</v>
      </c>
      <c r="X15" s="9" t="str" cm="1">
        <f t="array" ref="X15">INDEX(F4:V4,W15)</f>
        <v>OliveG</v>
      </c>
      <c r="Y15" s="9">
        <f>_xlfn.XLOOKUP(X15,refs!$A$2:$A$19,refs!$B$2:$B$19)</f>
        <v>6</v>
      </c>
      <c r="Z15" s="77" t="str" cm="1">
        <f t="array" ref="Z15">INDEX($F$3:$V$3,W15)</f>
        <v>#D7</v>
      </c>
      <c r="AA15" s="74">
        <f>IF(C15="x",Y15,_xlfn.XLOOKUP(C3,refs!$A$2:$A$19,refs!$B$2:$B$19))</f>
        <v>6</v>
      </c>
      <c r="AB15" s="61" t="str">
        <f t="shared" si="4"/>
        <v>.7.col=6,mute=0,</v>
      </c>
      <c r="AC15" s="62" t="str">
        <f t="shared" si="5"/>
        <v>.7.tags=#D7,</v>
      </c>
      <c r="AD15" s="62" t="str">
        <f t="shared" si="7"/>
        <v>.7.name=JOHN.triton,</v>
      </c>
      <c r="AE15" s="62" t="str">
        <f t="shared" si="6"/>
        <v>..7.postins.on=1,mode=AUTO_X,</v>
      </c>
      <c r="AF15" s="63" t="str">
        <f>"."&amp;L$2&amp;".col="&amp;_xlfn.XLOOKUP(L$4,refs!$A$2:$A$19,refs!$B$2:$B$19)&amp;",name="&amp;LEFT(L$6,16)&amp;","</f>
        <v>.7.col=6,name=PrRaJen,</v>
      </c>
    </row>
    <row r="16" spans="1:32" ht="13.5" customHeight="1" x14ac:dyDescent="0.25">
      <c r="A16" s="97">
        <v>8</v>
      </c>
      <c r="B16" s="5" t="s">
        <v>21</v>
      </c>
      <c r="C16" s="25" t="s">
        <v>21</v>
      </c>
      <c r="D16" s="87" t="s">
        <v>53</v>
      </c>
      <c r="E16" s="21">
        <f t="shared" si="1"/>
        <v>1</v>
      </c>
      <c r="F16" s="6"/>
      <c r="G16" s="6"/>
      <c r="H16" s="6"/>
      <c r="I16" s="83"/>
      <c r="J16" s="6"/>
      <c r="K16" s="6"/>
      <c r="L16" s="6"/>
      <c r="M16" s="83" t="s">
        <v>21</v>
      </c>
      <c r="N16" s="6"/>
      <c r="O16" s="6"/>
      <c r="P16" s="6"/>
      <c r="Q16" s="83"/>
      <c r="R16" s="6"/>
      <c r="S16" s="6"/>
      <c r="T16" s="6"/>
      <c r="U16" s="6"/>
      <c r="V16" s="52" t="str">
        <f t="shared" si="2"/>
        <v/>
      </c>
      <c r="W16" s="34">
        <f t="shared" si="3"/>
        <v>8</v>
      </c>
      <c r="X16" s="9" t="str" cm="1">
        <f t="array" ref="X16">INDEX(F4:V4,W16)</f>
        <v>Yellow</v>
      </c>
      <c r="Y16" s="9">
        <f>_xlfn.XLOOKUP(X16,refs!$A$2:$A$19,refs!$B$2:$B$19)</f>
        <v>7</v>
      </c>
      <c r="Z16" s="77" t="str" cm="1">
        <f t="array" ref="Z16">INDEX($F$3:$V$3,W16)</f>
        <v>#D8</v>
      </c>
      <c r="AA16" s="74">
        <f>IF(C16="x",Y16,_xlfn.XLOOKUP(C3,refs!$A$2:$A$19,refs!$B$2:$B$19))</f>
        <v>7</v>
      </c>
      <c r="AB16" s="61" t="str">
        <f t="shared" si="4"/>
        <v>.8.col=7,mute=0,</v>
      </c>
      <c r="AC16" s="62" t="str">
        <f t="shared" si="5"/>
        <v>.8.tags=#D8,</v>
      </c>
      <c r="AD16" s="62" t="str">
        <f t="shared" si="7"/>
        <v>.8.name=JUDAH.chefL,</v>
      </c>
      <c r="AE16" s="62" t="str">
        <f t="shared" si="6"/>
        <v>..8.postins.on=1,mode=AUTO_X,</v>
      </c>
      <c r="AF16" s="63" t="str">
        <f>"."&amp;M$2&amp;".col="&amp;_xlfn.XLOOKUP(M$4,refs!$A$2:$A$19,refs!$B$2:$B$19)&amp;",name="&amp;LEFT(M$6,16)&amp;","</f>
        <v>.8.col=7,name=.,</v>
      </c>
    </row>
    <row r="17" spans="1:32" ht="13.5" customHeight="1" x14ac:dyDescent="0.25">
      <c r="A17" s="97">
        <v>9</v>
      </c>
      <c r="B17" s="5" t="s">
        <v>21</v>
      </c>
      <c r="C17" s="25" t="s">
        <v>21</v>
      </c>
      <c r="D17" s="87" t="s">
        <v>54</v>
      </c>
      <c r="E17" s="21">
        <f t="shared" si="1"/>
        <v>1</v>
      </c>
      <c r="F17" s="6"/>
      <c r="G17" s="6"/>
      <c r="H17" s="6"/>
      <c r="I17" s="83"/>
      <c r="J17" s="6"/>
      <c r="K17" s="6"/>
      <c r="L17" s="6"/>
      <c r="M17" s="83"/>
      <c r="N17" s="6" t="s">
        <v>21</v>
      </c>
      <c r="O17" s="6"/>
      <c r="P17" s="6"/>
      <c r="Q17" s="83"/>
      <c r="R17" s="6"/>
      <c r="S17" s="6"/>
      <c r="T17" s="6"/>
      <c r="U17" s="6"/>
      <c r="V17" s="52" t="str">
        <f t="shared" si="2"/>
        <v/>
      </c>
      <c r="W17" s="34">
        <f t="shared" si="3"/>
        <v>9</v>
      </c>
      <c r="X17" s="9" t="str" cm="1">
        <f t="array" ref="X17">INDEX(F4:V4,W17)</f>
        <v>Brown</v>
      </c>
      <c r="Y17" s="9">
        <f>_xlfn.XLOOKUP(X17,refs!$A$2:$A$19,refs!$B$2:$B$19)</f>
        <v>8</v>
      </c>
      <c r="Z17" s="77" t="str" cm="1">
        <f t="array" ref="Z17">INDEX($F$3:$V$3,W17)</f>
        <v>#D9</v>
      </c>
      <c r="AA17" s="74">
        <f>IF(C17="x",Y17,_xlfn.XLOOKUP(C3,refs!$A$2:$A$19,refs!$B$2:$B$19))</f>
        <v>8</v>
      </c>
      <c r="AB17" s="61" t="str">
        <f t="shared" si="4"/>
        <v>.9.col=8,mute=0,</v>
      </c>
      <c r="AC17" s="62" t="str">
        <f t="shared" si="5"/>
        <v>.9.tags=#D9,</v>
      </c>
      <c r="AD17" s="62" t="str">
        <f t="shared" si="7"/>
        <v>.9.name=BRIDGET.scuttle,</v>
      </c>
      <c r="AE17" s="62" t="str">
        <f t="shared" si="6"/>
        <v>..9.postins.on=1,mode=AUTO_X,</v>
      </c>
      <c r="AF17" s="63" t="str">
        <f>"."&amp;N$2&amp;".col="&amp;_xlfn.XLOOKUP(N$4,refs!$A$2:$A$19,refs!$B$2:$B$19)&amp;",name="&amp;LEFT(N$6,16)&amp;","</f>
        <v>.9.col=8,name=.,</v>
      </c>
    </row>
    <row r="18" spans="1:32" ht="13.5" customHeight="1" x14ac:dyDescent="0.25">
      <c r="A18" s="97">
        <v>10</v>
      </c>
      <c r="B18" s="5" t="s">
        <v>21</v>
      </c>
      <c r="C18" s="25" t="s">
        <v>21</v>
      </c>
      <c r="D18" s="88" t="s">
        <v>55</v>
      </c>
      <c r="E18" s="21">
        <f t="shared" si="1"/>
        <v>1</v>
      </c>
      <c r="F18" s="6"/>
      <c r="G18" s="6"/>
      <c r="H18" s="6"/>
      <c r="I18" s="83"/>
      <c r="J18" s="6"/>
      <c r="K18" s="6"/>
      <c r="L18" s="6"/>
      <c r="M18" s="83"/>
      <c r="N18" s="6"/>
      <c r="O18" s="6" t="s">
        <v>21</v>
      </c>
      <c r="P18" s="6"/>
      <c r="Q18" s="83"/>
      <c r="R18" s="6"/>
      <c r="S18" s="6"/>
      <c r="T18" s="6"/>
      <c r="U18" s="6"/>
      <c r="V18" s="52" t="str">
        <f t="shared" si="2"/>
        <v/>
      </c>
      <c r="W18" s="34">
        <f t="shared" si="3"/>
        <v>10</v>
      </c>
      <c r="X18" s="9" t="str" cm="1">
        <f t="array" ref="X18">INDEX(F4:V4,W18)</f>
        <v>Red</v>
      </c>
      <c r="Y18" s="9">
        <f>_xlfn.XLOOKUP(X18,refs!$A$2:$A$19,refs!$B$2:$B$19)</f>
        <v>9</v>
      </c>
      <c r="Z18" s="77" t="str" cm="1">
        <f t="array" ref="Z18">INDEX($F$3:$V$3,W18)</f>
        <v>#D10</v>
      </c>
      <c r="AA18" s="74">
        <f>IF(C18="x",Y18,_xlfn.XLOOKUP(C3,refs!$A$2:$A$19,refs!$B$2:$B$19))</f>
        <v>9</v>
      </c>
      <c r="AB18" s="61" t="str">
        <f t="shared" si="4"/>
        <v>.10.col=9,mute=0,</v>
      </c>
      <c r="AC18" s="62" t="str">
        <f t="shared" si="5"/>
        <v>.10.tags=#D10,</v>
      </c>
      <c r="AD18" s="62" t="str">
        <f t="shared" si="7"/>
        <v>.10.name=DYLAN.flotsam,</v>
      </c>
      <c r="AE18" s="62" t="str">
        <f t="shared" si="6"/>
        <v>..10.postins.on=1,mode=AUTO_X,</v>
      </c>
      <c r="AF18" s="63" t="str">
        <f>"."&amp;O$2&amp;".col="&amp;_xlfn.XLOOKUP(O$4,refs!$A$2:$A$19,refs!$B$2:$B$19)&amp;",name="&amp;LEFT(O$6,16)&amp;","</f>
        <v>.10.col=9,name=.,</v>
      </c>
    </row>
    <row r="19" spans="1:32" ht="13.5" customHeight="1" x14ac:dyDescent="0.25">
      <c r="A19" s="97">
        <v>11</v>
      </c>
      <c r="B19" s="5" t="s">
        <v>21</v>
      </c>
      <c r="C19" s="25" t="s">
        <v>21</v>
      </c>
      <c r="D19" s="88" t="s">
        <v>56</v>
      </c>
      <c r="E19" s="21">
        <f t="shared" si="1"/>
        <v>1</v>
      </c>
      <c r="F19" s="6"/>
      <c r="G19" s="6"/>
      <c r="H19" s="6"/>
      <c r="I19" s="83"/>
      <c r="J19" s="6"/>
      <c r="K19" s="6"/>
      <c r="L19" s="6"/>
      <c r="M19" s="83"/>
      <c r="N19" s="6"/>
      <c r="O19" s="6"/>
      <c r="P19" s="6" t="s">
        <v>21</v>
      </c>
      <c r="Q19" s="83"/>
      <c r="R19" s="6"/>
      <c r="S19" s="6"/>
      <c r="T19" s="6"/>
      <c r="U19" s="6"/>
      <c r="V19" s="52" t="str">
        <f t="shared" si="2"/>
        <v/>
      </c>
      <c r="W19" s="34">
        <f t="shared" si="3"/>
        <v>11</v>
      </c>
      <c r="X19" s="9" t="str" cm="1">
        <f t="array" ref="X19">INDEX(F4:V4,W19)</f>
        <v>Coral</v>
      </c>
      <c r="Y19" s="9">
        <f>_xlfn.XLOOKUP(X19,refs!$A$2:$A$19,refs!$B$2:$B$19)</f>
        <v>10</v>
      </c>
      <c r="Z19" s="77" t="str" cm="1">
        <f t="array" ref="Z19">INDEX($F$3:$V$3,W19)</f>
        <v>#D11</v>
      </c>
      <c r="AA19" s="74">
        <f>IF(C19="x",Y19,_xlfn.XLOOKUP(C3,refs!$A$2:$A$19,refs!$B$2:$B$19))</f>
        <v>10</v>
      </c>
      <c r="AB19" s="61" t="str">
        <f t="shared" si="4"/>
        <v>.11.col=10,mute=0,</v>
      </c>
      <c r="AC19" s="62" t="str">
        <f t="shared" si="5"/>
        <v>.11.tags=#D11,</v>
      </c>
      <c r="AD19" s="62" t="str">
        <f t="shared" si="7"/>
        <v>.11.name=ELIJAH.jetsam,</v>
      </c>
      <c r="AE19" s="62" t="str">
        <f t="shared" si="6"/>
        <v>..11.postins.on=1,mode=AUTO_X,</v>
      </c>
      <c r="AF19" s="63" t="str">
        <f>"."&amp;P$2&amp;".col="&amp;_xlfn.XLOOKUP(P$4,refs!$A$2:$A$19,refs!$B$2:$B$19)&amp;",name="&amp;LEFT(P$6,16)&amp;","</f>
        <v>.11.col=10,name=OS,</v>
      </c>
    </row>
    <row r="20" spans="1:32" ht="13.5" customHeight="1" x14ac:dyDescent="0.25">
      <c r="A20" s="97">
        <v>12</v>
      </c>
      <c r="B20" s="5" t="s">
        <v>21</v>
      </c>
      <c r="C20" s="25" t="s">
        <v>21</v>
      </c>
      <c r="D20" s="89" t="s">
        <v>50</v>
      </c>
      <c r="E20" s="21">
        <f t="shared" si="1"/>
        <v>1</v>
      </c>
      <c r="F20" s="6"/>
      <c r="G20" s="6"/>
      <c r="H20" s="6"/>
      <c r="I20" s="83"/>
      <c r="J20" s="6"/>
      <c r="K20" s="6"/>
      <c r="L20" s="6"/>
      <c r="M20" s="83"/>
      <c r="N20" s="6"/>
      <c r="O20" s="6"/>
      <c r="P20" s="6"/>
      <c r="Q20" s="83" t="s">
        <v>21</v>
      </c>
      <c r="R20" s="6"/>
      <c r="S20" s="6"/>
      <c r="T20" s="6"/>
      <c r="U20" s="6"/>
      <c r="V20" s="52" t="str">
        <f t="shared" si="2"/>
        <v/>
      </c>
      <c r="W20" s="34">
        <f t="shared" si="3"/>
        <v>12</v>
      </c>
      <c r="X20" s="9" t="str" cm="1">
        <f t="array" ref="X20">INDEX(F4:V4,W20)</f>
        <v>Pink</v>
      </c>
      <c r="Y20" s="9">
        <f>_xlfn.XLOOKUP(X20,refs!$A$2:$A$19,refs!$B$2:$B$19)</f>
        <v>11</v>
      </c>
      <c r="Z20" s="77" t="str" cm="1">
        <f t="array" ref="Z20">INDEX($F$3:$V$3,W20)</f>
        <v>#D12</v>
      </c>
      <c r="AA20" s="74">
        <f>IF(C20="x",Y20,_xlfn.XLOOKUP(C3,refs!$A$2:$A$19,refs!$B$2:$B$19))</f>
        <v>11</v>
      </c>
      <c r="AB20" s="61" t="str">
        <f t="shared" si="4"/>
        <v>.12.col=11,mute=0,</v>
      </c>
      <c r="AC20" s="62" t="str">
        <f t="shared" si="5"/>
        <v>.12.tags=#D12,</v>
      </c>
      <c r="AD20" s="62" t="str">
        <f t="shared" si="7"/>
        <v>.12.name=SYR.pilot,</v>
      </c>
      <c r="AE20" s="62" t="str">
        <f t="shared" si="6"/>
        <v>..12.postins.on=1,mode=AUTO_X,</v>
      </c>
      <c r="AF20" s="63" t="str">
        <f>"."&amp;Q$2&amp;".col="&amp;_xlfn.XLOOKUP(Q$4,refs!$A$2:$A$19,refs!$B$2:$B$19)&amp;",name="&amp;LEFT(Q$6,16)&amp;","</f>
        <v>.12.col=11,name=VOX+.VRB,</v>
      </c>
    </row>
    <row r="21" spans="1:32" ht="13.5" customHeight="1" x14ac:dyDescent="0.25">
      <c r="A21" s="97">
        <v>13</v>
      </c>
      <c r="B21" s="5" t="s">
        <v>26</v>
      </c>
      <c r="C21" s="25" t="s">
        <v>21</v>
      </c>
      <c r="D21" s="90" t="s">
        <v>57</v>
      </c>
      <c r="E21" s="21">
        <f t="shared" si="1"/>
        <v>1</v>
      </c>
      <c r="F21" s="6"/>
      <c r="G21" s="6"/>
      <c r="H21" s="6"/>
      <c r="I21" s="83"/>
      <c r="J21" s="6"/>
      <c r="K21" s="6"/>
      <c r="L21" s="6"/>
      <c r="M21" s="83"/>
      <c r="N21" s="6"/>
      <c r="O21" s="6"/>
      <c r="P21" s="6"/>
      <c r="Q21" s="83"/>
      <c r="R21" s="6" t="s">
        <v>21</v>
      </c>
      <c r="S21" s="6"/>
      <c r="T21" s="6"/>
      <c r="U21" s="6"/>
      <c r="V21" s="52" t="str">
        <f t="shared" si="2"/>
        <v/>
      </c>
      <c r="W21" s="34">
        <f t="shared" si="3"/>
        <v>13</v>
      </c>
      <c r="X21" s="9" t="str" cm="1">
        <f t="array" ref="X21">INDEX(F4:V4,W21)</f>
        <v>DarkV</v>
      </c>
      <c r="Y21" s="9">
        <f>_xlfn.XLOOKUP(X21,refs!$A$2:$A$19,refs!$B$2:$B$19)</f>
        <v>12</v>
      </c>
      <c r="Z21" s="77" t="str" cm="1">
        <f t="array" ref="Z21">INDEX($F$3:$V$3,W21)</f>
        <v>#D13</v>
      </c>
      <c r="AA21" s="74">
        <f>IF(C21="x",Y21,_xlfn.XLOOKUP(C3,refs!$A$2:$A$19,refs!$B$2:$B$19))</f>
        <v>12</v>
      </c>
      <c r="AB21" s="61" t="str">
        <f t="shared" si="4"/>
        <v>.13.col=12,mute=0,</v>
      </c>
      <c r="AC21" s="62" t="str">
        <f t="shared" si="5"/>
        <v>.13.tags=#D13,</v>
      </c>
      <c r="AD21" s="62" t="str">
        <f t="shared" si="7"/>
        <v>.13.name=KATELYN.aquata,</v>
      </c>
      <c r="AE21" s="62" t="str">
        <f t="shared" si="6"/>
        <v>..13.postins.on=1,mode=AUTO_Y,</v>
      </c>
      <c r="AF21" s="63" t="str">
        <f>"."&amp;R$2&amp;".col="&amp;_xlfn.XLOOKUP(R$4,refs!$A$2:$A$19,refs!$B$2:$B$19)&amp;",name="&amp;LEFT(R$6,16)&amp;","</f>
        <v>.13.col=12,name=VOX_.VRB,</v>
      </c>
    </row>
    <row r="22" spans="1:32" ht="13.5" customHeight="1" x14ac:dyDescent="0.25">
      <c r="A22" s="97">
        <v>14</v>
      </c>
      <c r="B22" s="5" t="s">
        <v>26</v>
      </c>
      <c r="C22" s="25" t="s">
        <v>21</v>
      </c>
      <c r="D22" s="90" t="s">
        <v>58</v>
      </c>
      <c r="E22" s="21">
        <f t="shared" si="1"/>
        <v>1</v>
      </c>
      <c r="F22" s="6"/>
      <c r="G22" s="6"/>
      <c r="H22" s="6"/>
      <c r="I22" s="83"/>
      <c r="J22" s="6"/>
      <c r="K22" s="6"/>
      <c r="L22" s="6"/>
      <c r="M22" s="83"/>
      <c r="N22" s="6"/>
      <c r="O22" s="6"/>
      <c r="P22" s="6"/>
      <c r="Q22" s="83"/>
      <c r="R22" s="6"/>
      <c r="S22" s="6" t="s">
        <v>21</v>
      </c>
      <c r="T22" s="6"/>
      <c r="U22" s="6"/>
      <c r="V22" s="52" t="str">
        <f t="shared" si="2"/>
        <v/>
      </c>
      <c r="W22" s="34">
        <f t="shared" si="3"/>
        <v>14</v>
      </c>
      <c r="X22" s="9" t="str" cm="1">
        <f t="array" ref="X22">INDEX(F4:V4,W22)</f>
        <v>Gold</v>
      </c>
      <c r="Y22" s="9">
        <f>_xlfn.XLOOKUP(X22,refs!$A$2:$A$19,refs!$B$2:$B$19)</f>
        <v>13</v>
      </c>
      <c r="Z22" s="77" t="str" cm="1">
        <f t="array" ref="Z22">INDEX($F$3:$V$3,W22)</f>
        <v>#D14</v>
      </c>
      <c r="AA22" s="74">
        <f>IF(C22="x",Y22,_xlfn.XLOOKUP(C3,refs!$A$2:$A$19,refs!$B$2:$B$19))</f>
        <v>13</v>
      </c>
      <c r="AB22" s="61" t="str">
        <f t="shared" si="4"/>
        <v>.14.col=13,mute=0,</v>
      </c>
      <c r="AC22" s="62" t="str">
        <f t="shared" si="5"/>
        <v>.14.tags=#D14,</v>
      </c>
      <c r="AD22" s="62" t="str">
        <f t="shared" si="7"/>
        <v>.14.name=NADJA.adrina,</v>
      </c>
      <c r="AE22" s="62" t="str">
        <f t="shared" si="6"/>
        <v>..14.postins.on=1,mode=AUTO_Y,</v>
      </c>
      <c r="AF22" s="63" t="str">
        <f>"."&amp;S$2&amp;".col="&amp;_xlfn.XLOOKUP(S$4,refs!$A$2:$A$19,refs!$B$2:$B$19)&amp;",name="&amp;LEFT(S$6,16)&amp;","</f>
        <v>.14.col=13,name=INST+.VRB,</v>
      </c>
    </row>
    <row r="23" spans="1:32" ht="13.5" customHeight="1" x14ac:dyDescent="0.25">
      <c r="A23" s="97">
        <v>15</v>
      </c>
      <c r="B23" s="5" t="s">
        <v>26</v>
      </c>
      <c r="C23" s="25" t="s">
        <v>21</v>
      </c>
      <c r="D23" s="90" t="s">
        <v>60</v>
      </c>
      <c r="E23" s="21">
        <f t="shared" si="1"/>
        <v>1</v>
      </c>
      <c r="F23" s="6"/>
      <c r="G23" s="6"/>
      <c r="H23" s="6"/>
      <c r="I23" s="83"/>
      <c r="J23" s="6"/>
      <c r="K23" s="6"/>
      <c r="L23" s="6"/>
      <c r="M23" s="83"/>
      <c r="N23" s="6"/>
      <c r="O23" s="6"/>
      <c r="P23" s="6"/>
      <c r="Q23" s="83"/>
      <c r="R23" s="6"/>
      <c r="S23" s="6"/>
      <c r="T23" s="6" t="s">
        <v>21</v>
      </c>
      <c r="U23" s="6"/>
      <c r="V23" s="52" t="str">
        <f t="shared" si="2"/>
        <v/>
      </c>
      <c r="W23" s="34">
        <f t="shared" si="3"/>
        <v>15</v>
      </c>
      <c r="X23" s="9" t="str" cm="1">
        <f t="array" ref="X23">INDEX(F4:V4,W23)</f>
        <v>LightB</v>
      </c>
      <c r="Y23" s="9">
        <f>_xlfn.XLOOKUP(X23,refs!$A$2:$A$19,refs!$B$2:$B$19)</f>
        <v>14</v>
      </c>
      <c r="Z23" s="77" t="str" cm="1">
        <f t="array" ref="Z23">INDEX($F$3:$V$3,W23)</f>
        <v>#D15</v>
      </c>
      <c r="AA23" s="74">
        <f>IF(C23="x",Y23,_xlfn.XLOOKUP(C3,refs!$A$2:$A$19,refs!$B$2:$B$19))</f>
        <v>14</v>
      </c>
      <c r="AB23" s="61" t="str">
        <f t="shared" si="4"/>
        <v>.15.col=14,mute=0,</v>
      </c>
      <c r="AC23" s="62" t="str">
        <f t="shared" si="5"/>
        <v>.15.tags=#D15,</v>
      </c>
      <c r="AD23" s="62" t="str">
        <f t="shared" si="7"/>
        <v>.15.name=RACHELP.arista,</v>
      </c>
      <c r="AE23" s="62" t="str">
        <f t="shared" si="6"/>
        <v>..15.postins.on=1,mode=AUTO_Y,</v>
      </c>
      <c r="AF23" s="63" t="str">
        <f>"."&amp;T$2&amp;".col="&amp;_xlfn.XLOOKUP(T$4,refs!$A$2:$A$19,refs!$B$2:$B$19)&amp;",name="&amp;LEFT(T$6,16)&amp;","</f>
        <v>.15.col=14,name=INST_.VRB,</v>
      </c>
    </row>
    <row r="24" spans="1:32" ht="13.5" customHeight="1" x14ac:dyDescent="0.25">
      <c r="A24" s="97">
        <v>16</v>
      </c>
      <c r="B24" s="5" t="s">
        <v>26</v>
      </c>
      <c r="C24" s="25" t="s">
        <v>21</v>
      </c>
      <c r="D24" s="90" t="s">
        <v>59</v>
      </c>
      <c r="E24" s="21">
        <f t="shared" si="1"/>
        <v>1</v>
      </c>
      <c r="F24" s="6"/>
      <c r="G24" s="6"/>
      <c r="H24" s="6"/>
      <c r="I24" s="83"/>
      <c r="J24" s="6"/>
      <c r="K24" s="6"/>
      <c r="L24" s="6"/>
      <c r="M24" s="83"/>
      <c r="N24" s="6"/>
      <c r="O24" s="6"/>
      <c r="P24" s="6"/>
      <c r="Q24" s="83"/>
      <c r="R24" s="6"/>
      <c r="S24" s="6"/>
      <c r="T24" s="6"/>
      <c r="U24" s="6" t="s">
        <v>21</v>
      </c>
      <c r="V24" s="52" t="str">
        <f t="shared" si="2"/>
        <v/>
      </c>
      <c r="W24" s="34">
        <f t="shared" si="3"/>
        <v>16</v>
      </c>
      <c r="X24" s="9" t="str" cm="1">
        <f t="array" ref="X24">INDEX(F4:V4,W24)</f>
        <v>Tangerine</v>
      </c>
      <c r="Y24" s="9">
        <f>_xlfn.XLOOKUP(X24,refs!$A$2:$A$19,refs!$B$2:$B$19)</f>
        <v>15</v>
      </c>
      <c r="Z24" s="77" t="str" cm="1">
        <f t="array" ref="Z24">INDEX($F$3:$V$3,W24)</f>
        <v>#D16</v>
      </c>
      <c r="AA24" s="74">
        <f>IF(C24="x",Y24,_xlfn.XLOOKUP(C3,refs!$A$2:$A$19,refs!$B$2:$B$19))</f>
        <v>15</v>
      </c>
      <c r="AB24" s="61" t="str">
        <f t="shared" si="4"/>
        <v>.16.col=15,mute=0,</v>
      </c>
      <c r="AC24" s="62" t="str">
        <f t="shared" si="5"/>
        <v>.16.tags=#D16,</v>
      </c>
      <c r="AD24" s="62" t="str">
        <f t="shared" si="7"/>
        <v>.16.name=MAURA.atina,</v>
      </c>
      <c r="AE24" s="62" t="str">
        <f t="shared" si="6"/>
        <v>..16.postins.on=1,mode=AUTO_Y,</v>
      </c>
      <c r="AF24" s="63" t="str">
        <f>"."&amp;U$2&amp;".col="&amp;_xlfn.XLOOKUP(U$4,refs!$A$2:$A$19,refs!$B$2:$B$19)&amp;",name="&amp;LEFT(U$6,16)&amp;","</f>
        <v>.16.col=15,name=MAINS,</v>
      </c>
    </row>
    <row r="25" spans="1:32" ht="13.5" customHeight="1" x14ac:dyDescent="0.25">
      <c r="A25" s="97">
        <v>17</v>
      </c>
      <c r="B25" s="5"/>
      <c r="C25" s="25" t="s">
        <v>21</v>
      </c>
      <c r="D25" s="90" t="s">
        <v>61</v>
      </c>
      <c r="E25" s="21">
        <f t="shared" si="1"/>
        <v>0</v>
      </c>
      <c r="F25" s="6"/>
      <c r="G25" s="6"/>
      <c r="H25" s="6"/>
      <c r="I25" s="83"/>
      <c r="J25" s="6"/>
      <c r="K25" s="6"/>
      <c r="L25" s="6"/>
      <c r="M25" s="83"/>
      <c r="N25" s="6"/>
      <c r="O25" s="6"/>
      <c r="P25" s="6"/>
      <c r="Q25" s="83"/>
      <c r="R25" s="6"/>
      <c r="S25" s="6"/>
      <c r="T25" s="6"/>
      <c r="U25" s="6"/>
      <c r="V25" s="52" t="str">
        <f t="shared" si="2"/>
        <v>x</v>
      </c>
      <c r="W25" s="34">
        <f t="shared" si="3"/>
        <v>17</v>
      </c>
      <c r="X25" s="9" t="str" cm="1">
        <f t="array" ref="X25">INDEX(F4:V4,W25)</f>
        <v>White</v>
      </c>
      <c r="Y25" s="9">
        <f>_xlfn.XLOOKUP(X25,refs!$A$2:$A$19,refs!$B$2:$B$19)</f>
        <v>18</v>
      </c>
      <c r="Z25" s="77" t="str" cm="1">
        <f t="array" ref="Z25">INDEX($F$3:$V$3,W25)</f>
        <v/>
      </c>
      <c r="AA25" s="74">
        <f>IF(C25="x",Y25,_xlfn.XLOOKUP(C3,refs!$A$2:$A$19,refs!$B$2:$B$19))</f>
        <v>18</v>
      </c>
      <c r="AB25" s="61" t="str">
        <f t="shared" si="4"/>
        <v>.17.col=18,mute=0,</v>
      </c>
      <c r="AC25" s="62" t="str">
        <f t="shared" si="5"/>
        <v>.17.tags=,</v>
      </c>
      <c r="AD25" s="62" t="str">
        <f t="shared" si="7"/>
        <v>.17.name=JACKLYN.adella,</v>
      </c>
      <c r="AE25" s="62" t="str">
        <f t="shared" si="6"/>
        <v>..17.postins.on=0,mode=FX,</v>
      </c>
      <c r="AF25" s="63" t="str">
        <f>"/cfg.amix.x="&amp;IF(C4="x",1,0)&amp;",/cfg.amix.y="&amp;IF(C6="x",1,0)&amp;","</f>
        <v>/cfg.amix.x=1,/cfg.amix.y=1,</v>
      </c>
    </row>
    <row r="26" spans="1:32" ht="13.5" customHeight="1" x14ac:dyDescent="0.25">
      <c r="A26" s="97">
        <v>18</v>
      </c>
      <c r="B26" s="5"/>
      <c r="C26" s="25" t="s">
        <v>21</v>
      </c>
      <c r="D26" s="90" t="s">
        <v>62</v>
      </c>
      <c r="E26" s="21">
        <f t="shared" si="1"/>
        <v>0</v>
      </c>
      <c r="F26" s="6"/>
      <c r="G26" s="6"/>
      <c r="H26" s="6"/>
      <c r="I26" s="83"/>
      <c r="J26" s="6"/>
      <c r="K26" s="6"/>
      <c r="L26" s="6"/>
      <c r="M26" s="83"/>
      <c r="N26" s="6"/>
      <c r="O26" s="6"/>
      <c r="P26" s="6"/>
      <c r="Q26" s="83"/>
      <c r="R26" s="6"/>
      <c r="S26" s="6"/>
      <c r="T26" s="6"/>
      <c r="U26" s="6"/>
      <c r="V26" s="52" t="str">
        <f t="shared" si="2"/>
        <v>x</v>
      </c>
      <c r="W26" s="34">
        <f t="shared" si="3"/>
        <v>17</v>
      </c>
      <c r="X26" s="9" t="str" cm="1">
        <f t="array" ref="X26">INDEX(F4:V4,W26)</f>
        <v>White</v>
      </c>
      <c r="Y26" s="9">
        <f>_xlfn.XLOOKUP(X26,refs!$A$2:$A$19,refs!$B$2:$B$19)</f>
        <v>18</v>
      </c>
      <c r="Z26" s="77" t="str" cm="1">
        <f t="array" ref="Z26">INDEX($F$3:$V$3,W26)</f>
        <v/>
      </c>
      <c r="AA26" s="74">
        <f>IF(C26="x",Y26,_xlfn.XLOOKUP(C3,refs!$A$2:$A$19,refs!$B$2:$B$19))</f>
        <v>18</v>
      </c>
      <c r="AB26" s="61" t="str">
        <f t="shared" si="4"/>
        <v>.18.col=18,mute=0,</v>
      </c>
      <c r="AC26" s="62" t="str">
        <f t="shared" si="5"/>
        <v>.18.tags=,</v>
      </c>
      <c r="AD26" s="62" t="str">
        <f t="shared" si="7"/>
        <v>.18.name=SARAH.allana,</v>
      </c>
      <c r="AE26" s="62" t="str">
        <f t="shared" si="6"/>
        <v>..18.postins.on=0,mode=FX,</v>
      </c>
      <c r="AF26" s="63"/>
    </row>
    <row r="27" spans="1:32" ht="13.5" customHeight="1" x14ac:dyDescent="0.25">
      <c r="A27" s="97">
        <v>19</v>
      </c>
      <c r="B27" s="5"/>
      <c r="C27" s="25" t="s">
        <v>21</v>
      </c>
      <c r="D27" s="91" t="s">
        <v>63</v>
      </c>
      <c r="E27" s="21">
        <f t="shared" si="1"/>
        <v>0</v>
      </c>
      <c r="F27" s="6"/>
      <c r="G27" s="6"/>
      <c r="H27" s="6"/>
      <c r="I27" s="83"/>
      <c r="J27" s="6"/>
      <c r="K27" s="6"/>
      <c r="L27" s="6"/>
      <c r="M27" s="83"/>
      <c r="N27" s="6"/>
      <c r="O27" s="6"/>
      <c r="P27" s="6"/>
      <c r="Q27" s="83"/>
      <c r="R27" s="6"/>
      <c r="S27" s="6"/>
      <c r="T27" s="6"/>
      <c r="U27" s="6"/>
      <c r="V27" s="52" t="str">
        <f t="shared" si="2"/>
        <v>x</v>
      </c>
      <c r="W27" s="34">
        <f t="shared" si="3"/>
        <v>17</v>
      </c>
      <c r="X27" s="9" t="str" cm="1">
        <f t="array" ref="X27">INDEX(F4:V4,W27)</f>
        <v>White</v>
      </c>
      <c r="Y27" s="9">
        <f>_xlfn.XLOOKUP(X27,refs!$A$2:$A$19,refs!$B$2:$B$19)</f>
        <v>18</v>
      </c>
      <c r="Z27" s="77" t="str" cm="1">
        <f t="array" ref="Z27">INDEX($F$3:$V$3,W27)</f>
        <v/>
      </c>
      <c r="AA27" s="74">
        <f>IF(C27="x",Y27,_xlfn.XLOOKUP(C3,refs!$A$2:$A$19,refs!$B$2:$B$19))</f>
        <v>18</v>
      </c>
      <c r="AB27" s="61" t="str">
        <f t="shared" si="4"/>
        <v>.19.col=18,mute=0,</v>
      </c>
      <c r="AC27" s="62" t="str">
        <f t="shared" si="5"/>
        <v>.19.tags=,</v>
      </c>
      <c r="AD27" s="62" t="str">
        <f t="shared" si="7"/>
        <v>.19.name=REBECCA.maid,</v>
      </c>
      <c r="AE27" s="62" t="str">
        <f t="shared" si="6"/>
        <v>..19.postins.on=0,mode=FX,</v>
      </c>
      <c r="AF27" s="63"/>
    </row>
    <row r="28" spans="1:32" ht="13.5" customHeight="1" x14ac:dyDescent="0.25">
      <c r="A28" s="97">
        <v>20</v>
      </c>
      <c r="B28" s="5"/>
      <c r="C28" s="25" t="s">
        <v>21</v>
      </c>
      <c r="D28" s="91" t="s">
        <v>64</v>
      </c>
      <c r="E28" s="21">
        <f t="shared" si="1"/>
        <v>0</v>
      </c>
      <c r="F28" s="6"/>
      <c r="G28" s="6"/>
      <c r="H28" s="6"/>
      <c r="I28" s="83"/>
      <c r="J28" s="6"/>
      <c r="K28" s="6"/>
      <c r="L28" s="6"/>
      <c r="M28" s="83"/>
      <c r="N28" s="6"/>
      <c r="O28" s="6"/>
      <c r="P28" s="6"/>
      <c r="Q28" s="83"/>
      <c r="R28" s="6"/>
      <c r="S28" s="6"/>
      <c r="T28" s="6"/>
      <c r="U28" s="6"/>
      <c r="V28" s="52" t="str">
        <f t="shared" si="2"/>
        <v>x</v>
      </c>
      <c r="W28" s="34">
        <f t="shared" si="3"/>
        <v>17</v>
      </c>
      <c r="X28" s="9" t="str" cm="1">
        <f t="array" ref="X28">INDEX(F4:V4,W28)</f>
        <v>White</v>
      </c>
      <c r="Y28" s="9">
        <f>_xlfn.XLOOKUP(X28,refs!$A$2:$A$19,refs!$B$2:$B$19)</f>
        <v>18</v>
      </c>
      <c r="Z28" s="77" t="str" cm="1">
        <f t="array" ref="Z28">INDEX($F$3:$V$3,W28)</f>
        <v/>
      </c>
      <c r="AA28" s="74">
        <f>IF(C28="x",Y28,_xlfn.XLOOKUP(C3,refs!$A$2:$A$19,refs!$B$2:$B$19))</f>
        <v>18</v>
      </c>
      <c r="AB28" s="61" t="str">
        <f t="shared" si="4"/>
        <v>.20.col=18,mute=0,</v>
      </c>
      <c r="AC28" s="62" t="str">
        <f t="shared" si="5"/>
        <v>.20.tags=,</v>
      </c>
      <c r="AD28" s="62" t="str">
        <f t="shared" si="7"/>
        <v>.20.name=ANNIE.maid,</v>
      </c>
      <c r="AE28" s="62" t="str">
        <f t="shared" si="6"/>
        <v>..20.postins.on=0,mode=FX,</v>
      </c>
      <c r="AF28" s="63"/>
    </row>
    <row r="29" spans="1:32" ht="13.5" customHeight="1" x14ac:dyDescent="0.25">
      <c r="A29" s="97">
        <v>21</v>
      </c>
      <c r="B29" s="5"/>
      <c r="C29" s="25" t="s">
        <v>21</v>
      </c>
      <c r="D29" s="91" t="s">
        <v>65</v>
      </c>
      <c r="E29" s="21">
        <f t="shared" si="1"/>
        <v>0</v>
      </c>
      <c r="F29" s="6"/>
      <c r="G29" s="6"/>
      <c r="H29" s="6"/>
      <c r="I29" s="83"/>
      <c r="J29" s="6"/>
      <c r="K29" s="6"/>
      <c r="L29" s="6"/>
      <c r="M29" s="83"/>
      <c r="N29" s="6"/>
      <c r="O29" s="6"/>
      <c r="P29" s="6"/>
      <c r="Q29" s="83"/>
      <c r="R29" s="6"/>
      <c r="S29" s="6"/>
      <c r="T29" s="6"/>
      <c r="U29" s="6"/>
      <c r="V29" s="52" t="str">
        <f t="shared" si="2"/>
        <v>x</v>
      </c>
      <c r="W29" s="34">
        <f t="shared" si="3"/>
        <v>17</v>
      </c>
      <c r="X29" s="9" t="str" cm="1">
        <f t="array" ref="X29">INDEX(F4:V4,W29)</f>
        <v>White</v>
      </c>
      <c r="Y29" s="9">
        <f>_xlfn.XLOOKUP(X29,refs!$A$2:$A$19,refs!$B$2:$B$19)</f>
        <v>18</v>
      </c>
      <c r="Z29" s="77" t="str" cm="1">
        <f t="array" ref="Z29">INDEX($F$3:$V$3,W29)</f>
        <v/>
      </c>
      <c r="AA29" s="74">
        <f>IF(C29="x",Y29,_xlfn.XLOOKUP(C3,refs!$A$2:$A$19,refs!$B$2:$B$19))</f>
        <v>18</v>
      </c>
      <c r="AB29" s="61" t="str">
        <f t="shared" si="4"/>
        <v>.21.col=18,mute=0,</v>
      </c>
      <c r="AC29" s="62" t="str">
        <f t="shared" si="5"/>
        <v>.21.tags=,</v>
      </c>
      <c r="AD29" s="62" t="str">
        <f>"/ch."&amp;A29&amp;".name="&amp;LEFT(D29,16)&amp;","</f>
        <v>/ch.21.name=KARA.maid,</v>
      </c>
      <c r="AE29" s="62" t="str">
        <f>"/ch."&amp;A29&amp;".postins.on="&amp;IF(B29="x",1,IF(B29="y",1,0))&amp;",mode="&amp;IF(B29="x","AUTO_X",IF(B29="y","AUTO_Y","FX"))&amp;","</f>
        <v>/ch.21.postins.on=0,mode=FX,</v>
      </c>
      <c r="AF29" s="63"/>
    </row>
    <row r="30" spans="1:32" ht="13.5" customHeight="1" x14ac:dyDescent="0.25">
      <c r="A30" s="97">
        <v>22</v>
      </c>
      <c r="B30" s="5"/>
      <c r="C30" s="25" t="s">
        <v>21</v>
      </c>
      <c r="D30" s="92" t="s">
        <v>66</v>
      </c>
      <c r="E30" s="21">
        <f t="shared" si="1"/>
        <v>0</v>
      </c>
      <c r="F30" s="6"/>
      <c r="G30" s="6"/>
      <c r="H30" s="6"/>
      <c r="I30" s="83"/>
      <c r="J30" s="6"/>
      <c r="K30" s="6"/>
      <c r="L30" s="6"/>
      <c r="M30" s="83"/>
      <c r="N30" s="6"/>
      <c r="O30" s="6"/>
      <c r="P30" s="6"/>
      <c r="Q30" s="83"/>
      <c r="R30" s="6"/>
      <c r="S30" s="6"/>
      <c r="T30" s="6"/>
      <c r="U30" s="6"/>
      <c r="V30" s="52" t="str">
        <f t="shared" si="2"/>
        <v>x</v>
      </c>
      <c r="W30" s="34">
        <f t="shared" si="3"/>
        <v>17</v>
      </c>
      <c r="X30" s="9" t="str" cm="1">
        <f t="array" ref="X30">INDEX(F4:V4,W30)</f>
        <v>White</v>
      </c>
      <c r="Y30" s="9">
        <f>_xlfn.XLOOKUP(X30,refs!$A$2:$A$19,refs!$B$2:$B$19)</f>
        <v>18</v>
      </c>
      <c r="Z30" s="77" t="str" cm="1">
        <f t="array" ref="Z30">INDEX($F$3:$V$3,W30)</f>
        <v/>
      </c>
      <c r="AA30" s="74">
        <f>IF(C30="x",Y30,_xlfn.XLOOKUP(C3,refs!$A$2:$A$19,refs!$B$2:$B$19))</f>
        <v>18</v>
      </c>
      <c r="AB30" s="61" t="str">
        <f t="shared" si="4"/>
        <v>.22.col=18,mute=0,</v>
      </c>
      <c r="AC30" s="62" t="str">
        <f t="shared" si="5"/>
        <v>.22.tags=,</v>
      </c>
      <c r="AD30" s="62" t="str">
        <f t="shared" ref="AD30:AD48" si="8">"."&amp;A30&amp;".name="&amp;LEFT(D30,16)&amp;","</f>
        <v>.22.name=GENEVIEVE.leewar,</v>
      </c>
      <c r="AE30" s="62" t="str">
        <f t="shared" ref="AE30:AE48" si="9">".."&amp;A30&amp;".postins.on="&amp;IF(B30="x",1,IF(B30="y",1,0))&amp;",mode="&amp;IF(B30="x","AUTO_X",IF(B30="y","AUTO_Y","FX"))&amp;","</f>
        <v>..22.postins.on=0,mode=FX,</v>
      </c>
      <c r="AF30" s="63"/>
    </row>
    <row r="31" spans="1:32" ht="13.5" customHeight="1" x14ac:dyDescent="0.25">
      <c r="A31" s="97">
        <v>23</v>
      </c>
      <c r="B31" s="5"/>
      <c r="C31" s="25" t="s">
        <v>21</v>
      </c>
      <c r="D31" s="92" t="s">
        <v>67</v>
      </c>
      <c r="E31" s="21">
        <f t="shared" si="1"/>
        <v>0</v>
      </c>
      <c r="F31" s="6"/>
      <c r="G31" s="6"/>
      <c r="H31" s="6"/>
      <c r="I31" s="83"/>
      <c r="J31" s="6"/>
      <c r="K31" s="6"/>
      <c r="L31" s="6"/>
      <c r="M31" s="83"/>
      <c r="N31" s="6"/>
      <c r="O31" s="6"/>
      <c r="P31" s="6"/>
      <c r="Q31" s="83"/>
      <c r="R31" s="6"/>
      <c r="S31" s="6"/>
      <c r="T31" s="6"/>
      <c r="U31" s="6"/>
      <c r="V31" s="52" t="str">
        <f t="shared" si="2"/>
        <v>x</v>
      </c>
      <c r="W31" s="34">
        <f t="shared" si="3"/>
        <v>17</v>
      </c>
      <c r="X31" s="9" t="str" cm="1">
        <f t="array" ref="X31">INDEX(F4:V4,W31)</f>
        <v>White</v>
      </c>
      <c r="Y31" s="9">
        <f>_xlfn.XLOOKUP(X31,refs!$A$2:$A$19,refs!$B$2:$B$19)</f>
        <v>18</v>
      </c>
      <c r="Z31" s="77" t="str" cm="1">
        <f t="array" ref="Z31">INDEX($F$3:$V$3,W31)</f>
        <v/>
      </c>
      <c r="AA31" s="74">
        <f>IF(C31="x",Y31,_xlfn.XLOOKUP(C3,refs!$A$2:$A$19,refs!$B$2:$B$19))</f>
        <v>18</v>
      </c>
      <c r="AB31" s="61" t="str">
        <f t="shared" si="4"/>
        <v>.23.col=18,mute=0,</v>
      </c>
      <c r="AC31" s="62" t="str">
        <f t="shared" si="5"/>
        <v>.23.tags=,</v>
      </c>
      <c r="AD31" s="62" t="str">
        <f t="shared" si="8"/>
        <v>.23.name=JOCELYN.windward,</v>
      </c>
      <c r="AE31" s="62" t="str">
        <f t="shared" si="9"/>
        <v>..23.postins.on=0,mode=FX,</v>
      </c>
      <c r="AF31" s="63"/>
    </row>
    <row r="32" spans="1:32" ht="13.5" customHeight="1" x14ac:dyDescent="0.25">
      <c r="A32" s="97">
        <v>24</v>
      </c>
      <c r="B32" s="5"/>
      <c r="C32" s="25"/>
      <c r="D32" s="93" t="s">
        <v>68</v>
      </c>
      <c r="E32" s="21">
        <f t="shared" si="1"/>
        <v>0</v>
      </c>
      <c r="F32" s="6"/>
      <c r="G32" s="6"/>
      <c r="H32" s="6"/>
      <c r="I32" s="83"/>
      <c r="J32" s="6"/>
      <c r="K32" s="6"/>
      <c r="L32" s="6"/>
      <c r="M32" s="83"/>
      <c r="N32" s="6"/>
      <c r="O32" s="6"/>
      <c r="P32" s="6"/>
      <c r="Q32" s="83"/>
      <c r="R32" s="6"/>
      <c r="S32" s="6"/>
      <c r="T32" s="6"/>
      <c r="U32" s="6"/>
      <c r="V32" s="52" t="str">
        <f t="shared" si="2"/>
        <v>x</v>
      </c>
      <c r="W32" s="34">
        <f t="shared" si="3"/>
        <v>17</v>
      </c>
      <c r="X32" s="9" t="str" cm="1">
        <f t="array" ref="X32">INDEX(F4:V4,W32)</f>
        <v>White</v>
      </c>
      <c r="Y32" s="9">
        <f>_xlfn.XLOOKUP(X32,refs!$A$2:$A$19,refs!$B$2:$B$19)</f>
        <v>18</v>
      </c>
      <c r="Z32" s="77" t="str" cm="1">
        <f t="array" ref="Z32">INDEX($F$3:$V$3,W32)</f>
        <v/>
      </c>
      <c r="AA32" s="74">
        <f>IF(C32="x",Y32,_xlfn.XLOOKUP(C3,refs!$A$2:$A$19,refs!$B$2:$B$19))</f>
        <v>17</v>
      </c>
      <c r="AB32" s="61" t="str">
        <f t="shared" si="4"/>
        <v>.24.col=17,mute=1,</v>
      </c>
      <c r="AC32" s="62" t="str">
        <f t="shared" si="5"/>
        <v>.24.tags=,</v>
      </c>
      <c r="AD32" s="62" t="str">
        <f t="shared" si="8"/>
        <v>.24.name=.,</v>
      </c>
      <c r="AE32" s="62" t="str">
        <f t="shared" si="9"/>
        <v>..24.postins.on=0,mode=FX,</v>
      </c>
      <c r="AF32" s="63"/>
    </row>
    <row r="33" spans="1:32" ht="13.5" customHeight="1" x14ac:dyDescent="0.25">
      <c r="A33" s="97">
        <v>25</v>
      </c>
      <c r="B33" s="5"/>
      <c r="C33" s="25" t="s">
        <v>21</v>
      </c>
      <c r="D33" s="89" t="s">
        <v>69</v>
      </c>
      <c r="E33" s="21">
        <f t="shared" si="1"/>
        <v>0</v>
      </c>
      <c r="F33" s="6"/>
      <c r="G33" s="6"/>
      <c r="H33" s="6"/>
      <c r="I33" s="83"/>
      <c r="J33" s="6"/>
      <c r="K33" s="6"/>
      <c r="L33" s="6"/>
      <c r="M33" s="83"/>
      <c r="N33" s="6"/>
      <c r="O33" s="6"/>
      <c r="P33" s="6"/>
      <c r="Q33" s="83"/>
      <c r="R33" s="6"/>
      <c r="S33" s="6"/>
      <c r="T33" s="6"/>
      <c r="U33" s="6"/>
      <c r="V33" s="52" t="str">
        <f t="shared" si="2"/>
        <v>x</v>
      </c>
      <c r="W33" s="34">
        <f t="shared" si="3"/>
        <v>17</v>
      </c>
      <c r="X33" s="9" t="str" cm="1">
        <f t="array" ref="X33">INDEX(F4:V4,W33)</f>
        <v>White</v>
      </c>
      <c r="Y33" s="9">
        <f>_xlfn.XLOOKUP(X33,refs!$A$2:$A$19,refs!$B$2:$B$19)</f>
        <v>18</v>
      </c>
      <c r="Z33" s="77" t="str" cm="1">
        <f t="array" ref="Z33">INDEX($F$3:$V$3,W33)</f>
        <v/>
      </c>
      <c r="AA33" s="74">
        <f>IF(C33="x",Y33,_xlfn.XLOOKUP(C3,refs!$A$2:$A$19,refs!$B$2:$B$19))</f>
        <v>18</v>
      </c>
      <c r="AB33" s="61" t="str">
        <f t="shared" si="4"/>
        <v>.25.col=18,mute=0,</v>
      </c>
      <c r="AC33" s="62" t="str">
        <f t="shared" si="5"/>
        <v>.25.tags=,</v>
      </c>
      <c r="AD33" s="62" t="str">
        <f t="shared" si="8"/>
        <v>.25.name=ROBERT.sail,</v>
      </c>
      <c r="AE33" s="62" t="str">
        <f t="shared" si="9"/>
        <v>..25.postins.on=0,mode=FX,</v>
      </c>
      <c r="AF33" s="63"/>
    </row>
    <row r="34" spans="1:32" ht="13.5" customHeight="1" x14ac:dyDescent="0.25">
      <c r="A34" s="97">
        <v>26</v>
      </c>
      <c r="B34" s="5"/>
      <c r="C34" s="25" t="s">
        <v>21</v>
      </c>
      <c r="D34" s="89" t="s">
        <v>70</v>
      </c>
      <c r="E34" s="21">
        <f t="shared" si="1"/>
        <v>0</v>
      </c>
      <c r="F34" s="6"/>
      <c r="G34" s="6"/>
      <c r="H34" s="6"/>
      <c r="I34" s="83"/>
      <c r="J34" s="6"/>
      <c r="K34" s="6"/>
      <c r="L34" s="6"/>
      <c r="M34" s="83"/>
      <c r="N34" s="6"/>
      <c r="O34" s="6"/>
      <c r="P34" s="6"/>
      <c r="Q34" s="83"/>
      <c r="R34" s="6"/>
      <c r="S34" s="6"/>
      <c r="T34" s="6"/>
      <c r="U34" s="6"/>
      <c r="V34" s="52" t="str">
        <f t="shared" si="2"/>
        <v>x</v>
      </c>
      <c r="W34" s="34">
        <f t="shared" si="3"/>
        <v>17</v>
      </c>
      <c r="X34" s="9" t="str" cm="1">
        <f t="array" ref="X34">INDEX(F4:V4,W34)</f>
        <v>White</v>
      </c>
      <c r="Y34" s="9">
        <f>_xlfn.XLOOKUP(X34,refs!$A$2:$A$19,refs!$B$2:$B$19)</f>
        <v>18</v>
      </c>
      <c r="Z34" s="77" t="str" cm="1">
        <f t="array" ref="Z34">INDEX($F$3:$V$3,W34)</f>
        <v/>
      </c>
      <c r="AA34" s="74">
        <f>IF(C34="x",Y34,_xlfn.XLOOKUP(C3,refs!$A$2:$A$19,refs!$B$2:$B$19))</f>
        <v>18</v>
      </c>
      <c r="AB34" s="61" t="str">
        <f t="shared" si="4"/>
        <v>.26.col=18,mute=0,</v>
      </c>
      <c r="AC34" s="62" t="str">
        <f t="shared" si="5"/>
        <v>.26.tags=,</v>
      </c>
      <c r="AD34" s="62" t="str">
        <f t="shared" si="8"/>
        <v>.26.name=TOM.sail,</v>
      </c>
      <c r="AE34" s="62" t="str">
        <f t="shared" si="9"/>
        <v>..26.postins.on=0,mode=FX,</v>
      </c>
      <c r="AF34" s="63"/>
    </row>
    <row r="35" spans="1:32" ht="13.5" customHeight="1" x14ac:dyDescent="0.25">
      <c r="A35" s="97">
        <v>27</v>
      </c>
      <c r="B35" s="5"/>
      <c r="C35" s="25" t="s">
        <v>21</v>
      </c>
      <c r="D35" s="89" t="s">
        <v>71</v>
      </c>
      <c r="E35" s="21">
        <f t="shared" si="1"/>
        <v>0</v>
      </c>
      <c r="F35" s="6"/>
      <c r="G35" s="6"/>
      <c r="H35" s="6"/>
      <c r="I35" s="83"/>
      <c r="J35" s="6"/>
      <c r="K35" s="6"/>
      <c r="L35" s="6"/>
      <c r="M35" s="83"/>
      <c r="N35" s="6"/>
      <c r="O35" s="6"/>
      <c r="P35" s="6"/>
      <c r="Q35" s="83"/>
      <c r="R35" s="6"/>
      <c r="S35" s="6"/>
      <c r="T35" s="6"/>
      <c r="U35" s="6"/>
      <c r="V35" s="52" t="str">
        <f t="shared" si="2"/>
        <v>x</v>
      </c>
      <c r="W35" s="34">
        <f t="shared" si="3"/>
        <v>17</v>
      </c>
      <c r="X35" s="9" t="str" cm="1">
        <f t="array" ref="X35">INDEX(F4:V4,W35)</f>
        <v>White</v>
      </c>
      <c r="Y35" s="9">
        <f>_xlfn.XLOOKUP(X35,refs!$A$2:$A$19,refs!$B$2:$B$19)</f>
        <v>18</v>
      </c>
      <c r="Z35" s="77" t="str" cm="1">
        <f t="array" ref="Z35">INDEX($F$3:$V$3,W35)</f>
        <v/>
      </c>
      <c r="AA35" s="74">
        <f>IF(C35="x",Y35,_xlfn.XLOOKUP(C3,refs!$A$2:$A$19,refs!$B$2:$B$19))</f>
        <v>18</v>
      </c>
      <c r="AB35" s="61" t="str">
        <f t="shared" si="4"/>
        <v>.27.col=18,mute=0,</v>
      </c>
      <c r="AC35" s="62" t="str">
        <f t="shared" si="5"/>
        <v>.27.tags=,</v>
      </c>
      <c r="AD35" s="62" t="str">
        <f t="shared" si="8"/>
        <v>.27.name=BILL.sail,</v>
      </c>
      <c r="AE35" s="62" t="str">
        <f t="shared" si="9"/>
        <v>..27.postins.on=0,mode=FX,</v>
      </c>
      <c r="AF35" s="63"/>
    </row>
    <row r="36" spans="1:32" ht="13.5" customHeight="1" x14ac:dyDescent="0.25">
      <c r="A36" s="97">
        <v>28</v>
      </c>
      <c r="B36" s="5"/>
      <c r="C36" s="25" t="s">
        <v>21</v>
      </c>
      <c r="D36" s="89" t="s">
        <v>72</v>
      </c>
      <c r="E36" s="21">
        <f t="shared" si="1"/>
        <v>0</v>
      </c>
      <c r="F36" s="6"/>
      <c r="G36" s="6"/>
      <c r="H36" s="6"/>
      <c r="I36" s="83"/>
      <c r="J36" s="6"/>
      <c r="K36" s="6"/>
      <c r="L36" s="6"/>
      <c r="M36" s="83"/>
      <c r="N36" s="6"/>
      <c r="O36" s="6"/>
      <c r="P36" s="6"/>
      <c r="Q36" s="83"/>
      <c r="R36" s="6"/>
      <c r="S36" s="6"/>
      <c r="T36" s="6"/>
      <c r="U36" s="6"/>
      <c r="V36" s="52" t="str">
        <f t="shared" si="2"/>
        <v>x</v>
      </c>
      <c r="W36" s="34">
        <f t="shared" si="3"/>
        <v>17</v>
      </c>
      <c r="X36" s="9" t="str" cm="1">
        <f t="array" ref="X36">INDEX(F4:V4,W36)</f>
        <v>White</v>
      </c>
      <c r="Y36" s="9">
        <f>_xlfn.XLOOKUP(X36,refs!$A$2:$A$19,refs!$B$2:$B$19)</f>
        <v>18</v>
      </c>
      <c r="Z36" s="77" t="str" cm="1">
        <f t="array" ref="Z36">INDEX($F$3:$V$3,W36)</f>
        <v/>
      </c>
      <c r="AA36" s="74">
        <f>IF(C36="x",Y36,_xlfn.XLOOKUP(C3,refs!$A$2:$A$19,refs!$B$2:$B$19))</f>
        <v>18</v>
      </c>
      <c r="AB36" s="61" t="str">
        <f t="shared" si="4"/>
        <v>.28.col=18,mute=0,</v>
      </c>
      <c r="AC36" s="62" t="str">
        <f t="shared" si="5"/>
        <v>.28.tags=,</v>
      </c>
      <c r="AD36" s="62" t="str">
        <f t="shared" si="8"/>
        <v>.28.name=DENNIS.sail,</v>
      </c>
      <c r="AE36" s="62" t="str">
        <f t="shared" si="9"/>
        <v>..28.postins.on=0,mode=FX,</v>
      </c>
      <c r="AF36" s="63"/>
    </row>
    <row r="37" spans="1:32" ht="13.5" customHeight="1" x14ac:dyDescent="0.25">
      <c r="A37" s="97">
        <v>29</v>
      </c>
      <c r="B37" s="5"/>
      <c r="C37" s="25" t="s">
        <v>21</v>
      </c>
      <c r="D37" s="89" t="s">
        <v>73</v>
      </c>
      <c r="E37" s="21">
        <f t="shared" si="1"/>
        <v>0</v>
      </c>
      <c r="F37" s="6"/>
      <c r="G37" s="6"/>
      <c r="H37" s="6"/>
      <c r="I37" s="83"/>
      <c r="J37" s="6"/>
      <c r="K37" s="6"/>
      <c r="L37" s="6"/>
      <c r="M37" s="83"/>
      <c r="N37" s="6"/>
      <c r="O37" s="6"/>
      <c r="P37" s="6"/>
      <c r="Q37" s="83"/>
      <c r="R37" s="6"/>
      <c r="S37" s="6"/>
      <c r="T37" s="6"/>
      <c r="U37" s="6"/>
      <c r="V37" s="52" t="str">
        <f t="shared" si="2"/>
        <v>x</v>
      </c>
      <c r="W37" s="34">
        <f t="shared" si="3"/>
        <v>17</v>
      </c>
      <c r="X37" s="9" t="str" cm="1">
        <f t="array" ref="X37">INDEX(F4:V4,W37)</f>
        <v>White</v>
      </c>
      <c r="Y37" s="9">
        <f>_xlfn.XLOOKUP(X37,refs!$A$2:$A$19,refs!$B$2:$B$19)</f>
        <v>18</v>
      </c>
      <c r="Z37" s="77" t="str" cm="1">
        <f t="array" ref="Z37">INDEX($F$3:$V$3,W37)</f>
        <v/>
      </c>
      <c r="AA37" s="74">
        <f>IF(C37="x",Y37,_xlfn.XLOOKUP(C3,refs!$A$2:$A$19,refs!$B$2:$B$19))</f>
        <v>18</v>
      </c>
      <c r="AB37" s="61" t="str">
        <f t="shared" si="4"/>
        <v>.29.col=18,mute=0,</v>
      </c>
      <c r="AC37" s="62" t="str">
        <f t="shared" si="5"/>
        <v>.29.tags=,</v>
      </c>
      <c r="AD37" s="62" t="str">
        <f t="shared" si="8"/>
        <v>.29.name=JOSHUA.sail,</v>
      </c>
      <c r="AE37" s="62" t="str">
        <f t="shared" si="9"/>
        <v>..29.postins.on=0,mode=FX,</v>
      </c>
      <c r="AF37" s="63"/>
    </row>
    <row r="38" spans="1:32" ht="13.5" customHeight="1" x14ac:dyDescent="0.25">
      <c r="A38" s="97">
        <v>30</v>
      </c>
      <c r="B38" s="5"/>
      <c r="C38" s="25" t="s">
        <v>21</v>
      </c>
      <c r="D38" s="89" t="s">
        <v>74</v>
      </c>
      <c r="E38" s="21">
        <f t="shared" si="1"/>
        <v>0</v>
      </c>
      <c r="F38" s="6"/>
      <c r="G38" s="6"/>
      <c r="H38" s="6"/>
      <c r="I38" s="83"/>
      <c r="J38" s="6"/>
      <c r="K38" s="6"/>
      <c r="L38" s="6"/>
      <c r="M38" s="83"/>
      <c r="N38" s="6"/>
      <c r="O38" s="6"/>
      <c r="P38" s="6"/>
      <c r="Q38" s="83"/>
      <c r="R38" s="6"/>
      <c r="S38" s="6"/>
      <c r="T38" s="6"/>
      <c r="U38" s="6"/>
      <c r="V38" s="52" t="str">
        <f t="shared" si="2"/>
        <v>x</v>
      </c>
      <c r="W38" s="34">
        <f t="shared" si="3"/>
        <v>17</v>
      </c>
      <c r="X38" s="9" t="str" cm="1">
        <f t="array" ref="X38">INDEX(F4:V4,W38)</f>
        <v>White</v>
      </c>
      <c r="Y38" s="9">
        <f>_xlfn.XLOOKUP(X38,refs!$A$2:$A$19,refs!$B$2:$B$19)</f>
        <v>18</v>
      </c>
      <c r="Z38" s="77" t="str" cm="1">
        <f t="array" ref="Z38">INDEX($F$3:$V$3,W38)</f>
        <v/>
      </c>
      <c r="AA38" s="74">
        <f>IF(C38="x",Y38,_xlfn.XLOOKUP(C3,refs!$A$2:$A$19,refs!$B$2:$B$19))</f>
        <v>18</v>
      </c>
      <c r="AB38" s="61" t="str">
        <f t="shared" si="4"/>
        <v>.30.col=18,mute=0,</v>
      </c>
      <c r="AC38" s="62" t="str">
        <f t="shared" si="5"/>
        <v>.30.tags=,</v>
      </c>
      <c r="AD38" s="62" t="str">
        <f t="shared" si="8"/>
        <v>.30.name=RAY.sail,</v>
      </c>
      <c r="AE38" s="62" t="str">
        <f t="shared" si="9"/>
        <v>..30.postins.on=0,mode=FX,</v>
      </c>
      <c r="AF38" s="63"/>
    </row>
    <row r="39" spans="1:32" ht="13.5" customHeight="1" x14ac:dyDescent="0.25">
      <c r="A39" s="97">
        <v>31</v>
      </c>
      <c r="B39" s="5"/>
      <c r="C39" s="25" t="s">
        <v>21</v>
      </c>
      <c r="D39" s="89" t="s">
        <v>75</v>
      </c>
      <c r="E39" s="21">
        <f t="shared" si="1"/>
        <v>0</v>
      </c>
      <c r="F39" s="6"/>
      <c r="G39" s="6"/>
      <c r="H39" s="6"/>
      <c r="I39" s="83"/>
      <c r="J39" s="6"/>
      <c r="K39" s="6"/>
      <c r="L39" s="6"/>
      <c r="M39" s="83"/>
      <c r="N39" s="6"/>
      <c r="O39" s="6"/>
      <c r="P39" s="6"/>
      <c r="Q39" s="83"/>
      <c r="R39" s="6"/>
      <c r="S39" s="6"/>
      <c r="T39" s="6"/>
      <c r="U39" s="6"/>
      <c r="V39" s="52" t="str">
        <f t="shared" si="2"/>
        <v>x</v>
      </c>
      <c r="W39" s="34">
        <f t="shared" si="3"/>
        <v>17</v>
      </c>
      <c r="X39" s="9" t="str" cm="1">
        <f t="array" ref="X39">INDEX(F4:V4,W39)</f>
        <v>White</v>
      </c>
      <c r="Y39" s="9">
        <f>_xlfn.XLOOKUP(X39,refs!$A$2:$A$19,refs!$B$2:$B$19)</f>
        <v>18</v>
      </c>
      <c r="Z39" s="77" t="str" cm="1">
        <f t="array" ref="Z39">INDEX($F$3:$V$3,W39)</f>
        <v/>
      </c>
      <c r="AA39" s="74">
        <f>IF(C39="x",Y39,_xlfn.XLOOKUP(C3,refs!$A$2:$A$19,refs!$B$2:$B$19))</f>
        <v>18</v>
      </c>
      <c r="AB39" s="61" t="str">
        <f t="shared" si="4"/>
        <v>.31.col=18,mute=0,</v>
      </c>
      <c r="AC39" s="62" t="str">
        <f t="shared" si="5"/>
        <v>.31.tags=,</v>
      </c>
      <c r="AD39" s="62" t="str">
        <f t="shared" si="8"/>
        <v>.31.name=WILL.sail,</v>
      </c>
      <c r="AE39" s="62" t="str">
        <f t="shared" si="9"/>
        <v>..31.postins.on=0,mode=FX,</v>
      </c>
      <c r="AF39" s="63"/>
    </row>
    <row r="40" spans="1:32" ht="13.5" customHeight="1" x14ac:dyDescent="0.25">
      <c r="A40" s="97">
        <v>32</v>
      </c>
      <c r="B40" s="5"/>
      <c r="C40" s="25" t="s">
        <v>21</v>
      </c>
      <c r="D40" s="87" t="s">
        <v>76</v>
      </c>
      <c r="E40" s="21">
        <f t="shared" si="1"/>
        <v>0</v>
      </c>
      <c r="F40" s="6"/>
      <c r="G40" s="6"/>
      <c r="H40" s="6"/>
      <c r="I40" s="83"/>
      <c r="J40" s="6"/>
      <c r="K40" s="6"/>
      <c r="L40" s="6"/>
      <c r="M40" s="83"/>
      <c r="N40" s="6"/>
      <c r="O40" s="6"/>
      <c r="P40" s="6"/>
      <c r="Q40" s="83"/>
      <c r="R40" s="6"/>
      <c r="S40" s="6"/>
      <c r="T40" s="6"/>
      <c r="U40" s="6"/>
      <c r="V40" s="52" t="str">
        <f t="shared" si="2"/>
        <v>x</v>
      </c>
      <c r="W40" s="34">
        <f t="shared" si="3"/>
        <v>17</v>
      </c>
      <c r="X40" s="9" t="str" cm="1">
        <f t="array" ref="X40">INDEX(F4:V4,W40)</f>
        <v>White</v>
      </c>
      <c r="Y40" s="9">
        <f>_xlfn.XLOOKUP(X40,refs!$A$2:$A$19,refs!$B$2:$B$19)</f>
        <v>18</v>
      </c>
      <c r="Z40" s="77" t="str" cm="1">
        <f t="array" ref="Z40">INDEX($F$3:$V$3,W40)</f>
        <v/>
      </c>
      <c r="AA40" s="74">
        <f>IF(C40="x",Y40,_xlfn.XLOOKUP(C3,refs!$A$2:$A$19,refs!$B$2:$B$19))</f>
        <v>18</v>
      </c>
      <c r="AB40" s="61" t="str">
        <f t="shared" si="4"/>
        <v>.32.col=18,mute=0,</v>
      </c>
      <c r="AC40" s="62" t="str">
        <f t="shared" si="5"/>
        <v>.32.tags=,</v>
      </c>
      <c r="AD40" s="62" t="str">
        <f t="shared" si="8"/>
        <v>.32.name=PRISCILLA,</v>
      </c>
      <c r="AE40" s="62" t="str">
        <f t="shared" si="9"/>
        <v>..32.postins.on=0,mode=FX,</v>
      </c>
      <c r="AF40" s="63"/>
    </row>
    <row r="41" spans="1:32" ht="13.5" customHeight="1" x14ac:dyDescent="0.25">
      <c r="A41" s="97">
        <v>33</v>
      </c>
      <c r="B41" s="5"/>
      <c r="C41" s="25" t="s">
        <v>21</v>
      </c>
      <c r="D41" s="87" t="s">
        <v>77</v>
      </c>
      <c r="E41" s="21">
        <f t="shared" si="1"/>
        <v>0</v>
      </c>
      <c r="F41" s="6"/>
      <c r="G41" s="6"/>
      <c r="H41" s="6"/>
      <c r="I41" s="83"/>
      <c r="J41" s="6"/>
      <c r="K41" s="6"/>
      <c r="L41" s="6"/>
      <c r="M41" s="83"/>
      <c r="N41" s="6"/>
      <c r="O41" s="6"/>
      <c r="P41" s="6"/>
      <c r="Q41" s="83"/>
      <c r="R41" s="6"/>
      <c r="S41" s="6"/>
      <c r="T41" s="6"/>
      <c r="U41" s="6"/>
      <c r="V41" s="52" t="str">
        <f t="shared" si="2"/>
        <v>x</v>
      </c>
      <c r="W41" s="34">
        <f t="shared" si="3"/>
        <v>17</v>
      </c>
      <c r="X41" s="9" t="str" cm="1">
        <f t="array" ref="X41">INDEX(F4:V4,W41)</f>
        <v>White</v>
      </c>
      <c r="Y41" s="9">
        <f>_xlfn.XLOOKUP(X41,refs!$A$2:$A$19,refs!$B$2:$B$19)</f>
        <v>18</v>
      </c>
      <c r="Z41" s="77" t="str" cm="1">
        <f t="array" ref="Z41">INDEX($F$3:$V$3,W41)</f>
        <v/>
      </c>
      <c r="AA41" s="74">
        <f>IF(C41="x",Y41,_xlfn.XLOOKUP(C3,refs!$A$2:$A$19,refs!$B$2:$B$19))</f>
        <v>18</v>
      </c>
      <c r="AB41" s="61" t="str">
        <f t="shared" si="4"/>
        <v>.33.col=18,mute=0,</v>
      </c>
      <c r="AC41" s="62" t="str">
        <f t="shared" si="5"/>
        <v>.33.tags=,</v>
      </c>
      <c r="AD41" s="62" t="str">
        <f t="shared" si="8"/>
        <v>.33.name=RACHELS,</v>
      </c>
      <c r="AE41" s="62" t="str">
        <f t="shared" si="9"/>
        <v>..33.postins.on=0,mode=FX,</v>
      </c>
      <c r="AF41" s="63"/>
    </row>
    <row r="42" spans="1:32" ht="13.5" customHeight="1" x14ac:dyDescent="0.25">
      <c r="A42" s="97">
        <v>34</v>
      </c>
      <c r="B42" s="5"/>
      <c r="C42" s="25" t="s">
        <v>21</v>
      </c>
      <c r="D42" s="87" t="s">
        <v>78</v>
      </c>
      <c r="E42" s="21">
        <f t="shared" si="1"/>
        <v>0</v>
      </c>
      <c r="F42" s="6"/>
      <c r="G42" s="6"/>
      <c r="H42" s="6"/>
      <c r="I42" s="83"/>
      <c r="J42" s="6"/>
      <c r="K42" s="6"/>
      <c r="L42" s="6"/>
      <c r="M42" s="83"/>
      <c r="N42" s="6"/>
      <c r="O42" s="6"/>
      <c r="P42" s="6"/>
      <c r="Q42" s="83"/>
      <c r="R42" s="6"/>
      <c r="S42" s="6"/>
      <c r="T42" s="6"/>
      <c r="U42" s="6"/>
      <c r="V42" s="52" t="str">
        <f t="shared" si="2"/>
        <v>x</v>
      </c>
      <c r="W42" s="34">
        <f t="shared" si="3"/>
        <v>17</v>
      </c>
      <c r="X42" s="9" t="str" cm="1">
        <f t="array" ref="X42">INDEX(F4:V4,W42)</f>
        <v>White</v>
      </c>
      <c r="Y42" s="9">
        <f>_xlfn.XLOOKUP(X42,refs!$A$2:$A$19,refs!$B$2:$B$19)</f>
        <v>18</v>
      </c>
      <c r="Z42" s="77" t="str" cm="1">
        <f t="array" ref="Z42">INDEX($F$3:$V$3,W42)</f>
        <v/>
      </c>
      <c r="AA42" s="74">
        <f>IF(C42="x",Y42,_xlfn.XLOOKUP(C3,refs!$A$2:$A$19,refs!$B$2:$B$19))</f>
        <v>18</v>
      </c>
      <c r="AB42" s="61" t="str">
        <f t="shared" si="4"/>
        <v>.34.col=18,mute=0,</v>
      </c>
      <c r="AC42" s="62" t="str">
        <f t="shared" si="5"/>
        <v>.34.tags=,</v>
      </c>
      <c r="AD42" s="62" t="str">
        <f t="shared" si="8"/>
        <v>.34.name=JEN,</v>
      </c>
      <c r="AE42" s="62" t="str">
        <f t="shared" si="9"/>
        <v>..34.postins.on=0,mode=FX,</v>
      </c>
      <c r="AF42" s="63"/>
    </row>
    <row r="43" spans="1:32" ht="13.5" customHeight="1" x14ac:dyDescent="0.25">
      <c r="A43" s="97">
        <v>35</v>
      </c>
      <c r="B43" s="5"/>
      <c r="C43" s="25" t="s">
        <v>21</v>
      </c>
      <c r="D43" s="94" t="s">
        <v>79</v>
      </c>
      <c r="E43" s="21">
        <f t="shared" si="1"/>
        <v>0</v>
      </c>
      <c r="F43" s="6"/>
      <c r="G43" s="6"/>
      <c r="H43" s="6"/>
      <c r="I43" s="83"/>
      <c r="J43" s="6"/>
      <c r="K43" s="6"/>
      <c r="L43" s="6"/>
      <c r="M43" s="83"/>
      <c r="N43" s="6"/>
      <c r="O43" s="6"/>
      <c r="P43" s="6"/>
      <c r="Q43" s="83"/>
      <c r="R43" s="6"/>
      <c r="S43" s="6"/>
      <c r="T43" s="6"/>
      <c r="U43" s="6"/>
      <c r="V43" s="52" t="str">
        <f t="shared" si="2"/>
        <v>x</v>
      </c>
      <c r="W43" s="34">
        <f t="shared" si="3"/>
        <v>17</v>
      </c>
      <c r="X43" s="9" t="str" cm="1">
        <f t="array" ref="X43">INDEX(F4:V4,W43)</f>
        <v>White</v>
      </c>
      <c r="Y43" s="9">
        <f>_xlfn.XLOOKUP(X43,refs!$A$2:$A$19,refs!$B$2:$B$19)</f>
        <v>18</v>
      </c>
      <c r="Z43" s="77" t="str" cm="1">
        <f t="array" ref="Z43">INDEX($F$3:$V$3,W43)</f>
        <v/>
      </c>
      <c r="AA43" s="74">
        <f>IF(C43="x",Y43,_xlfn.XLOOKUP(C3,refs!$A$2:$A$19,refs!$B$2:$B$19))</f>
        <v>18</v>
      </c>
      <c r="AB43" s="61" t="str">
        <f t="shared" si="4"/>
        <v>.35.col=18,mute=0,</v>
      </c>
      <c r="AC43" s="62" t="str">
        <f t="shared" si="5"/>
        <v>.35.tags=,</v>
      </c>
      <c r="AD43" s="62" t="str">
        <f t="shared" si="8"/>
        <v>.35.name=OS1,</v>
      </c>
      <c r="AE43" s="62" t="str">
        <f t="shared" si="9"/>
        <v>..35.postins.on=0,mode=FX,</v>
      </c>
      <c r="AF43" s="63"/>
    </row>
    <row r="44" spans="1:32" ht="13.5" customHeight="1" x14ac:dyDescent="0.25">
      <c r="A44" s="97">
        <v>36</v>
      </c>
      <c r="B44" s="5"/>
      <c r="C44" s="25" t="s">
        <v>21</v>
      </c>
      <c r="D44" s="94" t="s">
        <v>80</v>
      </c>
      <c r="E44" s="21">
        <f t="shared" si="1"/>
        <v>0</v>
      </c>
      <c r="F44" s="6"/>
      <c r="G44" s="6"/>
      <c r="H44" s="6"/>
      <c r="I44" s="83"/>
      <c r="J44" s="6"/>
      <c r="K44" s="6"/>
      <c r="L44" s="6"/>
      <c r="M44" s="83"/>
      <c r="N44" s="6"/>
      <c r="O44" s="6"/>
      <c r="P44" s="6"/>
      <c r="Q44" s="83"/>
      <c r="R44" s="6"/>
      <c r="S44" s="6"/>
      <c r="T44" s="6"/>
      <c r="U44" s="6"/>
      <c r="V44" s="52" t="str">
        <f t="shared" si="2"/>
        <v>x</v>
      </c>
      <c r="W44" s="34">
        <f t="shared" si="3"/>
        <v>17</v>
      </c>
      <c r="X44" s="9" t="str" cm="1">
        <f t="array" ref="X44">INDEX(F4:V4,W44)</f>
        <v>White</v>
      </c>
      <c r="Y44" s="9">
        <f>_xlfn.XLOOKUP(X44,refs!$A$2:$A$19,refs!$B$2:$B$19)</f>
        <v>18</v>
      </c>
      <c r="Z44" s="77" t="str" cm="1">
        <f t="array" ref="Z44">INDEX($F$3:$V$3,W44)</f>
        <v/>
      </c>
      <c r="AA44" s="74">
        <f>IF(C44="x",Y44,_xlfn.XLOOKUP(C3,refs!$A$2:$A$19,refs!$B$2:$B$19))</f>
        <v>18</v>
      </c>
      <c r="AB44" s="61" t="str">
        <f t="shared" si="4"/>
        <v>.36.col=18,mute=0,</v>
      </c>
      <c r="AC44" s="62" t="str">
        <f t="shared" si="5"/>
        <v>.36.tags=,</v>
      </c>
      <c r="AD44" s="62" t="str">
        <f t="shared" si="8"/>
        <v>.36.name=OS2,</v>
      </c>
      <c r="AE44" s="62" t="str">
        <f t="shared" si="9"/>
        <v>..36.postins.on=0,mode=FX,</v>
      </c>
      <c r="AF44" s="63"/>
    </row>
    <row r="45" spans="1:32" ht="13.5" customHeight="1" x14ac:dyDescent="0.25">
      <c r="A45" s="97">
        <v>37</v>
      </c>
      <c r="B45" s="5"/>
      <c r="C45" s="25"/>
      <c r="D45" s="93" t="s">
        <v>81</v>
      </c>
      <c r="E45" s="21">
        <f t="shared" si="1"/>
        <v>0</v>
      </c>
      <c r="F45" s="6"/>
      <c r="G45" s="6"/>
      <c r="H45" s="6"/>
      <c r="I45" s="83"/>
      <c r="J45" s="6"/>
      <c r="K45" s="6"/>
      <c r="L45" s="6"/>
      <c r="M45" s="83"/>
      <c r="N45" s="6"/>
      <c r="O45" s="6"/>
      <c r="P45" s="6"/>
      <c r="Q45" s="83"/>
      <c r="R45" s="6"/>
      <c r="S45" s="6"/>
      <c r="T45" s="6"/>
      <c r="U45" s="6"/>
      <c r="V45" s="52" t="str">
        <f t="shared" si="2"/>
        <v>x</v>
      </c>
      <c r="W45" s="34">
        <f t="shared" si="3"/>
        <v>17</v>
      </c>
      <c r="X45" s="9" t="str" cm="1">
        <f t="array" ref="X45">INDEX(F4:V4,W45)</f>
        <v>White</v>
      </c>
      <c r="Y45" s="9">
        <f>_xlfn.XLOOKUP(X45,refs!$A$2:$A$19,refs!$B$2:$B$19)</f>
        <v>18</v>
      </c>
      <c r="Z45" s="77" t="str" cm="1">
        <f t="array" ref="Z45">INDEX($F$3:$V$3,W45)</f>
        <v/>
      </c>
      <c r="AA45" s="74">
        <f>IF(C45="x",Y45,_xlfn.XLOOKUP(C3,refs!$A$2:$A$19,refs!$B$2:$B$19))</f>
        <v>17</v>
      </c>
      <c r="AB45" s="61" t="str">
        <f t="shared" si="4"/>
        <v>.37.col=17,mute=1,</v>
      </c>
      <c r="AC45" s="62" t="str">
        <f t="shared" si="5"/>
        <v>.37.tags=,</v>
      </c>
      <c r="AD45" s="62" t="str">
        <f t="shared" si="8"/>
        <v>.37.name=unusedos,</v>
      </c>
      <c r="AE45" s="62" t="str">
        <f t="shared" si="9"/>
        <v>..37.postins.on=0,mode=FX,</v>
      </c>
      <c r="AF45" s="63"/>
    </row>
    <row r="46" spans="1:32" ht="13.5" customHeight="1" x14ac:dyDescent="0.25">
      <c r="A46" s="97">
        <v>38</v>
      </c>
      <c r="B46" s="5"/>
      <c r="C46" s="25" t="s">
        <v>21</v>
      </c>
      <c r="D46" s="95" t="s">
        <v>83</v>
      </c>
      <c r="E46" s="21">
        <f t="shared" si="1"/>
        <v>0</v>
      </c>
      <c r="F46" s="6"/>
      <c r="G46" s="6"/>
      <c r="H46" s="6"/>
      <c r="I46" s="83"/>
      <c r="J46" s="6"/>
      <c r="K46" s="6"/>
      <c r="L46" s="6"/>
      <c r="M46" s="83"/>
      <c r="N46" s="6"/>
      <c r="O46" s="6"/>
      <c r="P46" s="6"/>
      <c r="Q46" s="83"/>
      <c r="R46" s="6"/>
      <c r="S46" s="6"/>
      <c r="T46" s="6"/>
      <c r="U46" s="6"/>
      <c r="V46" s="52" t="str">
        <f t="shared" si="2"/>
        <v>x</v>
      </c>
      <c r="W46" s="34">
        <f t="shared" si="3"/>
        <v>17</v>
      </c>
      <c r="X46" s="9" t="str" cm="1">
        <f t="array" ref="X46">INDEX(F4:V4,W46)</f>
        <v>White</v>
      </c>
      <c r="Y46" s="9">
        <f>_xlfn.XLOOKUP(X46,refs!$A$2:$A$19,refs!$B$2:$B$19)</f>
        <v>18</v>
      </c>
      <c r="Z46" s="77" t="str" cm="1">
        <f t="array" ref="Z46">INDEX($F$3:$V$3,W46)</f>
        <v/>
      </c>
      <c r="AA46" s="74">
        <f>IF(C46="x",Y46,_xlfn.XLOOKUP(C3,refs!$A$2:$A$19,refs!$B$2:$B$19))</f>
        <v>18</v>
      </c>
      <c r="AB46" s="61" t="str">
        <f t="shared" si="4"/>
        <v>.38.col=18,mute=0,</v>
      </c>
      <c r="AC46" s="62" t="str">
        <f t="shared" si="5"/>
        <v>.38.tags=,</v>
      </c>
      <c r="AD46" s="62" t="str">
        <f t="shared" si="8"/>
        <v>.38.name=VOX.fr.ext,</v>
      </c>
      <c r="AE46" s="62" t="str">
        <f t="shared" si="9"/>
        <v>..38.postins.on=0,mode=FX,</v>
      </c>
      <c r="AF46" s="63"/>
    </row>
    <row r="47" spans="1:32" ht="13.5" customHeight="1" x14ac:dyDescent="0.25">
      <c r="A47" s="97">
        <v>39</v>
      </c>
      <c r="B47" s="5"/>
      <c r="C47" s="25" t="s">
        <v>21</v>
      </c>
      <c r="D47" s="95" t="s">
        <v>82</v>
      </c>
      <c r="E47" s="21">
        <f t="shared" si="1"/>
        <v>0</v>
      </c>
      <c r="F47" s="6"/>
      <c r="G47" s="6"/>
      <c r="H47" s="6"/>
      <c r="I47" s="83"/>
      <c r="J47" s="6"/>
      <c r="K47" s="6"/>
      <c r="L47" s="6"/>
      <c r="M47" s="83"/>
      <c r="N47" s="6"/>
      <c r="O47" s="6"/>
      <c r="P47" s="6"/>
      <c r="Q47" s="83"/>
      <c r="R47" s="6"/>
      <c r="S47" s="6"/>
      <c r="T47" s="6"/>
      <c r="U47" s="6"/>
      <c r="V47" s="52" t="str">
        <f t="shared" si="2"/>
        <v>x</v>
      </c>
      <c r="W47" s="34">
        <f t="shared" si="3"/>
        <v>17</v>
      </c>
      <c r="X47" s="9" t="str" cm="1">
        <f t="array" ref="X47">INDEX(F4:V4,W47)</f>
        <v>White</v>
      </c>
      <c r="Y47" s="9">
        <f>_xlfn.XLOOKUP(X47,refs!$A$2:$A$19,refs!$B$2:$B$19)</f>
        <v>18</v>
      </c>
      <c r="Z47" s="77" t="str" cm="1">
        <f t="array" ref="Z47">INDEX($F$3:$V$3,W47)</f>
        <v/>
      </c>
      <c r="AA47" s="74">
        <f>IF(C47="x",Y47,_xlfn.XLOOKUP(C3,refs!$A$2:$A$19,refs!$B$2:$B$19))</f>
        <v>18</v>
      </c>
      <c r="AB47" s="61" t="str">
        <f t="shared" si="4"/>
        <v>.39.col=18,mute=0,</v>
      </c>
      <c r="AC47" s="62" t="str">
        <f t="shared" si="5"/>
        <v>.39.tags=,</v>
      </c>
      <c r="AD47" s="62" t="str">
        <f t="shared" si="8"/>
        <v>.39.name=INS.fr.ext,</v>
      </c>
      <c r="AE47" s="62" t="str">
        <f t="shared" si="9"/>
        <v>..39.postins.on=0,mode=FX,</v>
      </c>
      <c r="AF47" s="63"/>
    </row>
    <row r="48" spans="1:32" ht="13.5" customHeight="1" thickBot="1" x14ac:dyDescent="0.3">
      <c r="A48" s="97">
        <v>40</v>
      </c>
      <c r="B48" s="5"/>
      <c r="C48" s="25" t="s">
        <v>21</v>
      </c>
      <c r="D48" s="95" t="s">
        <v>84</v>
      </c>
      <c r="E48" s="21">
        <f t="shared" si="1"/>
        <v>0</v>
      </c>
      <c r="F48" s="6"/>
      <c r="G48" s="6"/>
      <c r="H48" s="6"/>
      <c r="I48" s="83"/>
      <c r="J48" s="6"/>
      <c r="K48" s="6"/>
      <c r="L48" s="6"/>
      <c r="M48" s="83"/>
      <c r="N48" s="6"/>
      <c r="O48" s="6"/>
      <c r="P48" s="6"/>
      <c r="Q48" s="83"/>
      <c r="R48" s="6"/>
      <c r="S48" s="6"/>
      <c r="T48" s="6"/>
      <c r="U48" s="6"/>
      <c r="V48" s="52" t="str">
        <f t="shared" si="2"/>
        <v>x</v>
      </c>
      <c r="W48" s="35">
        <f t="shared" si="3"/>
        <v>17</v>
      </c>
      <c r="X48" s="39" t="str" cm="1">
        <f t="array" ref="X48">INDEX(F4:V4,W48)</f>
        <v>White</v>
      </c>
      <c r="Y48" s="39">
        <f>_xlfn.XLOOKUP(X48,refs!$A$2:$A$19,refs!$B$2:$B$19)</f>
        <v>18</v>
      </c>
      <c r="Z48" s="78" t="str" cm="1">
        <f t="array" ref="Z48">INDEX($F$3:$V$3,W48)</f>
        <v/>
      </c>
      <c r="AA48" s="75">
        <f>IF(C48="x",Y48,_xlfn.XLOOKUP(C3,refs!$A$2:$A$19,refs!$B$2:$B$19))</f>
        <v>18</v>
      </c>
      <c r="AB48" s="64" t="str">
        <f t="shared" si="4"/>
        <v>.40.col=18,mute=0,</v>
      </c>
      <c r="AC48" s="65" t="str">
        <f t="shared" si="5"/>
        <v>.40.tags=,</v>
      </c>
      <c r="AD48" s="62" t="str">
        <f t="shared" si="8"/>
        <v>.40.name=pass.fr.w2,</v>
      </c>
      <c r="AE48" s="65" t="str">
        <f t="shared" si="9"/>
        <v>..40.postins.on=0,mode=FX,</v>
      </c>
      <c r="AF48" s="66"/>
    </row>
    <row r="49" spans="1:22" s="2" customFormat="1" ht="22.5" customHeight="1" thickBot="1" x14ac:dyDescent="0.25">
      <c r="A49" s="53"/>
      <c r="B49" s="54"/>
      <c r="C49" s="54"/>
      <c r="D49" s="54"/>
      <c r="E49" s="54"/>
      <c r="F49" s="55" t="str">
        <f t="shared" ref="F49:U49" si="10">F6</f>
        <v>LEADS</v>
      </c>
      <c r="G49" s="55" t="str">
        <f t="shared" si="10"/>
        <v>FlotJet</v>
      </c>
      <c r="H49" s="55" t="str">
        <f t="shared" si="10"/>
        <v>Sail</v>
      </c>
      <c r="I49" s="55" t="str">
        <f t="shared" si="10"/>
        <v>Sisters</v>
      </c>
      <c r="J49" s="55" t="str">
        <f t="shared" si="10"/>
        <v>Maids</v>
      </c>
      <c r="K49" s="55" t="str">
        <f t="shared" si="10"/>
        <v>LeeWind</v>
      </c>
      <c r="L49" s="55" t="str">
        <f t="shared" si="10"/>
        <v>PrRaJen</v>
      </c>
      <c r="M49" s="55" t="str">
        <f t="shared" si="10"/>
        <v>.</v>
      </c>
      <c r="N49" s="55" t="str">
        <f t="shared" si="10"/>
        <v>.</v>
      </c>
      <c r="O49" s="55" t="str">
        <f t="shared" si="10"/>
        <v>.</v>
      </c>
      <c r="P49" s="55" t="str">
        <f t="shared" si="10"/>
        <v>OS</v>
      </c>
      <c r="Q49" s="55" t="str">
        <f t="shared" si="10"/>
        <v>VOX+.VRB</v>
      </c>
      <c r="R49" s="55" t="str">
        <f t="shared" si="10"/>
        <v>VOX_.VRB</v>
      </c>
      <c r="S49" s="55" t="str">
        <f t="shared" si="10"/>
        <v>INST+.VRB</v>
      </c>
      <c r="T49" s="55" t="str">
        <f t="shared" si="10"/>
        <v>INST_.VRB</v>
      </c>
      <c r="U49" s="55" t="str">
        <f t="shared" si="10"/>
        <v>MAINS</v>
      </c>
      <c r="V49" s="56"/>
    </row>
    <row r="50" spans="1:22" s="2" customFormat="1" ht="12" hidden="1" x14ac:dyDescent="0.2">
      <c r="A50" s="67" t="str">
        <f>D2&amp;"_ch_col_mute"</f>
        <v>w1_0001_ch_col_mute</v>
      </c>
      <c r="B50" s="68" t="str">
        <f>_xlfn.CONCAT(AB9:AB48)</f>
        <v>/ch.1.col=7,mute=0,.2.col=7,mute=0,.3.col=7,mute=0,.4.col=7,mute=0,.5.col=4,mute=0,.6.col=5,mute=0,.7.col=6,mute=0,.8.col=7,mute=0,.9.col=8,mute=0,.10.col=9,mute=0,.11.col=10,mute=0,.12.col=11,mute=0,.13.col=12,mute=0,.14.col=13,mute=0,.15.col=14,mute=0,.16.col=15,mute=0,.17.col=18,mute=0,.18.col=18,mute=0,.19.col=18,mute=0,.20.col=18,mute=0,.21.col=18,mute=0,.22.col=18,mute=0,.23.col=18,mute=0,.24.col=17,mute=1,.25.col=18,mute=0,.26.col=18,mute=0,.27.col=18,mute=0,.28.col=18,mute=0,.29.col=18,mute=0,.30.col=18,mute=0,.31.col=18,mute=0,.32.col=18,mute=0,.33.col=18,mute=0,.34.col=18,mute=0,.35.col=18,mute=0,.36.col=18,mute=0,.37.col=17,mute=1,.38.col=18,mute=0,.39.col=18,mute=0,.40.col=18,mute=0,</v>
      </c>
      <c r="C50" s="68"/>
      <c r="D50" s="68"/>
      <c r="E50" s="68"/>
      <c r="F50" s="69"/>
      <c r="G50" s="69"/>
      <c r="H50" s="69"/>
      <c r="I50" s="69"/>
      <c r="J50" s="69"/>
      <c r="K50" s="69"/>
      <c r="L50" s="69"/>
      <c r="M50" s="69"/>
      <c r="N50" s="69"/>
      <c r="O50" s="69"/>
      <c r="P50" s="69"/>
      <c r="Q50" s="69"/>
      <c r="R50" s="69"/>
      <c r="S50" s="69"/>
      <c r="T50" s="69"/>
      <c r="U50" s="69"/>
      <c r="V50" s="70"/>
    </row>
    <row r="51" spans="1:22" s="2" customFormat="1" ht="12" hidden="1" x14ac:dyDescent="0.2">
      <c r="A51" s="67" t="str">
        <f>D2&amp;"_ch_tags"</f>
        <v>w1_0001_ch_tags</v>
      </c>
      <c r="B51" s="68" t="str">
        <f>_xlfn.CONCAT(AC9:AC48)</f>
        <v>/ch.1.tags=#D8,.2.tags=#D1,.3.tags=#D1,.4.tags=#D1,.5.tags=#D5,.6.tags=#D6,.7.tags=#D7,.8.tags=#D8,.9.tags=#D9,.10.tags=#D10,.11.tags=#D11,.12.tags=#D12,.13.tags=#D13,.14.tags=#D14,.15.tags=#D15,.16.tags=#D16,.17.tags=,.18.tags=,.19.tags=,.20.tags=,.21.tags=,.22.tags=,.23.tags=,.24.tags=,.25.tags=,.26.tags=,.27.tags=,.28.tags=,.29.tags=,.30.tags=,.31.tags=,.32.tags=,.33.tags=,.34.tags=,.35.tags=,.36.tags=,.37.tags=,.38.tags=,.39.tags=,.40.tags=,</v>
      </c>
      <c r="C51" s="68"/>
      <c r="D51" s="68"/>
      <c r="E51" s="68"/>
      <c r="F51" s="69"/>
      <c r="G51" s="69"/>
      <c r="H51" s="69"/>
      <c r="I51" s="69"/>
      <c r="J51" s="69"/>
      <c r="K51" s="69"/>
      <c r="L51" s="69"/>
      <c r="M51" s="69"/>
      <c r="N51" s="69"/>
      <c r="O51" s="69"/>
      <c r="P51" s="69"/>
      <c r="Q51" s="69"/>
      <c r="R51" s="69"/>
      <c r="S51" s="69"/>
      <c r="T51" s="69"/>
      <c r="U51" s="69"/>
      <c r="V51" s="70"/>
    </row>
    <row r="52" spans="1:22" s="2" customFormat="1" ht="12" hidden="1" x14ac:dyDescent="0.2">
      <c r="A52" s="67" t="str">
        <f>D2&amp;"_ch_names_a"</f>
        <v>w1_0001_ch_names_a</v>
      </c>
      <c r="B52" s="68" t="str">
        <f>_xlfn.CONCAT(AD9:AD28)</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c r="C52" s="68"/>
      <c r="D52" s="68"/>
      <c r="E52" s="68"/>
      <c r="F52" s="69"/>
      <c r="G52" s="69"/>
      <c r="H52" s="69"/>
      <c r="I52" s="69"/>
      <c r="J52" s="69"/>
      <c r="K52" s="69"/>
      <c r="L52" s="69"/>
      <c r="M52" s="69"/>
      <c r="N52" s="69"/>
      <c r="O52" s="69"/>
      <c r="P52" s="69"/>
      <c r="Q52" s="69"/>
      <c r="R52" s="69"/>
      <c r="S52" s="69"/>
      <c r="T52" s="69"/>
      <c r="U52" s="69"/>
      <c r="V52" s="70"/>
    </row>
    <row r="53" spans="1:22" s="2" customFormat="1" ht="12" hidden="1" x14ac:dyDescent="0.2">
      <c r="A53" s="67" t="str">
        <f>D2&amp;"_ch_names_b"</f>
        <v>w1_0001_ch_names_b</v>
      </c>
      <c r="B53" s="68" t="str">
        <f>_xlfn.CONCAT(AD29:AD48)</f>
        <v>/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53" s="68"/>
      <c r="D53" s="68"/>
      <c r="E53" s="68"/>
      <c r="F53" s="69"/>
      <c r="G53" s="69"/>
      <c r="H53" s="69"/>
      <c r="I53" s="69"/>
      <c r="J53" s="69"/>
      <c r="K53" s="69"/>
      <c r="L53" s="69"/>
      <c r="M53" s="69"/>
      <c r="N53" s="69"/>
      <c r="O53" s="69"/>
      <c r="P53" s="69"/>
      <c r="Q53" s="69"/>
      <c r="R53" s="69"/>
      <c r="S53" s="69"/>
      <c r="T53" s="69"/>
      <c r="U53" s="69"/>
      <c r="V53" s="70"/>
    </row>
    <row r="54" spans="1:22" s="2" customFormat="1" ht="12" hidden="1" x14ac:dyDescent="0.2">
      <c r="A54" s="67" t="str">
        <f>D2&amp;"_ch_postins_a"</f>
        <v>w1_0001_ch_postins_a</v>
      </c>
      <c r="B54" s="68" t="str">
        <f>_xlfn.CONCAT(AE9:AE28)</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54" s="68"/>
      <c r="D54" s="68"/>
      <c r="E54" s="68"/>
      <c r="F54" s="69"/>
      <c r="G54" s="69"/>
      <c r="H54" s="69"/>
      <c r="I54" s="69"/>
      <c r="J54" s="69"/>
      <c r="K54" s="69"/>
      <c r="L54" s="69"/>
      <c r="M54" s="69"/>
      <c r="N54" s="69"/>
      <c r="O54" s="69"/>
      <c r="P54" s="69"/>
      <c r="Q54" s="69"/>
      <c r="R54" s="69"/>
      <c r="S54" s="69"/>
      <c r="T54" s="69"/>
      <c r="U54" s="69"/>
      <c r="V54" s="70"/>
    </row>
    <row r="55" spans="1:22" s="2" customFormat="1" ht="12" hidden="1" x14ac:dyDescent="0.2">
      <c r="A55" s="67" t="str">
        <f>D2&amp;"_ch_postins_b"</f>
        <v>w1_0001_ch_postins_b</v>
      </c>
      <c r="B55" s="68" t="str">
        <f>_xlfn.CONCAT(AE29:AE48)</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55" s="68"/>
      <c r="D55" s="68"/>
      <c r="E55" s="68"/>
      <c r="F55" s="69"/>
      <c r="G55" s="69"/>
      <c r="H55" s="69"/>
      <c r="I55" s="69"/>
      <c r="J55" s="69"/>
      <c r="K55" s="69"/>
      <c r="L55" s="69"/>
      <c r="M55" s="69"/>
      <c r="N55" s="69"/>
      <c r="O55" s="69"/>
      <c r="P55" s="69"/>
      <c r="Q55" s="69"/>
      <c r="R55" s="69"/>
      <c r="S55" s="69"/>
      <c r="T55" s="69"/>
      <c r="U55" s="69"/>
      <c r="V55" s="70"/>
    </row>
    <row r="56" spans="1:22" s="2" customFormat="1" ht="12" hidden="1" x14ac:dyDescent="0.2">
      <c r="A56" s="67" t="str">
        <f>D2&amp;"_dcas_amix"</f>
        <v>w1_0001_dcas_amix</v>
      </c>
      <c r="B56" s="68" t="str">
        <f>_xlfn.CONCAT(AF9:AF25)</f>
        <v>/dca.1.col=7,name=LEADS,.2.col=1,name=FlotJet,.3.col=2,name=Sail,.4.col=3,name=Sisters,.5.col=4,name=Maids,.6.col=5,name=LeeWind,.7.col=6,name=PrRaJen,.8.col=7,name=.,.9.col=8,name=.,.10.col=9,name=.,.11.col=10,name=OS,.12.col=11,name=VOX+.VRB,.13.col=12,name=VOX_.VRB,.14.col=13,name=INST+.VRB,.15.col=14,name=INST_.VRB,.16.col=15,name=MAINS,/cfg.amix.x=1,/cfg.amix.y=1,</v>
      </c>
      <c r="C56" s="68"/>
      <c r="D56" s="68"/>
      <c r="E56" s="68"/>
      <c r="F56" s="69"/>
      <c r="G56" s="69"/>
      <c r="H56" s="69"/>
      <c r="I56" s="69"/>
      <c r="J56" s="69"/>
      <c r="K56" s="69"/>
      <c r="L56" s="69"/>
      <c r="M56" s="69"/>
      <c r="N56" s="69"/>
      <c r="O56" s="69"/>
      <c r="P56" s="69"/>
      <c r="Q56" s="69"/>
      <c r="R56" s="69"/>
      <c r="S56" s="69"/>
      <c r="T56" s="69"/>
      <c r="U56" s="69"/>
      <c r="V56" s="70"/>
    </row>
    <row r="57" spans="1:22" ht="9" customHeight="1" x14ac:dyDescent="0.25">
      <c r="A57" s="45"/>
      <c r="B57" s="46"/>
      <c r="C57" s="46"/>
      <c r="D57" s="46"/>
      <c r="E57" s="47"/>
      <c r="F57" s="46"/>
      <c r="G57" s="46"/>
      <c r="H57" s="46"/>
      <c r="I57" s="46"/>
      <c r="J57" s="46"/>
      <c r="K57" s="46"/>
      <c r="L57" s="46"/>
      <c r="M57" s="46"/>
      <c r="N57" s="46"/>
      <c r="O57" s="46"/>
      <c r="P57" s="46"/>
      <c r="Q57" s="46"/>
      <c r="R57" s="46"/>
      <c r="S57" s="46"/>
      <c r="T57" s="46"/>
      <c r="U57" s="46"/>
      <c r="V57" s="48"/>
    </row>
    <row r="58" spans="1:22" ht="5.25" customHeight="1" x14ac:dyDescent="0.25">
      <c r="A58" s="7"/>
      <c r="B58" s="8"/>
      <c r="C58" s="8"/>
      <c r="D58" s="8"/>
      <c r="E58" s="22"/>
      <c r="F58" s="8"/>
      <c r="G58" s="8"/>
      <c r="H58" s="8"/>
      <c r="I58" s="8"/>
      <c r="J58" s="8"/>
      <c r="K58" s="8"/>
      <c r="L58" s="8"/>
      <c r="M58" s="8"/>
      <c r="N58" s="8"/>
      <c r="O58" s="8"/>
      <c r="P58" s="8"/>
      <c r="Q58" s="8"/>
      <c r="R58" s="8"/>
      <c r="S58" s="8"/>
      <c r="T58" s="8"/>
      <c r="U58" s="8"/>
      <c r="V58" s="26"/>
    </row>
    <row r="59" spans="1:22" ht="20.25" customHeight="1" x14ac:dyDescent="0.25">
      <c r="A59" s="14"/>
      <c r="B59" s="15">
        <f>INT(ROW()/56)+1</f>
        <v>2</v>
      </c>
      <c r="C59" s="71" t="s">
        <v>40</v>
      </c>
      <c r="D59" s="72" t="str">
        <f>"w1_"&amp;TEXT(B59,"0000")</f>
        <v>w1_0002</v>
      </c>
      <c r="E59" s="30"/>
      <c r="F59" s="31">
        <v>1</v>
      </c>
      <c r="G59" s="31">
        <v>2</v>
      </c>
      <c r="H59" s="31">
        <v>3</v>
      </c>
      <c r="I59" s="31">
        <v>4</v>
      </c>
      <c r="J59" s="31">
        <v>5</v>
      </c>
      <c r="K59" s="31">
        <v>6</v>
      </c>
      <c r="L59" s="31">
        <v>7</v>
      </c>
      <c r="M59" s="31">
        <v>8</v>
      </c>
      <c r="N59" s="31">
        <v>9</v>
      </c>
      <c r="O59" s="31">
        <v>10</v>
      </c>
      <c r="P59" s="31">
        <v>11</v>
      </c>
      <c r="Q59" s="31">
        <v>12</v>
      </c>
      <c r="R59" s="31">
        <v>13</v>
      </c>
      <c r="S59" s="31">
        <v>14</v>
      </c>
      <c r="T59" s="31">
        <v>15</v>
      </c>
      <c r="U59" s="31">
        <v>16</v>
      </c>
      <c r="V59" s="32">
        <v>17</v>
      </c>
    </row>
    <row r="60" spans="1:22" ht="13.5" customHeight="1" x14ac:dyDescent="0.25">
      <c r="A60" s="9"/>
      <c r="B60" s="79" t="s">
        <v>42</v>
      </c>
      <c r="C60" s="20" t="s">
        <v>17</v>
      </c>
      <c r="D60" s="10" t="s">
        <v>0</v>
      </c>
      <c r="E60" s="18"/>
      <c r="F60" s="11" t="str">
        <f>"#D1"</f>
        <v>#D1</v>
      </c>
      <c r="G60" s="11" t="str">
        <f>"#D2"</f>
        <v>#D2</v>
      </c>
      <c r="H60" s="11" t="str">
        <f>"#D3"</f>
        <v>#D3</v>
      </c>
      <c r="I60" s="11" t="str">
        <f>"#D4"</f>
        <v>#D4</v>
      </c>
      <c r="J60" s="11" t="str">
        <f>"#D5"</f>
        <v>#D5</v>
      </c>
      <c r="K60" s="11" t="str">
        <f>"#D6"</f>
        <v>#D6</v>
      </c>
      <c r="L60" s="11" t="str">
        <f>"#D7"</f>
        <v>#D7</v>
      </c>
      <c r="M60" s="11" t="str">
        <f>"#D8"</f>
        <v>#D8</v>
      </c>
      <c r="N60" s="11" t="str">
        <f>"#D9"</f>
        <v>#D9</v>
      </c>
      <c r="O60" s="11" t="str">
        <f>"#D10"</f>
        <v>#D10</v>
      </c>
      <c r="P60" s="11" t="str">
        <f>"#D11"</f>
        <v>#D11</v>
      </c>
      <c r="Q60" s="11" t="str">
        <f>"#D12"</f>
        <v>#D12</v>
      </c>
      <c r="R60" s="11" t="str">
        <f>"#D13"</f>
        <v>#D13</v>
      </c>
      <c r="S60" s="11" t="str">
        <f>"#D14"</f>
        <v>#D14</v>
      </c>
      <c r="T60" s="11" t="str">
        <f>"#D15"</f>
        <v>#D15</v>
      </c>
      <c r="U60" s="11" t="str">
        <f>"#D16"</f>
        <v>#D16</v>
      </c>
      <c r="V60" s="36" t="str">
        <f>""</f>
        <v/>
      </c>
    </row>
    <row r="61" spans="1:22" x14ac:dyDescent="0.25">
      <c r="A61" s="9"/>
      <c r="B61" s="81" t="s">
        <v>43</v>
      </c>
      <c r="C61" s="80" t="s">
        <v>21</v>
      </c>
      <c r="D61" s="19" t="s">
        <v>30</v>
      </c>
      <c r="E61" s="18"/>
      <c r="F61" s="20" t="s">
        <v>13</v>
      </c>
      <c r="G61" s="20" t="s">
        <v>10</v>
      </c>
      <c r="H61" s="20" t="s">
        <v>8</v>
      </c>
      <c r="I61" s="20" t="s">
        <v>11</v>
      </c>
      <c r="J61" s="20" t="s">
        <v>5</v>
      </c>
      <c r="K61" s="20" t="s">
        <v>4</v>
      </c>
      <c r="L61" s="20" t="s">
        <v>2</v>
      </c>
      <c r="M61" s="20" t="s">
        <v>17</v>
      </c>
      <c r="N61" s="20" t="s">
        <v>17</v>
      </c>
      <c r="O61" s="20" t="s">
        <v>17</v>
      </c>
      <c r="P61" s="20" t="s">
        <v>3</v>
      </c>
      <c r="Q61" s="20" t="s">
        <v>13</v>
      </c>
      <c r="R61" s="20" t="s">
        <v>13</v>
      </c>
      <c r="S61" s="20" t="s">
        <v>14</v>
      </c>
      <c r="T61" s="20" t="s">
        <v>14</v>
      </c>
      <c r="U61" s="20" t="s">
        <v>12</v>
      </c>
      <c r="V61" s="37" t="s">
        <v>18</v>
      </c>
    </row>
    <row r="62" spans="1:22" ht="5.25" customHeight="1" x14ac:dyDescent="0.25">
      <c r="A62" s="16"/>
      <c r="B62" s="17"/>
      <c r="C62" s="17"/>
      <c r="D62" s="17"/>
      <c r="E62" s="23"/>
      <c r="F62" s="17"/>
      <c r="G62" s="17"/>
      <c r="H62" s="17"/>
      <c r="I62" s="17"/>
      <c r="J62" s="17"/>
      <c r="K62" s="17"/>
      <c r="L62" s="17"/>
      <c r="M62" s="17"/>
      <c r="N62" s="17"/>
      <c r="O62" s="17"/>
      <c r="P62" s="17"/>
      <c r="Q62" s="17"/>
      <c r="R62" s="17"/>
      <c r="S62" s="17"/>
      <c r="T62" s="17"/>
      <c r="U62" s="17"/>
      <c r="V62" s="28"/>
    </row>
    <row r="63" spans="1:22" s="1" customFormat="1" ht="19.5" customHeight="1" x14ac:dyDescent="0.25">
      <c r="A63" s="9"/>
      <c r="B63" s="81" t="s">
        <v>44</v>
      </c>
      <c r="C63" s="80" t="s">
        <v>21</v>
      </c>
      <c r="D63" s="12" t="s">
        <v>28</v>
      </c>
      <c r="E63" s="18"/>
      <c r="F63" s="13" t="s">
        <v>87</v>
      </c>
      <c r="G63" s="13" t="s">
        <v>86</v>
      </c>
      <c r="H63" s="13" t="s">
        <v>88</v>
      </c>
      <c r="I63" s="13" t="s">
        <v>89</v>
      </c>
      <c r="J63" s="13" t="s">
        <v>90</v>
      </c>
      <c r="K63" s="13" t="s">
        <v>91</v>
      </c>
      <c r="L63" s="13" t="s">
        <v>92</v>
      </c>
      <c r="M63" s="13" t="s">
        <v>68</v>
      </c>
      <c r="N63" s="13" t="s">
        <v>68</v>
      </c>
      <c r="O63" s="13" t="s">
        <v>68</v>
      </c>
      <c r="P63" s="13" t="s">
        <v>85</v>
      </c>
      <c r="Q63" s="13" t="s">
        <v>93</v>
      </c>
      <c r="R63" s="13" t="s">
        <v>95</v>
      </c>
      <c r="S63" s="13" t="s">
        <v>94</v>
      </c>
      <c r="T63" s="13" t="s">
        <v>96</v>
      </c>
      <c r="U63" s="13" t="s">
        <v>20</v>
      </c>
      <c r="V63" s="27" t="s">
        <v>21</v>
      </c>
    </row>
    <row r="64" spans="1:22" ht="10.5" customHeight="1" thickBot="1" x14ac:dyDescent="0.3">
      <c r="A64" s="40"/>
      <c r="B64" s="41"/>
      <c r="C64" s="41"/>
      <c r="D64" s="41"/>
      <c r="E64" s="42"/>
      <c r="F64" s="43">
        <f>COUNTA(F66:F105)</f>
        <v>9</v>
      </c>
      <c r="G64" s="43">
        <f t="shared" ref="G64:U64" si="11">COUNTA(G66:G105)</f>
        <v>2</v>
      </c>
      <c r="H64" s="43">
        <f t="shared" si="11"/>
        <v>8</v>
      </c>
      <c r="I64" s="43">
        <f t="shared" si="11"/>
        <v>6</v>
      </c>
      <c r="J64" s="43">
        <f t="shared" si="11"/>
        <v>3</v>
      </c>
      <c r="K64" s="43">
        <f t="shared" si="11"/>
        <v>2</v>
      </c>
      <c r="L64" s="43">
        <f t="shared" si="11"/>
        <v>3</v>
      </c>
      <c r="M64" s="43">
        <f t="shared" si="11"/>
        <v>0</v>
      </c>
      <c r="N64" s="43">
        <f t="shared" si="11"/>
        <v>0</v>
      </c>
      <c r="O64" s="43">
        <f t="shared" si="11"/>
        <v>0</v>
      </c>
      <c r="P64" s="43">
        <f t="shared" si="11"/>
        <v>2</v>
      </c>
      <c r="Q64" s="43">
        <f t="shared" si="11"/>
        <v>0</v>
      </c>
      <c r="R64" s="43">
        <f t="shared" si="11"/>
        <v>0</v>
      </c>
      <c r="S64" s="43">
        <f t="shared" si="11"/>
        <v>0</v>
      </c>
      <c r="T64" s="43">
        <f t="shared" si="11"/>
        <v>0</v>
      </c>
      <c r="U64" s="43">
        <f t="shared" si="11"/>
        <v>0</v>
      </c>
      <c r="V64" s="44">
        <f>40-COUNTBLANK(V66:V105)</f>
        <v>5</v>
      </c>
    </row>
    <row r="65" spans="1:32" ht="13.5" customHeight="1" x14ac:dyDescent="0.25">
      <c r="A65" s="96" t="s">
        <v>29</v>
      </c>
      <c r="B65" s="49" t="s">
        <v>97</v>
      </c>
      <c r="C65" s="49" t="s">
        <v>98</v>
      </c>
      <c r="D65" s="49" t="s">
        <v>27</v>
      </c>
      <c r="E65" s="50"/>
      <c r="F65" s="49"/>
      <c r="G65" s="49"/>
      <c r="H65" s="49"/>
      <c r="I65" s="82"/>
      <c r="J65" s="49"/>
      <c r="K65" s="49"/>
      <c r="L65" s="49"/>
      <c r="M65" s="82"/>
      <c r="N65" s="49"/>
      <c r="O65" s="49"/>
      <c r="P65" s="49"/>
      <c r="Q65" s="82"/>
      <c r="R65" s="49"/>
      <c r="S65" s="49"/>
      <c r="T65" s="49"/>
      <c r="U65" s="49"/>
      <c r="V65" s="51"/>
      <c r="W65" s="33" t="s">
        <v>36</v>
      </c>
      <c r="X65" s="38" t="s">
        <v>31</v>
      </c>
      <c r="Y65" s="57" t="s">
        <v>33</v>
      </c>
      <c r="Z65" s="76" t="s">
        <v>35</v>
      </c>
      <c r="AA65" s="73" t="s">
        <v>41</v>
      </c>
      <c r="AB65" s="58" t="s">
        <v>32</v>
      </c>
      <c r="AC65" s="59" t="s">
        <v>34</v>
      </c>
      <c r="AD65" s="59" t="s">
        <v>37</v>
      </c>
      <c r="AE65" s="59" t="s">
        <v>38</v>
      </c>
      <c r="AF65" s="60" t="s">
        <v>39</v>
      </c>
    </row>
    <row r="66" spans="1:32" ht="13.5" customHeight="1" x14ac:dyDescent="0.25">
      <c r="A66" s="97">
        <f>A9</f>
        <v>1</v>
      </c>
      <c r="B66" s="5" t="s">
        <v>21</v>
      </c>
      <c r="C66" s="25" t="s">
        <v>21</v>
      </c>
      <c r="D66" s="84" t="s">
        <v>45</v>
      </c>
      <c r="E66" s="21">
        <f>COUNTA(F66:U66)</f>
        <v>1</v>
      </c>
      <c r="F66" s="6" t="s">
        <v>21</v>
      </c>
      <c r="G66" s="6"/>
      <c r="H66" s="6"/>
      <c r="I66" s="83"/>
      <c r="J66" s="6"/>
      <c r="K66" s="6"/>
      <c r="L66" s="6"/>
      <c r="M66" s="83"/>
      <c r="N66" s="6"/>
      <c r="O66" s="6"/>
      <c r="P66" s="6"/>
      <c r="Q66" s="83"/>
      <c r="R66" s="6"/>
      <c r="S66" s="6"/>
      <c r="T66" s="6"/>
      <c r="U66" s="6"/>
      <c r="V66" s="52" t="str">
        <f>IF(E66=0,"x","")</f>
        <v/>
      </c>
      <c r="W66" s="34">
        <f>_xlfn.XMATCH("x",F66:V66)</f>
        <v>1</v>
      </c>
      <c r="X66" s="9" t="str" cm="1">
        <f t="array" ref="X66">INDEX(F61:V61,W66)</f>
        <v>Gold</v>
      </c>
      <c r="Y66" s="9">
        <f>_xlfn.XLOOKUP(X66,refs!$A$2:$A$19,refs!$B$2:$B$19)</f>
        <v>13</v>
      </c>
      <c r="Z66" s="77" t="str" cm="1">
        <f t="array" ref="Z66">INDEX($F$3:$V$3,W66)</f>
        <v>#D1</v>
      </c>
      <c r="AA66" s="74">
        <f>IF(C66="x",Y66,_xlfn.XLOOKUP(C60,refs!$A$2:$A$19,refs!$B$2:$B$19))</f>
        <v>13</v>
      </c>
      <c r="AB66" s="61" t="str">
        <f>"/ch."&amp;A66&amp;".col="&amp;AA66&amp;",mute="&amp;IF(C66="x",0,1)&amp;","</f>
        <v>/ch.1.col=13,mute=0,</v>
      </c>
      <c r="AC66" s="62" t="str">
        <f>"/ch."&amp;A66&amp;".tags="&amp;Z66&amp;","</f>
        <v>/ch.1.tags=#D1,</v>
      </c>
      <c r="AD66" s="62" t="str">
        <f>"/ch."&amp;A66&amp;".name="&amp;LEFT(D66,16)&amp;","</f>
        <v>/ch.1.name=CAROLINE.ariel,</v>
      </c>
      <c r="AE66" s="62" t="str">
        <f>"/ch."&amp;A66&amp;".postins.on="&amp;IF(B66="x",1,IF(B66="y",1,0))&amp;",mode="&amp;IF(B66="x","AUTO_X",IF(B66="y","AUTO_Y","FX"))&amp;","</f>
        <v>/ch.1.postins.on=1,mode=AUTO_X,</v>
      </c>
      <c r="AF66" s="63" t="str">
        <f>"/dca."&amp;F$2&amp;".col="&amp;_xlfn.XLOOKUP(F$4,refs!$A$2:$A$19,refs!$B$2:$B$19)&amp;",name="&amp;LEFT(F$6,16)&amp;","</f>
        <v>/dca.1.col=7,name=LEADS,</v>
      </c>
    </row>
    <row r="67" spans="1:32" ht="13.5" customHeight="1" x14ac:dyDescent="0.25">
      <c r="A67" s="97">
        <f t="shared" ref="A67:A105" si="12">A10</f>
        <v>2</v>
      </c>
      <c r="B67" s="5" t="s">
        <v>21</v>
      </c>
      <c r="C67" s="25" t="s">
        <v>21</v>
      </c>
      <c r="D67" s="84" t="s">
        <v>46</v>
      </c>
      <c r="E67" s="21">
        <f t="shared" ref="E67:E105" si="13">COUNTA(F67:U67)</f>
        <v>1</v>
      </c>
      <c r="F67" s="6" t="s">
        <v>21</v>
      </c>
      <c r="G67" s="6"/>
      <c r="H67" s="6"/>
      <c r="I67" s="83"/>
      <c r="J67" s="6"/>
      <c r="K67" s="6"/>
      <c r="L67" s="6"/>
      <c r="M67" s="83"/>
      <c r="N67" s="6"/>
      <c r="O67" s="6"/>
      <c r="P67" s="6"/>
      <c r="Q67" s="83"/>
      <c r="R67" s="6"/>
      <c r="S67" s="6"/>
      <c r="T67" s="6"/>
      <c r="U67" s="6"/>
      <c r="V67" s="52" t="str">
        <f t="shared" ref="V67:V105" si="14">IF(E67=0,"x","")</f>
        <v/>
      </c>
      <c r="W67" s="34">
        <f t="shared" ref="W67:W105" si="15">_xlfn.XMATCH("x",F67:V67)</f>
        <v>1</v>
      </c>
      <c r="X67" s="9" t="str" cm="1">
        <f t="array" ref="X67">INDEX(F61:V61,W67)</f>
        <v>Gold</v>
      </c>
      <c r="Y67" s="9">
        <f>_xlfn.XLOOKUP(X67,refs!$A$2:$A$19,refs!$B$2:$B$19)</f>
        <v>13</v>
      </c>
      <c r="Z67" s="77" t="str" cm="1">
        <f t="array" ref="Z67">INDEX($F$3:$V$3,W67)</f>
        <v>#D1</v>
      </c>
      <c r="AA67" s="74">
        <f>IF(C67="x",Y67,_xlfn.XLOOKUP(C60,refs!$A$2:$A$19,refs!$B$2:$B$19))</f>
        <v>13</v>
      </c>
      <c r="AB67" s="61" t="str">
        <f t="shared" ref="AB67:AB105" si="16">"."&amp;A67&amp;".col="&amp;AA67&amp;",mute="&amp;IF(C67="x",0,1)&amp;","</f>
        <v>.2.col=13,mute=0,</v>
      </c>
      <c r="AC67" s="62" t="str">
        <f t="shared" ref="AC67:AC105" si="17">"."&amp;A67&amp;".tags="&amp;Z67&amp;","</f>
        <v>.2.tags=#D1,</v>
      </c>
      <c r="AD67" s="62" t="str">
        <f>"."&amp;A67&amp;".name="&amp;LEFT(D67,166)&amp;","</f>
        <v>.2.name=GABE.eric,</v>
      </c>
      <c r="AE67" s="62" t="str">
        <f t="shared" ref="AE67:AE85" si="18">".."&amp;A67&amp;".postins.on="&amp;IF(B67="x",1,IF(B67="y",1,0))&amp;",mode="&amp;IF(B67="x","AUTO_X",IF(B67="y","AUTO_Y","FX"))&amp;","</f>
        <v>..2.postins.on=1,mode=AUTO_X,</v>
      </c>
      <c r="AF67" s="63" t="str">
        <f>"."&amp;G$2&amp;".col="&amp;_xlfn.XLOOKUP(G$4,refs!$A$2:$A$19,refs!$B$2:$B$19)&amp;",name="&amp;LEFT(G$6,16)&amp;","</f>
        <v>.2.col=1,name=FlotJet,</v>
      </c>
    </row>
    <row r="68" spans="1:32" ht="13.5" customHeight="1" x14ac:dyDescent="0.25">
      <c r="A68" s="97">
        <f t="shared" si="12"/>
        <v>3</v>
      </c>
      <c r="B68" s="5" t="s">
        <v>21</v>
      </c>
      <c r="C68" s="25" t="s">
        <v>21</v>
      </c>
      <c r="D68" s="84" t="s">
        <v>47</v>
      </c>
      <c r="E68" s="21">
        <f t="shared" si="13"/>
        <v>1</v>
      </c>
      <c r="F68" s="6" t="s">
        <v>21</v>
      </c>
      <c r="G68" s="6"/>
      <c r="H68" s="6"/>
      <c r="I68" s="83"/>
      <c r="J68" s="6"/>
      <c r="K68" s="6"/>
      <c r="L68" s="6"/>
      <c r="M68" s="83"/>
      <c r="N68" s="6"/>
      <c r="O68" s="6"/>
      <c r="P68" s="6"/>
      <c r="Q68" s="83"/>
      <c r="R68" s="6"/>
      <c r="S68" s="6"/>
      <c r="T68" s="6"/>
      <c r="U68" s="6"/>
      <c r="V68" s="52" t="str">
        <f t="shared" si="14"/>
        <v/>
      </c>
      <c r="W68" s="34">
        <f t="shared" si="15"/>
        <v>1</v>
      </c>
      <c r="X68" s="9" t="str" cm="1">
        <f t="array" ref="X68">INDEX(F61:V61,W68)</f>
        <v>Gold</v>
      </c>
      <c r="Y68" s="9">
        <f>_xlfn.XLOOKUP(X68,refs!$A$2:$A$19,refs!$B$2:$B$19)</f>
        <v>13</v>
      </c>
      <c r="Z68" s="77" t="str" cm="1">
        <f t="array" ref="Z68">INDEX($F$3:$V$3,W68)</f>
        <v>#D1</v>
      </c>
      <c r="AA68" s="74">
        <f>IF(C68="x",Y68,_xlfn.XLOOKUP(C60,refs!$A$2:$A$19,refs!$B$2:$B$19))</f>
        <v>13</v>
      </c>
      <c r="AB68" s="61" t="str">
        <f t="shared" si="16"/>
        <v>.3.col=13,mute=0,</v>
      </c>
      <c r="AC68" s="62" t="str">
        <f t="shared" si="17"/>
        <v>.3.tags=#D1,</v>
      </c>
      <c r="AD68" s="62" t="str">
        <f t="shared" ref="AD68:AD85" si="19">"."&amp;A68&amp;".name="&amp;LEFT(D68,16)&amp;","</f>
        <v>.3.name=KEITH.grimsby,</v>
      </c>
      <c r="AE68" s="62" t="str">
        <f t="shared" si="18"/>
        <v>..3.postins.on=1,mode=AUTO_X,</v>
      </c>
      <c r="AF68" s="63" t="str">
        <f>"."&amp;H$2&amp;".col="&amp;_xlfn.XLOOKUP(H$4,refs!$A$2:$A$19,refs!$B$2:$B$19)&amp;",name="&amp;LEFT(H$6,16)&amp;","</f>
        <v>.3.col=2,name=Sail,</v>
      </c>
    </row>
    <row r="69" spans="1:32" ht="13.5" customHeight="1" x14ac:dyDescent="0.25">
      <c r="A69" s="97">
        <f t="shared" si="12"/>
        <v>4</v>
      </c>
      <c r="B69" s="5"/>
      <c r="C69" s="25" t="s">
        <v>21</v>
      </c>
      <c r="D69" s="25" t="s">
        <v>48</v>
      </c>
      <c r="E69" s="21">
        <f t="shared" si="13"/>
        <v>1</v>
      </c>
      <c r="F69" s="6" t="s">
        <v>21</v>
      </c>
      <c r="G69" s="6"/>
      <c r="H69" s="6"/>
      <c r="I69" s="83"/>
      <c r="J69" s="6"/>
      <c r="K69" s="6"/>
      <c r="L69" s="6"/>
      <c r="M69" s="83"/>
      <c r="N69" s="6"/>
      <c r="O69" s="6"/>
      <c r="P69" s="6"/>
      <c r="Q69" s="83"/>
      <c r="R69" s="6"/>
      <c r="S69" s="6"/>
      <c r="T69" s="6"/>
      <c r="U69" s="6"/>
      <c r="V69" s="52" t="str">
        <f t="shared" si="14"/>
        <v/>
      </c>
      <c r="W69" s="34">
        <f t="shared" si="15"/>
        <v>1</v>
      </c>
      <c r="X69" s="9" t="str" cm="1">
        <f t="array" ref="X69">INDEX(F61:V61,W69)</f>
        <v>Gold</v>
      </c>
      <c r="Y69" s="9">
        <f>_xlfn.XLOOKUP(X69,refs!$A$2:$A$19,refs!$B$2:$B$19)</f>
        <v>13</v>
      </c>
      <c r="Z69" s="77" t="str" cm="1">
        <f t="array" ref="Z69">INDEX($F$3:$V$3,W69)</f>
        <v>#D1</v>
      </c>
      <c r="AA69" s="74">
        <f>IF(C69="x",Y69,_xlfn.XLOOKUP(C60,refs!$A$2:$A$19,refs!$B$2:$B$19))</f>
        <v>13</v>
      </c>
      <c r="AB69" s="61" t="str">
        <f t="shared" si="16"/>
        <v>.4.col=13,mute=0,</v>
      </c>
      <c r="AC69" s="62" t="str">
        <f t="shared" si="17"/>
        <v>.4.tags=#D1,</v>
      </c>
      <c r="AD69" s="62" t="str">
        <f t="shared" si="19"/>
        <v>.4.name=CHADLEY.sebastia,</v>
      </c>
      <c r="AE69" s="62" t="str">
        <f t="shared" si="18"/>
        <v>..4.postins.on=0,mode=FX,</v>
      </c>
      <c r="AF69" s="63" t="str">
        <f>"."&amp;I$2&amp;".col="&amp;_xlfn.XLOOKUP(I$4,refs!$A$2:$A$19,refs!$B$2:$B$19)&amp;",name="&amp;LEFT(I$6,16)&amp;","</f>
        <v>.4.col=3,name=Sisters,</v>
      </c>
    </row>
    <row r="70" spans="1:32" ht="13.5" customHeight="1" x14ac:dyDescent="0.25">
      <c r="A70" s="97">
        <f t="shared" si="12"/>
        <v>5</v>
      </c>
      <c r="B70" s="5" t="s">
        <v>21</v>
      </c>
      <c r="C70" s="25" t="s">
        <v>21</v>
      </c>
      <c r="D70" s="85" t="s">
        <v>49</v>
      </c>
      <c r="E70" s="21">
        <f t="shared" si="13"/>
        <v>1</v>
      </c>
      <c r="F70" s="6" t="s">
        <v>21</v>
      </c>
      <c r="G70" s="6"/>
      <c r="H70" s="6"/>
      <c r="I70" s="83"/>
      <c r="J70" s="6"/>
      <c r="K70" s="6"/>
      <c r="L70" s="6"/>
      <c r="M70" s="83"/>
      <c r="N70" s="6"/>
      <c r="O70" s="6"/>
      <c r="P70" s="6"/>
      <c r="Q70" s="83"/>
      <c r="R70" s="6"/>
      <c r="S70" s="6"/>
      <c r="T70" s="6"/>
      <c r="U70" s="6"/>
      <c r="V70" s="52" t="str">
        <f t="shared" si="14"/>
        <v/>
      </c>
      <c r="W70" s="34">
        <f t="shared" si="15"/>
        <v>1</v>
      </c>
      <c r="X70" s="9" t="str" cm="1">
        <f t="array" ref="X70">INDEX(F61:V61,W70)</f>
        <v>Gold</v>
      </c>
      <c r="Y70" s="9">
        <f>_xlfn.XLOOKUP(X70,refs!$A$2:$A$19,refs!$B$2:$B$19)</f>
        <v>13</v>
      </c>
      <c r="Z70" s="77" t="str" cm="1">
        <f t="array" ref="Z70">INDEX($F$3:$V$3,W70)</f>
        <v>#D1</v>
      </c>
      <c r="AA70" s="74">
        <f>IF(C70="x",Y70,_xlfn.XLOOKUP(C60,refs!$A$2:$A$19,refs!$B$2:$B$19))</f>
        <v>13</v>
      </c>
      <c r="AB70" s="61" t="str">
        <f t="shared" si="16"/>
        <v>.5.col=13,mute=0,</v>
      </c>
      <c r="AC70" s="62" t="str">
        <f t="shared" si="17"/>
        <v>.5.tags=#D1,</v>
      </c>
      <c r="AD70" s="62" t="str">
        <f t="shared" si="19"/>
        <v>.5.name=ANNA.flounder,</v>
      </c>
      <c r="AE70" s="62" t="str">
        <f t="shared" si="18"/>
        <v>..5.postins.on=1,mode=AUTO_X,</v>
      </c>
      <c r="AF70" s="63" t="str">
        <f>"."&amp;J$2&amp;".col="&amp;_xlfn.XLOOKUP(J$4,refs!$A$2:$A$19,refs!$B$2:$B$19)&amp;",name="&amp;LEFT(J$6,16)&amp;","</f>
        <v>.5.col=4,name=Maids,</v>
      </c>
    </row>
    <row r="71" spans="1:32" ht="13.5" customHeight="1" x14ac:dyDescent="0.25">
      <c r="A71" s="97">
        <f t="shared" si="12"/>
        <v>6</v>
      </c>
      <c r="B71" s="5" t="s">
        <v>21</v>
      </c>
      <c r="C71" s="25" t="s">
        <v>21</v>
      </c>
      <c r="D71" s="86" t="s">
        <v>51</v>
      </c>
      <c r="E71" s="21">
        <f t="shared" si="13"/>
        <v>1</v>
      </c>
      <c r="F71" s="6" t="s">
        <v>21</v>
      </c>
      <c r="G71" s="6"/>
      <c r="H71" s="6"/>
      <c r="I71" s="83"/>
      <c r="J71" s="6"/>
      <c r="K71" s="6"/>
      <c r="L71" s="6"/>
      <c r="M71" s="83"/>
      <c r="N71" s="6"/>
      <c r="O71" s="6"/>
      <c r="P71" s="6"/>
      <c r="Q71" s="83"/>
      <c r="R71" s="6"/>
      <c r="S71" s="6"/>
      <c r="T71" s="6"/>
      <c r="U71" s="6"/>
      <c r="V71" s="52" t="str">
        <f t="shared" si="14"/>
        <v/>
      </c>
      <c r="W71" s="34">
        <f t="shared" si="15"/>
        <v>1</v>
      </c>
      <c r="X71" s="9" t="str" cm="1">
        <f t="array" ref="X71">INDEX(F61:V61,W71)</f>
        <v>Gold</v>
      </c>
      <c r="Y71" s="9">
        <f>_xlfn.XLOOKUP(X71,refs!$A$2:$A$19,refs!$B$2:$B$19)</f>
        <v>13</v>
      </c>
      <c r="Z71" s="77" t="str" cm="1">
        <f t="array" ref="Z71">INDEX($F$3:$V$3,W71)</f>
        <v>#D1</v>
      </c>
      <c r="AA71" s="74">
        <f>IF(C71="x",Y71,_xlfn.XLOOKUP(C60,refs!$A$2:$A$19,refs!$B$2:$B$19))</f>
        <v>13</v>
      </c>
      <c r="AB71" s="61" t="str">
        <f t="shared" si="16"/>
        <v>.6.col=13,mute=0,</v>
      </c>
      <c r="AC71" s="62" t="str">
        <f t="shared" si="17"/>
        <v>.6.tags=#D1,</v>
      </c>
      <c r="AD71" s="62" t="str">
        <f t="shared" si="19"/>
        <v>.6.name=MARGERY.ursula,</v>
      </c>
      <c r="AE71" s="62" t="str">
        <f t="shared" si="18"/>
        <v>..6.postins.on=1,mode=AUTO_X,</v>
      </c>
      <c r="AF71" s="63" t="str">
        <f>"."&amp;K$2&amp;".col="&amp;_xlfn.XLOOKUP(K$4,refs!$A$2:$A$19,refs!$B$2:$B$19)&amp;",name="&amp;LEFT(K$6,16)&amp;","</f>
        <v>.6.col=5,name=LeeWind,</v>
      </c>
    </row>
    <row r="72" spans="1:32" ht="13.5" customHeight="1" x14ac:dyDescent="0.25">
      <c r="A72" s="97">
        <f t="shared" si="12"/>
        <v>7</v>
      </c>
      <c r="B72" s="5" t="s">
        <v>21</v>
      </c>
      <c r="C72" s="25" t="s">
        <v>21</v>
      </c>
      <c r="D72" s="87" t="s">
        <v>52</v>
      </c>
      <c r="E72" s="21">
        <f t="shared" si="13"/>
        <v>1</v>
      </c>
      <c r="F72" s="6" t="s">
        <v>21</v>
      </c>
      <c r="G72" s="6"/>
      <c r="H72" s="6"/>
      <c r="I72" s="83"/>
      <c r="J72" s="6"/>
      <c r="K72" s="6"/>
      <c r="L72" s="6"/>
      <c r="M72" s="83"/>
      <c r="N72" s="6"/>
      <c r="O72" s="6"/>
      <c r="P72" s="6"/>
      <c r="Q72" s="83"/>
      <c r="R72" s="6"/>
      <c r="S72" s="6"/>
      <c r="T72" s="6"/>
      <c r="U72" s="6"/>
      <c r="V72" s="52" t="str">
        <f t="shared" si="14"/>
        <v/>
      </c>
      <c r="W72" s="34">
        <f t="shared" si="15"/>
        <v>1</v>
      </c>
      <c r="X72" s="9" t="str" cm="1">
        <f t="array" ref="X72">INDEX(F61:V61,W72)</f>
        <v>Gold</v>
      </c>
      <c r="Y72" s="9">
        <f>_xlfn.XLOOKUP(X72,refs!$A$2:$A$19,refs!$B$2:$B$19)</f>
        <v>13</v>
      </c>
      <c r="Z72" s="77" t="str" cm="1">
        <f t="array" ref="Z72">INDEX($F$3:$V$3,W72)</f>
        <v>#D1</v>
      </c>
      <c r="AA72" s="74">
        <f>IF(C72="x",Y72,_xlfn.XLOOKUP(C60,refs!$A$2:$A$19,refs!$B$2:$B$19))</f>
        <v>13</v>
      </c>
      <c r="AB72" s="61" t="str">
        <f t="shared" si="16"/>
        <v>.7.col=13,mute=0,</v>
      </c>
      <c r="AC72" s="62" t="str">
        <f t="shared" si="17"/>
        <v>.7.tags=#D1,</v>
      </c>
      <c r="AD72" s="62" t="str">
        <f t="shared" si="19"/>
        <v>.7.name=JOHN.triton,</v>
      </c>
      <c r="AE72" s="62" t="str">
        <f t="shared" si="18"/>
        <v>..7.postins.on=1,mode=AUTO_X,</v>
      </c>
      <c r="AF72" s="63" t="str">
        <f>"."&amp;L$2&amp;".col="&amp;_xlfn.XLOOKUP(L$4,refs!$A$2:$A$19,refs!$B$2:$B$19)&amp;",name="&amp;LEFT(L$6,16)&amp;","</f>
        <v>.7.col=6,name=PrRaJen,</v>
      </c>
    </row>
    <row r="73" spans="1:32" ht="13.5" customHeight="1" x14ac:dyDescent="0.25">
      <c r="A73" s="97">
        <f t="shared" si="12"/>
        <v>8</v>
      </c>
      <c r="B73" s="5" t="s">
        <v>21</v>
      </c>
      <c r="C73" s="25" t="s">
        <v>21</v>
      </c>
      <c r="D73" s="87" t="s">
        <v>53</v>
      </c>
      <c r="E73" s="21">
        <f t="shared" si="13"/>
        <v>1</v>
      </c>
      <c r="F73" s="6" t="s">
        <v>21</v>
      </c>
      <c r="G73" s="6"/>
      <c r="H73" s="6"/>
      <c r="I73" s="83"/>
      <c r="J73" s="6"/>
      <c r="K73" s="6"/>
      <c r="L73" s="6"/>
      <c r="M73" s="83"/>
      <c r="N73" s="6"/>
      <c r="O73" s="6"/>
      <c r="P73" s="6"/>
      <c r="Q73" s="83"/>
      <c r="R73" s="6"/>
      <c r="S73" s="6"/>
      <c r="T73" s="6"/>
      <c r="U73" s="6"/>
      <c r="V73" s="52" t="str">
        <f t="shared" si="14"/>
        <v/>
      </c>
      <c r="W73" s="34">
        <f t="shared" si="15"/>
        <v>1</v>
      </c>
      <c r="X73" s="9" t="str" cm="1">
        <f t="array" ref="X73">INDEX(F61:V61,W73)</f>
        <v>Gold</v>
      </c>
      <c r="Y73" s="9">
        <f>_xlfn.XLOOKUP(X73,refs!$A$2:$A$19,refs!$B$2:$B$19)</f>
        <v>13</v>
      </c>
      <c r="Z73" s="77" t="str" cm="1">
        <f t="array" ref="Z73">INDEX($F$3:$V$3,W73)</f>
        <v>#D1</v>
      </c>
      <c r="AA73" s="74">
        <f>IF(C73="x",Y73,_xlfn.XLOOKUP(C60,refs!$A$2:$A$19,refs!$B$2:$B$19))</f>
        <v>13</v>
      </c>
      <c r="AB73" s="61" t="str">
        <f t="shared" si="16"/>
        <v>.8.col=13,mute=0,</v>
      </c>
      <c r="AC73" s="62" t="str">
        <f t="shared" si="17"/>
        <v>.8.tags=#D1,</v>
      </c>
      <c r="AD73" s="62" t="str">
        <f t="shared" si="19"/>
        <v>.8.name=JUDAH.chefL,</v>
      </c>
      <c r="AE73" s="62" t="str">
        <f t="shared" si="18"/>
        <v>..8.postins.on=1,mode=AUTO_X,</v>
      </c>
      <c r="AF73" s="63" t="str">
        <f>"."&amp;M$2&amp;".col="&amp;_xlfn.XLOOKUP(M$4,refs!$A$2:$A$19,refs!$B$2:$B$19)&amp;",name="&amp;LEFT(M$6,16)&amp;","</f>
        <v>.8.col=7,name=.,</v>
      </c>
    </row>
    <row r="74" spans="1:32" ht="13.5" customHeight="1" x14ac:dyDescent="0.25">
      <c r="A74" s="97">
        <f t="shared" si="12"/>
        <v>9</v>
      </c>
      <c r="B74" s="5" t="s">
        <v>21</v>
      </c>
      <c r="C74" s="25" t="s">
        <v>21</v>
      </c>
      <c r="D74" s="87" t="s">
        <v>54</v>
      </c>
      <c r="E74" s="21">
        <f t="shared" si="13"/>
        <v>1</v>
      </c>
      <c r="F74" s="6" t="s">
        <v>21</v>
      </c>
      <c r="G74" s="6"/>
      <c r="H74" s="6"/>
      <c r="I74" s="83"/>
      <c r="J74" s="6"/>
      <c r="K74" s="6"/>
      <c r="L74" s="6"/>
      <c r="M74" s="83"/>
      <c r="N74" s="6"/>
      <c r="O74" s="6"/>
      <c r="P74" s="6"/>
      <c r="Q74" s="83"/>
      <c r="R74" s="6"/>
      <c r="S74" s="6"/>
      <c r="T74" s="6"/>
      <c r="U74" s="6"/>
      <c r="V74" s="52" t="str">
        <f t="shared" si="14"/>
        <v/>
      </c>
      <c r="W74" s="34">
        <f t="shared" si="15"/>
        <v>1</v>
      </c>
      <c r="X74" s="9" t="str" cm="1">
        <f t="array" ref="X74">INDEX(F61:V61,W74)</f>
        <v>Gold</v>
      </c>
      <c r="Y74" s="9">
        <f>_xlfn.XLOOKUP(X74,refs!$A$2:$A$19,refs!$B$2:$B$19)</f>
        <v>13</v>
      </c>
      <c r="Z74" s="77" t="str" cm="1">
        <f t="array" ref="Z74">INDEX($F$3:$V$3,W74)</f>
        <v>#D1</v>
      </c>
      <c r="AA74" s="74">
        <f>IF(C74="x",Y74,_xlfn.XLOOKUP(C60,refs!$A$2:$A$19,refs!$B$2:$B$19))</f>
        <v>13</v>
      </c>
      <c r="AB74" s="61" t="str">
        <f t="shared" si="16"/>
        <v>.9.col=13,mute=0,</v>
      </c>
      <c r="AC74" s="62" t="str">
        <f t="shared" si="17"/>
        <v>.9.tags=#D1,</v>
      </c>
      <c r="AD74" s="62" t="str">
        <f t="shared" si="19"/>
        <v>.9.name=BRIDGET.scuttle,</v>
      </c>
      <c r="AE74" s="62" t="str">
        <f t="shared" si="18"/>
        <v>..9.postins.on=1,mode=AUTO_X,</v>
      </c>
      <c r="AF74" s="63" t="str">
        <f>"."&amp;N$2&amp;".col="&amp;_xlfn.XLOOKUP(N$4,refs!$A$2:$A$19,refs!$B$2:$B$19)&amp;",name="&amp;LEFT(N$6,16)&amp;","</f>
        <v>.9.col=8,name=.,</v>
      </c>
    </row>
    <row r="75" spans="1:32" ht="13.5" customHeight="1" x14ac:dyDescent="0.25">
      <c r="A75" s="97">
        <f t="shared" si="12"/>
        <v>10</v>
      </c>
      <c r="B75" s="5" t="s">
        <v>21</v>
      </c>
      <c r="C75" s="25" t="s">
        <v>21</v>
      </c>
      <c r="D75" s="88" t="s">
        <v>55</v>
      </c>
      <c r="E75" s="21">
        <f t="shared" si="13"/>
        <v>1</v>
      </c>
      <c r="F75" s="6"/>
      <c r="G75" s="6" t="s">
        <v>21</v>
      </c>
      <c r="H75" s="6"/>
      <c r="I75" s="83"/>
      <c r="J75" s="6"/>
      <c r="K75" s="6"/>
      <c r="L75" s="6"/>
      <c r="M75" s="83"/>
      <c r="N75" s="6"/>
      <c r="O75" s="6"/>
      <c r="P75" s="6"/>
      <c r="Q75" s="83"/>
      <c r="R75" s="6"/>
      <c r="S75" s="6"/>
      <c r="T75" s="6"/>
      <c r="U75" s="6"/>
      <c r="V75" s="52" t="str">
        <f t="shared" si="14"/>
        <v/>
      </c>
      <c r="W75" s="34">
        <f t="shared" si="15"/>
        <v>2</v>
      </c>
      <c r="X75" s="9" t="str" cm="1">
        <f t="array" ref="X75">INDEX(F61:V61,W75)</f>
        <v>Coral</v>
      </c>
      <c r="Y75" s="9">
        <f>_xlfn.XLOOKUP(X75,refs!$A$2:$A$19,refs!$B$2:$B$19)</f>
        <v>10</v>
      </c>
      <c r="Z75" s="77" t="str" cm="1">
        <f t="array" ref="Z75">INDEX($F$3:$V$3,W75)</f>
        <v>#D2</v>
      </c>
      <c r="AA75" s="74">
        <f>IF(C75="x",Y75,_xlfn.XLOOKUP(C60,refs!$A$2:$A$19,refs!$B$2:$B$19))</f>
        <v>10</v>
      </c>
      <c r="AB75" s="61" t="str">
        <f t="shared" si="16"/>
        <v>.10.col=10,mute=0,</v>
      </c>
      <c r="AC75" s="62" t="str">
        <f t="shared" si="17"/>
        <v>.10.tags=#D2,</v>
      </c>
      <c r="AD75" s="62" t="str">
        <f t="shared" si="19"/>
        <v>.10.name=DYLAN.flotsam,</v>
      </c>
      <c r="AE75" s="62" t="str">
        <f t="shared" si="18"/>
        <v>..10.postins.on=1,mode=AUTO_X,</v>
      </c>
      <c r="AF75" s="63" t="str">
        <f>"."&amp;O$2&amp;".col="&amp;_xlfn.XLOOKUP(O$4,refs!$A$2:$A$19,refs!$B$2:$B$19)&amp;",name="&amp;LEFT(O$6,16)&amp;","</f>
        <v>.10.col=9,name=.,</v>
      </c>
    </row>
    <row r="76" spans="1:32" ht="13.5" customHeight="1" x14ac:dyDescent="0.25">
      <c r="A76" s="97">
        <f t="shared" si="12"/>
        <v>11</v>
      </c>
      <c r="B76" s="5" t="s">
        <v>21</v>
      </c>
      <c r="C76" s="25" t="s">
        <v>21</v>
      </c>
      <c r="D76" s="88" t="s">
        <v>56</v>
      </c>
      <c r="E76" s="21">
        <f t="shared" si="13"/>
        <v>1</v>
      </c>
      <c r="F76" s="6"/>
      <c r="G76" s="6" t="s">
        <v>21</v>
      </c>
      <c r="H76" s="6"/>
      <c r="I76" s="83"/>
      <c r="J76" s="6"/>
      <c r="K76" s="6"/>
      <c r="L76" s="6"/>
      <c r="M76" s="83"/>
      <c r="N76" s="6"/>
      <c r="O76" s="6"/>
      <c r="P76" s="6"/>
      <c r="Q76" s="83"/>
      <c r="R76" s="6"/>
      <c r="S76" s="6"/>
      <c r="T76" s="6"/>
      <c r="U76" s="6"/>
      <c r="V76" s="52" t="str">
        <f t="shared" si="14"/>
        <v/>
      </c>
      <c r="W76" s="34">
        <f t="shared" si="15"/>
        <v>2</v>
      </c>
      <c r="X76" s="9" t="str" cm="1">
        <f t="array" ref="X76">INDEX(F61:V61,W76)</f>
        <v>Coral</v>
      </c>
      <c r="Y76" s="9">
        <f>_xlfn.XLOOKUP(X76,refs!$A$2:$A$19,refs!$B$2:$B$19)</f>
        <v>10</v>
      </c>
      <c r="Z76" s="77" t="str" cm="1">
        <f t="array" ref="Z76">INDEX($F$3:$V$3,W76)</f>
        <v>#D2</v>
      </c>
      <c r="AA76" s="74">
        <f>IF(C76="x",Y76,_xlfn.XLOOKUP(C60,refs!$A$2:$A$19,refs!$B$2:$B$19))</f>
        <v>10</v>
      </c>
      <c r="AB76" s="61" t="str">
        <f t="shared" si="16"/>
        <v>.11.col=10,mute=0,</v>
      </c>
      <c r="AC76" s="62" t="str">
        <f t="shared" si="17"/>
        <v>.11.tags=#D2,</v>
      </c>
      <c r="AD76" s="62" t="str">
        <f t="shared" si="19"/>
        <v>.11.name=ELIJAH.jetsam,</v>
      </c>
      <c r="AE76" s="62" t="str">
        <f t="shared" si="18"/>
        <v>..11.postins.on=1,mode=AUTO_X,</v>
      </c>
      <c r="AF76" s="63" t="str">
        <f>"."&amp;P$2&amp;".col="&amp;_xlfn.XLOOKUP(P$4,refs!$A$2:$A$19,refs!$B$2:$B$19)&amp;",name="&amp;LEFT(P$6,16)&amp;","</f>
        <v>.11.col=10,name=OS,</v>
      </c>
    </row>
    <row r="77" spans="1:32" ht="13.5" customHeight="1" x14ac:dyDescent="0.25">
      <c r="A77" s="97">
        <f t="shared" si="12"/>
        <v>12</v>
      </c>
      <c r="B77" s="5" t="s">
        <v>21</v>
      </c>
      <c r="C77" s="25" t="s">
        <v>21</v>
      </c>
      <c r="D77" s="89" t="s">
        <v>50</v>
      </c>
      <c r="E77" s="21">
        <f t="shared" si="13"/>
        <v>1</v>
      </c>
      <c r="F77" s="6"/>
      <c r="G77" s="6"/>
      <c r="H77" s="6" t="s">
        <v>21</v>
      </c>
      <c r="I77" s="83"/>
      <c r="J77" s="6"/>
      <c r="K77" s="6"/>
      <c r="L77" s="6"/>
      <c r="M77" s="83"/>
      <c r="N77" s="6"/>
      <c r="O77" s="6"/>
      <c r="P77" s="6"/>
      <c r="Q77" s="83"/>
      <c r="R77" s="6"/>
      <c r="S77" s="6"/>
      <c r="T77" s="6"/>
      <c r="U77" s="6"/>
      <c r="V77" s="52" t="str">
        <f t="shared" si="14"/>
        <v/>
      </c>
      <c r="W77" s="34">
        <f t="shared" si="15"/>
        <v>3</v>
      </c>
      <c r="X77" s="9" t="str" cm="1">
        <f t="array" ref="X77">INDEX(F61:V61,W77)</f>
        <v>Brown</v>
      </c>
      <c r="Y77" s="9">
        <f>_xlfn.XLOOKUP(X77,refs!$A$2:$A$19,refs!$B$2:$B$19)</f>
        <v>8</v>
      </c>
      <c r="Z77" s="77" t="str" cm="1">
        <f t="array" ref="Z77">INDEX($F$3:$V$3,W77)</f>
        <v>#D3</v>
      </c>
      <c r="AA77" s="74">
        <f>IF(C77="x",Y77,_xlfn.XLOOKUP(C60,refs!$A$2:$A$19,refs!$B$2:$B$19))</f>
        <v>8</v>
      </c>
      <c r="AB77" s="61" t="str">
        <f t="shared" si="16"/>
        <v>.12.col=8,mute=0,</v>
      </c>
      <c r="AC77" s="62" t="str">
        <f t="shared" si="17"/>
        <v>.12.tags=#D3,</v>
      </c>
      <c r="AD77" s="62" t="str">
        <f t="shared" si="19"/>
        <v>.12.name=SYR.pilot,</v>
      </c>
      <c r="AE77" s="62" t="str">
        <f t="shared" si="18"/>
        <v>..12.postins.on=1,mode=AUTO_X,</v>
      </c>
      <c r="AF77" s="63" t="str">
        <f>"."&amp;Q$2&amp;".col="&amp;_xlfn.XLOOKUP(Q$4,refs!$A$2:$A$19,refs!$B$2:$B$19)&amp;",name="&amp;LEFT(Q$6,16)&amp;","</f>
        <v>.12.col=11,name=VOX+.VRB,</v>
      </c>
    </row>
    <row r="78" spans="1:32" ht="13.5" customHeight="1" x14ac:dyDescent="0.25">
      <c r="A78" s="97">
        <f t="shared" si="12"/>
        <v>13</v>
      </c>
      <c r="B78" s="5" t="s">
        <v>26</v>
      </c>
      <c r="C78" s="25" t="s">
        <v>21</v>
      </c>
      <c r="D78" s="90" t="s">
        <v>57</v>
      </c>
      <c r="E78" s="21">
        <f t="shared" si="13"/>
        <v>1</v>
      </c>
      <c r="F78" s="6"/>
      <c r="G78" s="6"/>
      <c r="H78" s="6"/>
      <c r="I78" s="83" t="s">
        <v>21</v>
      </c>
      <c r="J78" s="6"/>
      <c r="K78" s="6"/>
      <c r="L78" s="6"/>
      <c r="M78" s="83"/>
      <c r="N78" s="6"/>
      <c r="O78" s="6"/>
      <c r="P78" s="6"/>
      <c r="Q78" s="83"/>
      <c r="R78" s="6"/>
      <c r="S78" s="6"/>
      <c r="T78" s="6"/>
      <c r="U78" s="6"/>
      <c r="V78" s="52" t="str">
        <f t="shared" si="14"/>
        <v/>
      </c>
      <c r="W78" s="34">
        <f t="shared" si="15"/>
        <v>4</v>
      </c>
      <c r="X78" s="9" t="str" cm="1">
        <f t="array" ref="X78">INDEX(F61:V61,W78)</f>
        <v>Pink</v>
      </c>
      <c r="Y78" s="9">
        <f>_xlfn.XLOOKUP(X78,refs!$A$2:$A$19,refs!$B$2:$B$19)</f>
        <v>11</v>
      </c>
      <c r="Z78" s="77" t="str" cm="1">
        <f t="array" ref="Z78">INDEX($F$3:$V$3,W78)</f>
        <v>#D4</v>
      </c>
      <c r="AA78" s="74">
        <f>IF(C78="x",Y78,_xlfn.XLOOKUP(C60,refs!$A$2:$A$19,refs!$B$2:$B$19))</f>
        <v>11</v>
      </c>
      <c r="AB78" s="61" t="str">
        <f t="shared" si="16"/>
        <v>.13.col=11,mute=0,</v>
      </c>
      <c r="AC78" s="62" t="str">
        <f t="shared" si="17"/>
        <v>.13.tags=#D4,</v>
      </c>
      <c r="AD78" s="62" t="str">
        <f t="shared" si="19"/>
        <v>.13.name=KATELYN.aquata,</v>
      </c>
      <c r="AE78" s="62" t="str">
        <f t="shared" si="18"/>
        <v>..13.postins.on=1,mode=AUTO_Y,</v>
      </c>
      <c r="AF78" s="63" t="str">
        <f>"."&amp;R$2&amp;".col="&amp;_xlfn.XLOOKUP(R$4,refs!$A$2:$A$19,refs!$B$2:$B$19)&amp;",name="&amp;LEFT(R$6,16)&amp;","</f>
        <v>.13.col=12,name=VOX_.VRB,</v>
      </c>
    </row>
    <row r="79" spans="1:32" ht="13.5" customHeight="1" x14ac:dyDescent="0.25">
      <c r="A79" s="97">
        <f t="shared" si="12"/>
        <v>14</v>
      </c>
      <c r="B79" s="5" t="s">
        <v>26</v>
      </c>
      <c r="C79" s="25" t="s">
        <v>21</v>
      </c>
      <c r="D79" s="90" t="s">
        <v>58</v>
      </c>
      <c r="E79" s="21">
        <f t="shared" si="13"/>
        <v>1</v>
      </c>
      <c r="F79" s="6"/>
      <c r="G79" s="6"/>
      <c r="H79" s="6"/>
      <c r="I79" s="83" t="s">
        <v>21</v>
      </c>
      <c r="J79" s="6"/>
      <c r="K79" s="6"/>
      <c r="L79" s="6"/>
      <c r="M79" s="83"/>
      <c r="N79" s="6"/>
      <c r="O79" s="6"/>
      <c r="P79" s="6"/>
      <c r="Q79" s="83"/>
      <c r="R79" s="6"/>
      <c r="S79" s="6"/>
      <c r="T79" s="6"/>
      <c r="U79" s="6"/>
      <c r="V79" s="52" t="str">
        <f t="shared" si="14"/>
        <v/>
      </c>
      <c r="W79" s="34">
        <f t="shared" si="15"/>
        <v>4</v>
      </c>
      <c r="X79" s="9" t="str" cm="1">
        <f t="array" ref="X79">INDEX(F61:V61,W79)</f>
        <v>Pink</v>
      </c>
      <c r="Y79" s="9">
        <f>_xlfn.XLOOKUP(X79,refs!$A$2:$A$19,refs!$B$2:$B$19)</f>
        <v>11</v>
      </c>
      <c r="Z79" s="77" t="str" cm="1">
        <f t="array" ref="Z79">INDEX($F$3:$V$3,W79)</f>
        <v>#D4</v>
      </c>
      <c r="AA79" s="74">
        <f>IF(C79="x",Y79,_xlfn.XLOOKUP(C60,refs!$A$2:$A$19,refs!$B$2:$B$19))</f>
        <v>11</v>
      </c>
      <c r="AB79" s="61" t="str">
        <f t="shared" si="16"/>
        <v>.14.col=11,mute=0,</v>
      </c>
      <c r="AC79" s="62" t="str">
        <f t="shared" si="17"/>
        <v>.14.tags=#D4,</v>
      </c>
      <c r="AD79" s="62" t="str">
        <f t="shared" si="19"/>
        <v>.14.name=NADJA.adrina,</v>
      </c>
      <c r="AE79" s="62" t="str">
        <f t="shared" si="18"/>
        <v>..14.postins.on=1,mode=AUTO_Y,</v>
      </c>
      <c r="AF79" s="63" t="str">
        <f>"."&amp;S$2&amp;".col="&amp;_xlfn.XLOOKUP(S$4,refs!$A$2:$A$19,refs!$B$2:$B$19)&amp;",name="&amp;LEFT(S$6,16)&amp;","</f>
        <v>.14.col=13,name=INST+.VRB,</v>
      </c>
    </row>
    <row r="80" spans="1:32" ht="13.5" customHeight="1" x14ac:dyDescent="0.25">
      <c r="A80" s="97">
        <f t="shared" si="12"/>
        <v>15</v>
      </c>
      <c r="B80" s="5" t="s">
        <v>26</v>
      </c>
      <c r="C80" s="25" t="s">
        <v>21</v>
      </c>
      <c r="D80" s="90" t="s">
        <v>60</v>
      </c>
      <c r="E80" s="21">
        <f t="shared" si="13"/>
        <v>1</v>
      </c>
      <c r="F80" s="6"/>
      <c r="G80" s="6"/>
      <c r="H80" s="6"/>
      <c r="I80" s="83" t="s">
        <v>21</v>
      </c>
      <c r="J80" s="6"/>
      <c r="K80" s="6"/>
      <c r="L80" s="6"/>
      <c r="M80" s="83"/>
      <c r="N80" s="6"/>
      <c r="O80" s="6"/>
      <c r="P80" s="6"/>
      <c r="Q80" s="83"/>
      <c r="R80" s="6"/>
      <c r="S80" s="6"/>
      <c r="T80" s="6"/>
      <c r="U80" s="6"/>
      <c r="V80" s="52" t="str">
        <f t="shared" si="14"/>
        <v/>
      </c>
      <c r="W80" s="34">
        <f t="shared" si="15"/>
        <v>4</v>
      </c>
      <c r="X80" s="9" t="str" cm="1">
        <f t="array" ref="X80">INDEX(F61:V61,W80)</f>
        <v>Pink</v>
      </c>
      <c r="Y80" s="9">
        <f>_xlfn.XLOOKUP(X80,refs!$A$2:$A$19,refs!$B$2:$B$19)</f>
        <v>11</v>
      </c>
      <c r="Z80" s="77" t="str" cm="1">
        <f t="array" ref="Z80">INDEX($F$3:$V$3,W80)</f>
        <v>#D4</v>
      </c>
      <c r="AA80" s="74">
        <f>IF(C80="x",Y80,_xlfn.XLOOKUP(C60,refs!$A$2:$A$19,refs!$B$2:$B$19))</f>
        <v>11</v>
      </c>
      <c r="AB80" s="61" t="str">
        <f t="shared" si="16"/>
        <v>.15.col=11,mute=0,</v>
      </c>
      <c r="AC80" s="62" t="str">
        <f t="shared" si="17"/>
        <v>.15.tags=#D4,</v>
      </c>
      <c r="AD80" s="62" t="str">
        <f t="shared" si="19"/>
        <v>.15.name=RACHELP.arista,</v>
      </c>
      <c r="AE80" s="62" t="str">
        <f t="shared" si="18"/>
        <v>..15.postins.on=1,mode=AUTO_Y,</v>
      </c>
      <c r="AF80" s="63" t="str">
        <f>"."&amp;T$2&amp;".col="&amp;_xlfn.XLOOKUP(T$4,refs!$A$2:$A$19,refs!$B$2:$B$19)&amp;",name="&amp;LEFT(T$6,16)&amp;","</f>
        <v>.15.col=14,name=INST_.VRB,</v>
      </c>
    </row>
    <row r="81" spans="1:32" ht="13.5" customHeight="1" x14ac:dyDescent="0.25">
      <c r="A81" s="97">
        <f t="shared" si="12"/>
        <v>16</v>
      </c>
      <c r="B81" s="5" t="s">
        <v>26</v>
      </c>
      <c r="C81" s="25" t="s">
        <v>21</v>
      </c>
      <c r="D81" s="90" t="s">
        <v>59</v>
      </c>
      <c r="E81" s="21">
        <f t="shared" si="13"/>
        <v>1</v>
      </c>
      <c r="F81" s="6"/>
      <c r="G81" s="6"/>
      <c r="H81" s="6"/>
      <c r="I81" s="83" t="s">
        <v>21</v>
      </c>
      <c r="J81" s="6"/>
      <c r="K81" s="6"/>
      <c r="L81" s="6"/>
      <c r="M81" s="83"/>
      <c r="N81" s="6"/>
      <c r="O81" s="6"/>
      <c r="P81" s="6"/>
      <c r="Q81" s="83"/>
      <c r="R81" s="6"/>
      <c r="S81" s="6"/>
      <c r="T81" s="6"/>
      <c r="U81" s="6"/>
      <c r="V81" s="52" t="str">
        <f t="shared" si="14"/>
        <v/>
      </c>
      <c r="W81" s="34">
        <f t="shared" si="15"/>
        <v>4</v>
      </c>
      <c r="X81" s="9" t="str" cm="1">
        <f t="array" ref="X81">INDEX(F61:V61,W81)</f>
        <v>Pink</v>
      </c>
      <c r="Y81" s="9">
        <f>_xlfn.XLOOKUP(X81,refs!$A$2:$A$19,refs!$B$2:$B$19)</f>
        <v>11</v>
      </c>
      <c r="Z81" s="77" t="str" cm="1">
        <f t="array" ref="Z81">INDEX($F$3:$V$3,W81)</f>
        <v>#D4</v>
      </c>
      <c r="AA81" s="74">
        <f>IF(C81="x",Y81,_xlfn.XLOOKUP(C60,refs!$A$2:$A$19,refs!$B$2:$B$19))</f>
        <v>11</v>
      </c>
      <c r="AB81" s="61" t="str">
        <f t="shared" si="16"/>
        <v>.16.col=11,mute=0,</v>
      </c>
      <c r="AC81" s="62" t="str">
        <f t="shared" si="17"/>
        <v>.16.tags=#D4,</v>
      </c>
      <c r="AD81" s="62" t="str">
        <f t="shared" si="19"/>
        <v>.16.name=MAURA.atina,</v>
      </c>
      <c r="AE81" s="62" t="str">
        <f t="shared" si="18"/>
        <v>..16.postins.on=1,mode=AUTO_Y,</v>
      </c>
      <c r="AF81" s="63" t="str">
        <f>"."&amp;U$2&amp;".col="&amp;_xlfn.XLOOKUP(U$4,refs!$A$2:$A$19,refs!$B$2:$B$19)&amp;",name="&amp;LEFT(U$6,16)&amp;","</f>
        <v>.16.col=15,name=MAINS,</v>
      </c>
    </row>
    <row r="82" spans="1:32" ht="13.5" customHeight="1" x14ac:dyDescent="0.25">
      <c r="A82" s="97">
        <f t="shared" si="12"/>
        <v>17</v>
      </c>
      <c r="B82" s="5"/>
      <c r="C82" s="25" t="s">
        <v>21</v>
      </c>
      <c r="D82" s="90" t="s">
        <v>61</v>
      </c>
      <c r="E82" s="21">
        <f t="shared" si="13"/>
        <v>1</v>
      </c>
      <c r="F82" s="6"/>
      <c r="G82" s="6"/>
      <c r="H82" s="6"/>
      <c r="I82" s="83" t="s">
        <v>21</v>
      </c>
      <c r="J82" s="6"/>
      <c r="K82" s="6"/>
      <c r="L82" s="6"/>
      <c r="M82" s="83"/>
      <c r="N82" s="6"/>
      <c r="O82" s="6"/>
      <c r="P82" s="6"/>
      <c r="Q82" s="83"/>
      <c r="R82" s="6"/>
      <c r="S82" s="6"/>
      <c r="T82" s="6"/>
      <c r="U82" s="6"/>
      <c r="V82" s="52" t="str">
        <f t="shared" si="14"/>
        <v/>
      </c>
      <c r="W82" s="34">
        <f t="shared" si="15"/>
        <v>4</v>
      </c>
      <c r="X82" s="9" t="str" cm="1">
        <f t="array" ref="X82">INDEX(F61:V61,W82)</f>
        <v>Pink</v>
      </c>
      <c r="Y82" s="9">
        <f>_xlfn.XLOOKUP(X82,refs!$A$2:$A$19,refs!$B$2:$B$19)</f>
        <v>11</v>
      </c>
      <c r="Z82" s="77" t="str" cm="1">
        <f t="array" ref="Z82">INDEX($F$3:$V$3,W82)</f>
        <v>#D4</v>
      </c>
      <c r="AA82" s="74">
        <f>IF(C82="x",Y82,_xlfn.XLOOKUP(C60,refs!$A$2:$A$19,refs!$B$2:$B$19))</f>
        <v>11</v>
      </c>
      <c r="AB82" s="61" t="str">
        <f t="shared" si="16"/>
        <v>.17.col=11,mute=0,</v>
      </c>
      <c r="AC82" s="62" t="str">
        <f t="shared" si="17"/>
        <v>.17.tags=#D4,</v>
      </c>
      <c r="AD82" s="62" t="str">
        <f t="shared" si="19"/>
        <v>.17.name=JACKLYN.adella,</v>
      </c>
      <c r="AE82" s="62" t="str">
        <f t="shared" si="18"/>
        <v>..17.postins.on=0,mode=FX,</v>
      </c>
      <c r="AF82" s="63" t="str">
        <f>"/cfg.amix.x="&amp;IF(C61="x",1,0)&amp;",/cfg.amix.y="&amp;IF(C63="x",1,0)&amp;","</f>
        <v>/cfg.amix.x=1,/cfg.amix.y=1,</v>
      </c>
    </row>
    <row r="83" spans="1:32" ht="13.5" customHeight="1" x14ac:dyDescent="0.25">
      <c r="A83" s="97">
        <f t="shared" si="12"/>
        <v>18</v>
      </c>
      <c r="B83" s="5"/>
      <c r="C83" s="25" t="s">
        <v>21</v>
      </c>
      <c r="D83" s="90" t="s">
        <v>62</v>
      </c>
      <c r="E83" s="21">
        <f t="shared" si="13"/>
        <v>1</v>
      </c>
      <c r="F83" s="6"/>
      <c r="G83" s="6"/>
      <c r="H83" s="6"/>
      <c r="I83" s="83" t="s">
        <v>21</v>
      </c>
      <c r="J83" s="6"/>
      <c r="K83" s="6"/>
      <c r="L83" s="6"/>
      <c r="M83" s="83"/>
      <c r="N83" s="6"/>
      <c r="O83" s="6"/>
      <c r="P83" s="6"/>
      <c r="Q83" s="83"/>
      <c r="R83" s="6"/>
      <c r="S83" s="6"/>
      <c r="T83" s="6"/>
      <c r="U83" s="6"/>
      <c r="V83" s="52" t="str">
        <f t="shared" si="14"/>
        <v/>
      </c>
      <c r="W83" s="34">
        <f t="shared" si="15"/>
        <v>4</v>
      </c>
      <c r="X83" s="9" t="str" cm="1">
        <f t="array" ref="X83">INDEX(F61:V61,W83)</f>
        <v>Pink</v>
      </c>
      <c r="Y83" s="9">
        <f>_xlfn.XLOOKUP(X83,refs!$A$2:$A$19,refs!$B$2:$B$19)</f>
        <v>11</v>
      </c>
      <c r="Z83" s="77" t="str" cm="1">
        <f t="array" ref="Z83">INDEX($F$3:$V$3,W83)</f>
        <v>#D4</v>
      </c>
      <c r="AA83" s="74">
        <f>IF(C83="x",Y83,_xlfn.XLOOKUP(C60,refs!$A$2:$A$19,refs!$B$2:$B$19))</f>
        <v>11</v>
      </c>
      <c r="AB83" s="61" t="str">
        <f t="shared" si="16"/>
        <v>.18.col=11,mute=0,</v>
      </c>
      <c r="AC83" s="62" t="str">
        <f t="shared" si="17"/>
        <v>.18.tags=#D4,</v>
      </c>
      <c r="AD83" s="62" t="str">
        <f t="shared" si="19"/>
        <v>.18.name=SARAH.allana,</v>
      </c>
      <c r="AE83" s="62" t="str">
        <f t="shared" si="18"/>
        <v>..18.postins.on=0,mode=FX,</v>
      </c>
      <c r="AF83" s="63"/>
    </row>
    <row r="84" spans="1:32" ht="13.5" customHeight="1" x14ac:dyDescent="0.25">
      <c r="A84" s="97">
        <f t="shared" si="12"/>
        <v>19</v>
      </c>
      <c r="B84" s="5"/>
      <c r="C84" s="25" t="s">
        <v>21</v>
      </c>
      <c r="D84" s="91" t="s">
        <v>63</v>
      </c>
      <c r="E84" s="21">
        <f t="shared" si="13"/>
        <v>1</v>
      </c>
      <c r="F84" s="6"/>
      <c r="G84" s="6"/>
      <c r="H84" s="6"/>
      <c r="I84" s="83"/>
      <c r="J84" s="6" t="s">
        <v>21</v>
      </c>
      <c r="K84" s="6"/>
      <c r="L84" s="6"/>
      <c r="M84" s="83"/>
      <c r="N84" s="6"/>
      <c r="O84" s="6"/>
      <c r="P84" s="6"/>
      <c r="Q84" s="83"/>
      <c r="R84" s="6"/>
      <c r="S84" s="6"/>
      <c r="T84" s="6"/>
      <c r="U84" s="6"/>
      <c r="V84" s="52" t="str">
        <f t="shared" si="14"/>
        <v/>
      </c>
      <c r="W84" s="34">
        <f t="shared" si="15"/>
        <v>5</v>
      </c>
      <c r="X84" s="9" t="str" cm="1">
        <f t="array" ref="X84">INDEX(F61:V61,W84)</f>
        <v>Green</v>
      </c>
      <c r="Y84" s="9">
        <f>_xlfn.XLOOKUP(X84,refs!$A$2:$A$19,refs!$B$2:$B$19)</f>
        <v>5</v>
      </c>
      <c r="Z84" s="77" t="str" cm="1">
        <f t="array" ref="Z84">INDEX($F$3:$V$3,W84)</f>
        <v>#D5</v>
      </c>
      <c r="AA84" s="74">
        <f>IF(C84="x",Y84,_xlfn.XLOOKUP(C60,refs!$A$2:$A$19,refs!$B$2:$B$19))</f>
        <v>5</v>
      </c>
      <c r="AB84" s="61" t="str">
        <f t="shared" si="16"/>
        <v>.19.col=5,mute=0,</v>
      </c>
      <c r="AC84" s="62" t="str">
        <f t="shared" si="17"/>
        <v>.19.tags=#D5,</v>
      </c>
      <c r="AD84" s="62" t="str">
        <f t="shared" si="19"/>
        <v>.19.name=REBECCA.maid,</v>
      </c>
      <c r="AE84" s="62" t="str">
        <f t="shared" si="18"/>
        <v>..19.postins.on=0,mode=FX,</v>
      </c>
      <c r="AF84" s="63"/>
    </row>
    <row r="85" spans="1:32" ht="13.5" customHeight="1" x14ac:dyDescent="0.25">
      <c r="A85" s="97">
        <f t="shared" si="12"/>
        <v>20</v>
      </c>
      <c r="B85" s="5"/>
      <c r="C85" s="25" t="s">
        <v>21</v>
      </c>
      <c r="D85" s="91" t="s">
        <v>64</v>
      </c>
      <c r="E85" s="21">
        <f t="shared" si="13"/>
        <v>1</v>
      </c>
      <c r="F85" s="6"/>
      <c r="G85" s="6"/>
      <c r="H85" s="6"/>
      <c r="I85" s="83"/>
      <c r="J85" s="6" t="s">
        <v>21</v>
      </c>
      <c r="K85" s="6"/>
      <c r="L85" s="6"/>
      <c r="M85" s="83"/>
      <c r="N85" s="6"/>
      <c r="O85" s="6"/>
      <c r="P85" s="6"/>
      <c r="Q85" s="83"/>
      <c r="R85" s="6"/>
      <c r="S85" s="6"/>
      <c r="T85" s="6"/>
      <c r="U85" s="6"/>
      <c r="V85" s="52" t="str">
        <f t="shared" si="14"/>
        <v/>
      </c>
      <c r="W85" s="34">
        <f t="shared" si="15"/>
        <v>5</v>
      </c>
      <c r="X85" s="9" t="str" cm="1">
        <f t="array" ref="X85">INDEX(F61:V61,W85)</f>
        <v>Green</v>
      </c>
      <c r="Y85" s="9">
        <f>_xlfn.XLOOKUP(X85,refs!$A$2:$A$19,refs!$B$2:$B$19)</f>
        <v>5</v>
      </c>
      <c r="Z85" s="77" t="str" cm="1">
        <f t="array" ref="Z85">INDEX($F$3:$V$3,W85)</f>
        <v>#D5</v>
      </c>
      <c r="AA85" s="74">
        <f>IF(C85="x",Y85,_xlfn.XLOOKUP(C60,refs!$A$2:$A$19,refs!$B$2:$B$19))</f>
        <v>5</v>
      </c>
      <c r="AB85" s="61" t="str">
        <f t="shared" si="16"/>
        <v>.20.col=5,mute=0,</v>
      </c>
      <c r="AC85" s="62" t="str">
        <f t="shared" si="17"/>
        <v>.20.tags=#D5,</v>
      </c>
      <c r="AD85" s="62" t="str">
        <f t="shared" si="19"/>
        <v>.20.name=ANNIE.maid,</v>
      </c>
      <c r="AE85" s="62" t="str">
        <f t="shared" si="18"/>
        <v>..20.postins.on=0,mode=FX,</v>
      </c>
      <c r="AF85" s="63"/>
    </row>
    <row r="86" spans="1:32" ht="13.5" customHeight="1" x14ac:dyDescent="0.25">
      <c r="A86" s="97">
        <f t="shared" si="12"/>
        <v>21</v>
      </c>
      <c r="B86" s="5"/>
      <c r="C86" s="25" t="s">
        <v>21</v>
      </c>
      <c r="D86" s="91" t="s">
        <v>65</v>
      </c>
      <c r="E86" s="21">
        <f t="shared" si="13"/>
        <v>1</v>
      </c>
      <c r="F86" s="6"/>
      <c r="G86" s="6"/>
      <c r="H86" s="6"/>
      <c r="I86" s="83"/>
      <c r="J86" s="6" t="s">
        <v>21</v>
      </c>
      <c r="K86" s="6"/>
      <c r="L86" s="6"/>
      <c r="M86" s="83"/>
      <c r="N86" s="6"/>
      <c r="O86" s="6"/>
      <c r="P86" s="6"/>
      <c r="Q86" s="83"/>
      <c r="R86" s="6"/>
      <c r="S86" s="6"/>
      <c r="T86" s="6"/>
      <c r="U86" s="6"/>
      <c r="V86" s="52" t="str">
        <f t="shared" si="14"/>
        <v/>
      </c>
      <c r="W86" s="34">
        <f t="shared" si="15"/>
        <v>5</v>
      </c>
      <c r="X86" s="9" t="str" cm="1">
        <f t="array" ref="X86">INDEX(F61:V61,W86)</f>
        <v>Green</v>
      </c>
      <c r="Y86" s="9">
        <f>_xlfn.XLOOKUP(X86,refs!$A$2:$A$19,refs!$B$2:$B$19)</f>
        <v>5</v>
      </c>
      <c r="Z86" s="77" t="str" cm="1">
        <f t="array" ref="Z86">INDEX($F$3:$V$3,W86)</f>
        <v>#D5</v>
      </c>
      <c r="AA86" s="74">
        <f>IF(C86="x",Y86,_xlfn.XLOOKUP(C60,refs!$A$2:$A$19,refs!$B$2:$B$19))</f>
        <v>5</v>
      </c>
      <c r="AB86" s="61" t="str">
        <f t="shared" si="16"/>
        <v>.21.col=5,mute=0,</v>
      </c>
      <c r="AC86" s="62" t="str">
        <f t="shared" si="17"/>
        <v>.21.tags=#D5,</v>
      </c>
      <c r="AD86" s="62" t="str">
        <f>"/ch."&amp;A86&amp;".name="&amp;LEFT(D86,16)&amp;","</f>
        <v>/ch.21.name=KARA.maid,</v>
      </c>
      <c r="AE86" s="62" t="str">
        <f>"/ch."&amp;A86&amp;".postins.on="&amp;IF(B86="x",1,IF(B86="y",1,0))&amp;",mode="&amp;IF(B86="x","AUTO_X",IF(B86="y","AUTO_Y","FX"))&amp;","</f>
        <v>/ch.21.postins.on=0,mode=FX,</v>
      </c>
      <c r="AF86" s="63"/>
    </row>
    <row r="87" spans="1:32" ht="13.5" customHeight="1" x14ac:dyDescent="0.25">
      <c r="A87" s="97">
        <f t="shared" si="12"/>
        <v>22</v>
      </c>
      <c r="B87" s="5"/>
      <c r="C87" s="25" t="s">
        <v>21</v>
      </c>
      <c r="D87" s="92" t="s">
        <v>66</v>
      </c>
      <c r="E87" s="21">
        <f t="shared" si="13"/>
        <v>1</v>
      </c>
      <c r="F87" s="6"/>
      <c r="G87" s="6"/>
      <c r="H87" s="6"/>
      <c r="I87" s="83"/>
      <c r="J87" s="6"/>
      <c r="K87" s="6" t="s">
        <v>21</v>
      </c>
      <c r="L87" s="6"/>
      <c r="M87" s="83"/>
      <c r="N87" s="6"/>
      <c r="O87" s="6"/>
      <c r="P87" s="6"/>
      <c r="Q87" s="83"/>
      <c r="R87" s="6"/>
      <c r="S87" s="6"/>
      <c r="T87" s="6"/>
      <c r="U87" s="6"/>
      <c r="V87" s="52" t="str">
        <f t="shared" si="14"/>
        <v/>
      </c>
      <c r="W87" s="34">
        <f t="shared" si="15"/>
        <v>6</v>
      </c>
      <c r="X87" s="9" t="str" cm="1">
        <f t="array" ref="X87">INDEX(F61:V61,W87)</f>
        <v>Turquoise</v>
      </c>
      <c r="Y87" s="9">
        <f>_xlfn.XLOOKUP(X87,refs!$A$2:$A$19,refs!$B$2:$B$19)</f>
        <v>4</v>
      </c>
      <c r="Z87" s="77" t="str" cm="1">
        <f t="array" ref="Z87">INDEX($F$3:$V$3,W87)</f>
        <v>#D6</v>
      </c>
      <c r="AA87" s="74">
        <f>IF(C87="x",Y87,_xlfn.XLOOKUP(C60,refs!$A$2:$A$19,refs!$B$2:$B$19))</f>
        <v>4</v>
      </c>
      <c r="AB87" s="61" t="str">
        <f t="shared" si="16"/>
        <v>.22.col=4,mute=0,</v>
      </c>
      <c r="AC87" s="62" t="str">
        <f t="shared" si="17"/>
        <v>.22.tags=#D6,</v>
      </c>
      <c r="AD87" s="62" t="str">
        <f t="shared" ref="AD87:AD105" si="20">"."&amp;A87&amp;".name="&amp;LEFT(D87,16)&amp;","</f>
        <v>.22.name=GENEVIEVE.leewar,</v>
      </c>
      <c r="AE87" s="62" t="str">
        <f t="shared" ref="AE87:AE105" si="21">".."&amp;A87&amp;".postins.on="&amp;IF(B87="x",1,IF(B87="y",1,0))&amp;",mode="&amp;IF(B87="x","AUTO_X",IF(B87="y","AUTO_Y","FX"))&amp;","</f>
        <v>..22.postins.on=0,mode=FX,</v>
      </c>
      <c r="AF87" s="63"/>
    </row>
    <row r="88" spans="1:32" ht="13.5" customHeight="1" x14ac:dyDescent="0.25">
      <c r="A88" s="97">
        <f t="shared" si="12"/>
        <v>23</v>
      </c>
      <c r="B88" s="5"/>
      <c r="C88" s="25" t="s">
        <v>21</v>
      </c>
      <c r="D88" s="92" t="s">
        <v>67</v>
      </c>
      <c r="E88" s="21">
        <f t="shared" si="13"/>
        <v>1</v>
      </c>
      <c r="F88" s="6"/>
      <c r="G88" s="6"/>
      <c r="H88" s="6"/>
      <c r="I88" s="83"/>
      <c r="J88" s="6"/>
      <c r="K88" s="6" t="s">
        <v>21</v>
      </c>
      <c r="L88" s="6"/>
      <c r="M88" s="83"/>
      <c r="N88" s="6"/>
      <c r="O88" s="6"/>
      <c r="P88" s="6"/>
      <c r="Q88" s="83"/>
      <c r="R88" s="6"/>
      <c r="S88" s="6"/>
      <c r="T88" s="6"/>
      <c r="U88" s="6"/>
      <c r="V88" s="52" t="str">
        <f t="shared" si="14"/>
        <v/>
      </c>
      <c r="W88" s="34">
        <f t="shared" si="15"/>
        <v>6</v>
      </c>
      <c r="X88" s="9" t="str" cm="1">
        <f t="array" ref="X88">INDEX(F61:V61,W88)</f>
        <v>Turquoise</v>
      </c>
      <c r="Y88" s="9">
        <f>_xlfn.XLOOKUP(X88,refs!$A$2:$A$19,refs!$B$2:$B$19)</f>
        <v>4</v>
      </c>
      <c r="Z88" s="77" t="str" cm="1">
        <f t="array" ref="Z88">INDEX($F$3:$V$3,W88)</f>
        <v>#D6</v>
      </c>
      <c r="AA88" s="74">
        <f>IF(C88="x",Y88,_xlfn.XLOOKUP(C60,refs!$A$2:$A$19,refs!$B$2:$B$19))</f>
        <v>4</v>
      </c>
      <c r="AB88" s="61" t="str">
        <f t="shared" si="16"/>
        <v>.23.col=4,mute=0,</v>
      </c>
      <c r="AC88" s="62" t="str">
        <f t="shared" si="17"/>
        <v>.23.tags=#D6,</v>
      </c>
      <c r="AD88" s="62" t="str">
        <f t="shared" si="20"/>
        <v>.23.name=JOCELYN.windward,</v>
      </c>
      <c r="AE88" s="62" t="str">
        <f t="shared" si="21"/>
        <v>..23.postins.on=0,mode=FX,</v>
      </c>
      <c r="AF88" s="63"/>
    </row>
    <row r="89" spans="1:32" ht="13.5" customHeight="1" x14ac:dyDescent="0.25">
      <c r="A89" s="97">
        <f t="shared" si="12"/>
        <v>24</v>
      </c>
      <c r="B89" s="5"/>
      <c r="C89" s="25"/>
      <c r="D89" s="93" t="s">
        <v>68</v>
      </c>
      <c r="E89" s="21">
        <f t="shared" si="13"/>
        <v>0</v>
      </c>
      <c r="F89" s="6"/>
      <c r="G89" s="6"/>
      <c r="H89" s="6"/>
      <c r="I89" s="83"/>
      <c r="J89" s="6"/>
      <c r="K89" s="6"/>
      <c r="L89" s="6"/>
      <c r="M89" s="83"/>
      <c r="N89" s="6"/>
      <c r="O89" s="6"/>
      <c r="P89" s="6"/>
      <c r="Q89" s="83"/>
      <c r="R89" s="6"/>
      <c r="S89" s="6"/>
      <c r="T89" s="6"/>
      <c r="U89" s="6"/>
      <c r="V89" s="52" t="str">
        <f t="shared" si="14"/>
        <v>x</v>
      </c>
      <c r="W89" s="34">
        <f t="shared" si="15"/>
        <v>17</v>
      </c>
      <c r="X89" s="9" t="str" cm="1">
        <f t="array" ref="X89">INDEX(F61:V61,W89)</f>
        <v>White</v>
      </c>
      <c r="Y89" s="9">
        <f>_xlfn.XLOOKUP(X89,refs!$A$2:$A$19,refs!$B$2:$B$19)</f>
        <v>18</v>
      </c>
      <c r="Z89" s="77" t="str" cm="1">
        <f t="array" ref="Z89">INDEX($F$3:$V$3,W89)</f>
        <v/>
      </c>
      <c r="AA89" s="74">
        <f>IF(C89="x",Y89,_xlfn.XLOOKUP(C60,refs!$A$2:$A$19,refs!$B$2:$B$19))</f>
        <v>17</v>
      </c>
      <c r="AB89" s="61" t="str">
        <f t="shared" si="16"/>
        <v>.24.col=17,mute=1,</v>
      </c>
      <c r="AC89" s="62" t="str">
        <f t="shared" si="17"/>
        <v>.24.tags=,</v>
      </c>
      <c r="AD89" s="62" t="str">
        <f t="shared" si="20"/>
        <v>.24.name=.,</v>
      </c>
      <c r="AE89" s="62" t="str">
        <f t="shared" si="21"/>
        <v>..24.postins.on=0,mode=FX,</v>
      </c>
      <c r="AF89" s="63"/>
    </row>
    <row r="90" spans="1:32" ht="13.5" customHeight="1" x14ac:dyDescent="0.25">
      <c r="A90" s="97">
        <f t="shared" si="12"/>
        <v>25</v>
      </c>
      <c r="B90" s="5"/>
      <c r="C90" s="25" t="s">
        <v>21</v>
      </c>
      <c r="D90" s="89" t="s">
        <v>69</v>
      </c>
      <c r="E90" s="21">
        <f t="shared" si="13"/>
        <v>1</v>
      </c>
      <c r="F90" s="6"/>
      <c r="G90" s="6"/>
      <c r="H90" s="6" t="s">
        <v>21</v>
      </c>
      <c r="I90" s="83"/>
      <c r="J90" s="6"/>
      <c r="K90" s="6"/>
      <c r="L90" s="6"/>
      <c r="M90" s="83"/>
      <c r="N90" s="6"/>
      <c r="O90" s="6"/>
      <c r="P90" s="6"/>
      <c r="Q90" s="83"/>
      <c r="R90" s="6"/>
      <c r="S90" s="6"/>
      <c r="T90" s="6"/>
      <c r="U90" s="6"/>
      <c r="V90" s="52" t="str">
        <f t="shared" si="14"/>
        <v/>
      </c>
      <c r="W90" s="34">
        <f t="shared" si="15"/>
        <v>3</v>
      </c>
      <c r="X90" s="9" t="str" cm="1">
        <f t="array" ref="X90">INDEX(F61:V61,W90)</f>
        <v>Brown</v>
      </c>
      <c r="Y90" s="9">
        <f>_xlfn.XLOOKUP(X90,refs!$A$2:$A$19,refs!$B$2:$B$19)</f>
        <v>8</v>
      </c>
      <c r="Z90" s="77" t="str" cm="1">
        <f t="array" ref="Z90">INDEX($F$3:$V$3,W90)</f>
        <v>#D3</v>
      </c>
      <c r="AA90" s="74">
        <f>IF(C90="x",Y90,_xlfn.XLOOKUP(C60,refs!$A$2:$A$19,refs!$B$2:$B$19))</f>
        <v>8</v>
      </c>
      <c r="AB90" s="61" t="str">
        <f t="shared" si="16"/>
        <v>.25.col=8,mute=0,</v>
      </c>
      <c r="AC90" s="62" t="str">
        <f t="shared" si="17"/>
        <v>.25.tags=#D3,</v>
      </c>
      <c r="AD90" s="62" t="str">
        <f t="shared" si="20"/>
        <v>.25.name=ROBERT.sail,</v>
      </c>
      <c r="AE90" s="62" t="str">
        <f t="shared" si="21"/>
        <v>..25.postins.on=0,mode=FX,</v>
      </c>
      <c r="AF90" s="63"/>
    </row>
    <row r="91" spans="1:32" ht="13.5" customHeight="1" x14ac:dyDescent="0.25">
      <c r="A91" s="97">
        <f t="shared" si="12"/>
        <v>26</v>
      </c>
      <c r="B91" s="5"/>
      <c r="C91" s="25" t="s">
        <v>21</v>
      </c>
      <c r="D91" s="89" t="s">
        <v>70</v>
      </c>
      <c r="E91" s="21">
        <f t="shared" si="13"/>
        <v>1</v>
      </c>
      <c r="F91" s="6"/>
      <c r="G91" s="6"/>
      <c r="H91" s="6" t="s">
        <v>21</v>
      </c>
      <c r="I91" s="83"/>
      <c r="J91" s="6"/>
      <c r="K91" s="6"/>
      <c r="L91" s="6"/>
      <c r="M91" s="83"/>
      <c r="N91" s="6"/>
      <c r="O91" s="6"/>
      <c r="P91" s="6"/>
      <c r="Q91" s="83"/>
      <c r="R91" s="6"/>
      <c r="S91" s="6"/>
      <c r="T91" s="6"/>
      <c r="U91" s="6"/>
      <c r="V91" s="52" t="str">
        <f t="shared" si="14"/>
        <v/>
      </c>
      <c r="W91" s="34">
        <f t="shared" si="15"/>
        <v>3</v>
      </c>
      <c r="X91" s="9" t="str" cm="1">
        <f t="array" ref="X91">INDEX(F61:V61,W91)</f>
        <v>Brown</v>
      </c>
      <c r="Y91" s="9">
        <f>_xlfn.XLOOKUP(X91,refs!$A$2:$A$19,refs!$B$2:$B$19)</f>
        <v>8</v>
      </c>
      <c r="Z91" s="77" t="str" cm="1">
        <f t="array" ref="Z91">INDEX($F$3:$V$3,W91)</f>
        <v>#D3</v>
      </c>
      <c r="AA91" s="74">
        <f>IF(C91="x",Y91,_xlfn.XLOOKUP(C60,refs!$A$2:$A$19,refs!$B$2:$B$19))</f>
        <v>8</v>
      </c>
      <c r="AB91" s="61" t="str">
        <f t="shared" si="16"/>
        <v>.26.col=8,mute=0,</v>
      </c>
      <c r="AC91" s="62" t="str">
        <f t="shared" si="17"/>
        <v>.26.tags=#D3,</v>
      </c>
      <c r="AD91" s="62" t="str">
        <f t="shared" si="20"/>
        <v>.26.name=TOM.sail,</v>
      </c>
      <c r="AE91" s="62" t="str">
        <f t="shared" si="21"/>
        <v>..26.postins.on=0,mode=FX,</v>
      </c>
      <c r="AF91" s="63"/>
    </row>
    <row r="92" spans="1:32" ht="13.5" customHeight="1" x14ac:dyDescent="0.25">
      <c r="A92" s="97">
        <f t="shared" si="12"/>
        <v>27</v>
      </c>
      <c r="B92" s="5"/>
      <c r="C92" s="25" t="s">
        <v>21</v>
      </c>
      <c r="D92" s="89" t="s">
        <v>71</v>
      </c>
      <c r="E92" s="21">
        <f t="shared" si="13"/>
        <v>1</v>
      </c>
      <c r="F92" s="6"/>
      <c r="G92" s="6"/>
      <c r="H92" s="6" t="s">
        <v>21</v>
      </c>
      <c r="I92" s="83"/>
      <c r="J92" s="6"/>
      <c r="K92" s="6"/>
      <c r="L92" s="6"/>
      <c r="M92" s="83"/>
      <c r="N92" s="6"/>
      <c r="O92" s="6"/>
      <c r="P92" s="6"/>
      <c r="Q92" s="83"/>
      <c r="R92" s="6"/>
      <c r="S92" s="6"/>
      <c r="T92" s="6"/>
      <c r="U92" s="6"/>
      <c r="V92" s="52" t="str">
        <f t="shared" si="14"/>
        <v/>
      </c>
      <c r="W92" s="34">
        <f t="shared" si="15"/>
        <v>3</v>
      </c>
      <c r="X92" s="9" t="str" cm="1">
        <f t="array" ref="X92">INDEX(F61:V61,W92)</f>
        <v>Brown</v>
      </c>
      <c r="Y92" s="9">
        <f>_xlfn.XLOOKUP(X92,refs!$A$2:$A$19,refs!$B$2:$B$19)</f>
        <v>8</v>
      </c>
      <c r="Z92" s="77" t="str" cm="1">
        <f t="array" ref="Z92">INDEX($F$3:$V$3,W92)</f>
        <v>#D3</v>
      </c>
      <c r="AA92" s="74">
        <f>IF(C92="x",Y92,_xlfn.XLOOKUP(C60,refs!$A$2:$A$19,refs!$B$2:$B$19))</f>
        <v>8</v>
      </c>
      <c r="AB92" s="61" t="str">
        <f t="shared" si="16"/>
        <v>.27.col=8,mute=0,</v>
      </c>
      <c r="AC92" s="62" t="str">
        <f t="shared" si="17"/>
        <v>.27.tags=#D3,</v>
      </c>
      <c r="AD92" s="62" t="str">
        <f t="shared" si="20"/>
        <v>.27.name=BILL.sail,</v>
      </c>
      <c r="AE92" s="62" t="str">
        <f t="shared" si="21"/>
        <v>..27.postins.on=0,mode=FX,</v>
      </c>
      <c r="AF92" s="63"/>
    </row>
    <row r="93" spans="1:32" ht="13.5" customHeight="1" x14ac:dyDescent="0.25">
      <c r="A93" s="97">
        <f t="shared" si="12"/>
        <v>28</v>
      </c>
      <c r="B93" s="5"/>
      <c r="C93" s="25" t="s">
        <v>21</v>
      </c>
      <c r="D93" s="89" t="s">
        <v>72</v>
      </c>
      <c r="E93" s="21">
        <f t="shared" si="13"/>
        <v>1</v>
      </c>
      <c r="F93" s="6"/>
      <c r="G93" s="6"/>
      <c r="H93" s="6" t="s">
        <v>21</v>
      </c>
      <c r="I93" s="83"/>
      <c r="J93" s="6"/>
      <c r="K93" s="6"/>
      <c r="L93" s="6"/>
      <c r="M93" s="83"/>
      <c r="N93" s="6"/>
      <c r="O93" s="6"/>
      <c r="P93" s="6"/>
      <c r="Q93" s="83"/>
      <c r="R93" s="6"/>
      <c r="S93" s="6"/>
      <c r="T93" s="6"/>
      <c r="U93" s="6"/>
      <c r="V93" s="52" t="str">
        <f t="shared" si="14"/>
        <v/>
      </c>
      <c r="W93" s="34">
        <f t="shared" si="15"/>
        <v>3</v>
      </c>
      <c r="X93" s="9" t="str" cm="1">
        <f t="array" ref="X93">INDEX(F61:V61,W93)</f>
        <v>Brown</v>
      </c>
      <c r="Y93" s="9">
        <f>_xlfn.XLOOKUP(X93,refs!$A$2:$A$19,refs!$B$2:$B$19)</f>
        <v>8</v>
      </c>
      <c r="Z93" s="77" t="str" cm="1">
        <f t="array" ref="Z93">INDEX($F$3:$V$3,W93)</f>
        <v>#D3</v>
      </c>
      <c r="AA93" s="74">
        <f>IF(C93="x",Y93,_xlfn.XLOOKUP(C60,refs!$A$2:$A$19,refs!$B$2:$B$19))</f>
        <v>8</v>
      </c>
      <c r="AB93" s="61" t="str">
        <f t="shared" si="16"/>
        <v>.28.col=8,mute=0,</v>
      </c>
      <c r="AC93" s="62" t="str">
        <f t="shared" si="17"/>
        <v>.28.tags=#D3,</v>
      </c>
      <c r="AD93" s="62" t="str">
        <f t="shared" si="20"/>
        <v>.28.name=DENNIS.sail,</v>
      </c>
      <c r="AE93" s="62" t="str">
        <f t="shared" si="21"/>
        <v>..28.postins.on=0,mode=FX,</v>
      </c>
      <c r="AF93" s="63"/>
    </row>
    <row r="94" spans="1:32" ht="13.5" customHeight="1" x14ac:dyDescent="0.25">
      <c r="A94" s="97">
        <f t="shared" si="12"/>
        <v>29</v>
      </c>
      <c r="B94" s="5"/>
      <c r="C94" s="25" t="s">
        <v>21</v>
      </c>
      <c r="D94" s="89" t="s">
        <v>73</v>
      </c>
      <c r="E94" s="21">
        <f t="shared" si="13"/>
        <v>1</v>
      </c>
      <c r="F94" s="6"/>
      <c r="G94" s="6"/>
      <c r="H94" s="6" t="s">
        <v>21</v>
      </c>
      <c r="I94" s="83"/>
      <c r="J94" s="6"/>
      <c r="K94" s="6"/>
      <c r="L94" s="6"/>
      <c r="M94" s="83"/>
      <c r="N94" s="6"/>
      <c r="O94" s="6"/>
      <c r="P94" s="6"/>
      <c r="Q94" s="83"/>
      <c r="R94" s="6"/>
      <c r="S94" s="6"/>
      <c r="T94" s="6"/>
      <c r="U94" s="6"/>
      <c r="V94" s="52" t="str">
        <f t="shared" si="14"/>
        <v/>
      </c>
      <c r="W94" s="34">
        <f t="shared" si="15"/>
        <v>3</v>
      </c>
      <c r="X94" s="9" t="str" cm="1">
        <f t="array" ref="X94">INDEX(F61:V61,W94)</f>
        <v>Brown</v>
      </c>
      <c r="Y94" s="9">
        <f>_xlfn.XLOOKUP(X94,refs!$A$2:$A$19,refs!$B$2:$B$19)</f>
        <v>8</v>
      </c>
      <c r="Z94" s="77" t="str" cm="1">
        <f t="array" ref="Z94">INDEX($F$3:$V$3,W94)</f>
        <v>#D3</v>
      </c>
      <c r="AA94" s="74">
        <f>IF(C94="x",Y94,_xlfn.XLOOKUP(C60,refs!$A$2:$A$19,refs!$B$2:$B$19))</f>
        <v>8</v>
      </c>
      <c r="AB94" s="61" t="str">
        <f t="shared" si="16"/>
        <v>.29.col=8,mute=0,</v>
      </c>
      <c r="AC94" s="62" t="str">
        <f t="shared" si="17"/>
        <v>.29.tags=#D3,</v>
      </c>
      <c r="AD94" s="62" t="str">
        <f t="shared" si="20"/>
        <v>.29.name=JOSHUA.sail,</v>
      </c>
      <c r="AE94" s="62" t="str">
        <f t="shared" si="21"/>
        <v>..29.postins.on=0,mode=FX,</v>
      </c>
      <c r="AF94" s="63"/>
    </row>
    <row r="95" spans="1:32" ht="13.5" customHeight="1" x14ac:dyDescent="0.25">
      <c r="A95" s="97">
        <f t="shared" si="12"/>
        <v>30</v>
      </c>
      <c r="B95" s="5"/>
      <c r="C95" s="25" t="s">
        <v>21</v>
      </c>
      <c r="D95" s="89" t="s">
        <v>74</v>
      </c>
      <c r="E95" s="21">
        <f t="shared" si="13"/>
        <v>1</v>
      </c>
      <c r="F95" s="6"/>
      <c r="G95" s="6"/>
      <c r="H95" s="6" t="s">
        <v>21</v>
      </c>
      <c r="I95" s="83"/>
      <c r="J95" s="6"/>
      <c r="K95" s="6"/>
      <c r="L95" s="6"/>
      <c r="M95" s="83"/>
      <c r="N95" s="6"/>
      <c r="O95" s="6"/>
      <c r="P95" s="6"/>
      <c r="Q95" s="83"/>
      <c r="R95" s="6"/>
      <c r="S95" s="6"/>
      <c r="T95" s="6"/>
      <c r="U95" s="6"/>
      <c r="V95" s="52" t="str">
        <f t="shared" si="14"/>
        <v/>
      </c>
      <c r="W95" s="34">
        <f t="shared" si="15"/>
        <v>3</v>
      </c>
      <c r="X95" s="9" t="str" cm="1">
        <f t="array" ref="X95">INDEX(F61:V61,W95)</f>
        <v>Brown</v>
      </c>
      <c r="Y95" s="9">
        <f>_xlfn.XLOOKUP(X95,refs!$A$2:$A$19,refs!$B$2:$B$19)</f>
        <v>8</v>
      </c>
      <c r="Z95" s="77" t="str" cm="1">
        <f t="array" ref="Z95">INDEX($F$3:$V$3,W95)</f>
        <v>#D3</v>
      </c>
      <c r="AA95" s="74">
        <f>IF(C95="x",Y95,_xlfn.XLOOKUP(C60,refs!$A$2:$A$19,refs!$B$2:$B$19))</f>
        <v>8</v>
      </c>
      <c r="AB95" s="61" t="str">
        <f t="shared" si="16"/>
        <v>.30.col=8,mute=0,</v>
      </c>
      <c r="AC95" s="62" t="str">
        <f t="shared" si="17"/>
        <v>.30.tags=#D3,</v>
      </c>
      <c r="AD95" s="62" t="str">
        <f t="shared" si="20"/>
        <v>.30.name=RAY.sail,</v>
      </c>
      <c r="AE95" s="62" t="str">
        <f t="shared" si="21"/>
        <v>..30.postins.on=0,mode=FX,</v>
      </c>
      <c r="AF95" s="63"/>
    </row>
    <row r="96" spans="1:32" ht="13.5" customHeight="1" x14ac:dyDescent="0.25">
      <c r="A96" s="97">
        <f t="shared" si="12"/>
        <v>31</v>
      </c>
      <c r="B96" s="5"/>
      <c r="C96" s="25" t="s">
        <v>21</v>
      </c>
      <c r="D96" s="89" t="s">
        <v>75</v>
      </c>
      <c r="E96" s="21">
        <f t="shared" si="13"/>
        <v>1</v>
      </c>
      <c r="F96" s="6"/>
      <c r="G96" s="6"/>
      <c r="H96" s="6" t="s">
        <v>21</v>
      </c>
      <c r="I96" s="83"/>
      <c r="J96" s="6"/>
      <c r="K96" s="6"/>
      <c r="L96" s="6"/>
      <c r="M96" s="83"/>
      <c r="N96" s="6"/>
      <c r="O96" s="6"/>
      <c r="P96" s="6"/>
      <c r="Q96" s="83"/>
      <c r="R96" s="6"/>
      <c r="S96" s="6"/>
      <c r="T96" s="6"/>
      <c r="U96" s="6"/>
      <c r="V96" s="52" t="str">
        <f t="shared" si="14"/>
        <v/>
      </c>
      <c r="W96" s="34">
        <f t="shared" si="15"/>
        <v>3</v>
      </c>
      <c r="X96" s="9" t="str" cm="1">
        <f t="array" ref="X96">INDEX(F61:V61,W96)</f>
        <v>Brown</v>
      </c>
      <c r="Y96" s="9">
        <f>_xlfn.XLOOKUP(X96,refs!$A$2:$A$19,refs!$B$2:$B$19)</f>
        <v>8</v>
      </c>
      <c r="Z96" s="77" t="str" cm="1">
        <f t="array" ref="Z96">INDEX($F$3:$V$3,W96)</f>
        <v>#D3</v>
      </c>
      <c r="AA96" s="74">
        <f>IF(C96="x",Y96,_xlfn.XLOOKUP(C60,refs!$A$2:$A$19,refs!$B$2:$B$19))</f>
        <v>8</v>
      </c>
      <c r="AB96" s="61" t="str">
        <f t="shared" si="16"/>
        <v>.31.col=8,mute=0,</v>
      </c>
      <c r="AC96" s="62" t="str">
        <f t="shared" si="17"/>
        <v>.31.tags=#D3,</v>
      </c>
      <c r="AD96" s="62" t="str">
        <f t="shared" si="20"/>
        <v>.31.name=WILL.sail,</v>
      </c>
      <c r="AE96" s="62" t="str">
        <f t="shared" si="21"/>
        <v>..31.postins.on=0,mode=FX,</v>
      </c>
      <c r="AF96" s="63"/>
    </row>
    <row r="97" spans="1:32" ht="13.5" customHeight="1" x14ac:dyDescent="0.25">
      <c r="A97" s="97">
        <f t="shared" si="12"/>
        <v>32</v>
      </c>
      <c r="B97" s="5"/>
      <c r="C97" s="25" t="s">
        <v>21</v>
      </c>
      <c r="D97" s="87" t="s">
        <v>76</v>
      </c>
      <c r="E97" s="21">
        <f t="shared" si="13"/>
        <v>1</v>
      </c>
      <c r="F97" s="6"/>
      <c r="G97" s="6"/>
      <c r="H97" s="6"/>
      <c r="I97" s="83"/>
      <c r="J97" s="6"/>
      <c r="K97" s="6"/>
      <c r="L97" s="6" t="s">
        <v>21</v>
      </c>
      <c r="M97" s="83"/>
      <c r="N97" s="6"/>
      <c r="O97" s="6"/>
      <c r="P97" s="6"/>
      <c r="Q97" s="83"/>
      <c r="R97" s="6"/>
      <c r="S97" s="6"/>
      <c r="T97" s="6"/>
      <c r="U97" s="6"/>
      <c r="V97" s="52" t="str">
        <f t="shared" si="14"/>
        <v/>
      </c>
      <c r="W97" s="34">
        <f t="shared" si="15"/>
        <v>7</v>
      </c>
      <c r="X97" s="9" t="str" cm="1">
        <f t="array" ref="X97">INDEX(F61:V61,W97)</f>
        <v>BrightB</v>
      </c>
      <c r="Y97" s="9">
        <f>_xlfn.XLOOKUP(X97,refs!$A$2:$A$19,refs!$B$2:$B$19)</f>
        <v>2</v>
      </c>
      <c r="Z97" s="77" t="str" cm="1">
        <f t="array" ref="Z97">INDEX($F$3:$V$3,W97)</f>
        <v>#D7</v>
      </c>
      <c r="AA97" s="74">
        <f>IF(C97="x",Y97,_xlfn.XLOOKUP(C60,refs!$A$2:$A$19,refs!$B$2:$B$19))</f>
        <v>2</v>
      </c>
      <c r="AB97" s="61" t="str">
        <f t="shared" si="16"/>
        <v>.32.col=2,mute=0,</v>
      </c>
      <c r="AC97" s="62" t="str">
        <f t="shared" si="17"/>
        <v>.32.tags=#D7,</v>
      </c>
      <c r="AD97" s="62" t="str">
        <f t="shared" si="20"/>
        <v>.32.name=PRISCILLA,</v>
      </c>
      <c r="AE97" s="62" t="str">
        <f t="shared" si="21"/>
        <v>..32.postins.on=0,mode=FX,</v>
      </c>
      <c r="AF97" s="63"/>
    </row>
    <row r="98" spans="1:32" ht="13.5" customHeight="1" x14ac:dyDescent="0.25">
      <c r="A98" s="97">
        <f t="shared" si="12"/>
        <v>33</v>
      </c>
      <c r="B98" s="5"/>
      <c r="C98" s="25" t="s">
        <v>21</v>
      </c>
      <c r="D98" s="87" t="s">
        <v>77</v>
      </c>
      <c r="E98" s="21">
        <f t="shared" si="13"/>
        <v>1</v>
      </c>
      <c r="F98" s="6"/>
      <c r="G98" s="6"/>
      <c r="H98" s="6"/>
      <c r="I98" s="83"/>
      <c r="J98" s="6"/>
      <c r="K98" s="6"/>
      <c r="L98" s="6" t="s">
        <v>21</v>
      </c>
      <c r="M98" s="83"/>
      <c r="N98" s="6"/>
      <c r="O98" s="6"/>
      <c r="P98" s="6"/>
      <c r="Q98" s="83"/>
      <c r="R98" s="6"/>
      <c r="S98" s="6"/>
      <c r="T98" s="6"/>
      <c r="U98" s="6"/>
      <c r="V98" s="52" t="str">
        <f t="shared" si="14"/>
        <v/>
      </c>
      <c r="W98" s="34">
        <f t="shared" si="15"/>
        <v>7</v>
      </c>
      <c r="X98" s="9" t="str" cm="1">
        <f t="array" ref="X98">INDEX(F61:V61,W98)</f>
        <v>BrightB</v>
      </c>
      <c r="Y98" s="9">
        <f>_xlfn.XLOOKUP(X98,refs!$A$2:$A$19,refs!$B$2:$B$19)</f>
        <v>2</v>
      </c>
      <c r="Z98" s="77" t="str" cm="1">
        <f t="array" ref="Z98">INDEX($F$3:$V$3,W98)</f>
        <v>#D7</v>
      </c>
      <c r="AA98" s="74">
        <f>IF(C98="x",Y98,_xlfn.XLOOKUP(C60,refs!$A$2:$A$19,refs!$B$2:$B$19))</f>
        <v>2</v>
      </c>
      <c r="AB98" s="61" t="str">
        <f t="shared" si="16"/>
        <v>.33.col=2,mute=0,</v>
      </c>
      <c r="AC98" s="62" t="str">
        <f t="shared" si="17"/>
        <v>.33.tags=#D7,</v>
      </c>
      <c r="AD98" s="62" t="str">
        <f t="shared" si="20"/>
        <v>.33.name=RACHELS,</v>
      </c>
      <c r="AE98" s="62" t="str">
        <f t="shared" si="21"/>
        <v>..33.postins.on=0,mode=FX,</v>
      </c>
      <c r="AF98" s="63"/>
    </row>
    <row r="99" spans="1:32" ht="13.5" customHeight="1" x14ac:dyDescent="0.25">
      <c r="A99" s="97">
        <f t="shared" si="12"/>
        <v>34</v>
      </c>
      <c r="B99" s="5"/>
      <c r="C99" s="25" t="s">
        <v>21</v>
      </c>
      <c r="D99" s="87" t="s">
        <v>78</v>
      </c>
      <c r="E99" s="21">
        <f t="shared" si="13"/>
        <v>1</v>
      </c>
      <c r="F99" s="6"/>
      <c r="G99" s="6"/>
      <c r="H99" s="6"/>
      <c r="I99" s="83"/>
      <c r="J99" s="6"/>
      <c r="K99" s="6"/>
      <c r="L99" s="6" t="s">
        <v>21</v>
      </c>
      <c r="M99" s="83"/>
      <c r="N99" s="6"/>
      <c r="O99" s="6"/>
      <c r="P99" s="6"/>
      <c r="Q99" s="83"/>
      <c r="R99" s="6"/>
      <c r="S99" s="6"/>
      <c r="T99" s="6"/>
      <c r="U99" s="6"/>
      <c r="V99" s="52" t="str">
        <f t="shared" si="14"/>
        <v/>
      </c>
      <c r="W99" s="34">
        <f t="shared" si="15"/>
        <v>7</v>
      </c>
      <c r="X99" s="9" t="str" cm="1">
        <f t="array" ref="X99">INDEX(F61:V61,W99)</f>
        <v>BrightB</v>
      </c>
      <c r="Y99" s="9">
        <f>_xlfn.XLOOKUP(X99,refs!$A$2:$A$19,refs!$B$2:$B$19)</f>
        <v>2</v>
      </c>
      <c r="Z99" s="77" t="str" cm="1">
        <f t="array" ref="Z99">INDEX($F$3:$V$3,W99)</f>
        <v>#D7</v>
      </c>
      <c r="AA99" s="74">
        <f>IF(C99="x",Y99,_xlfn.XLOOKUP(C60,refs!$A$2:$A$19,refs!$B$2:$B$19))</f>
        <v>2</v>
      </c>
      <c r="AB99" s="61" t="str">
        <f t="shared" si="16"/>
        <v>.34.col=2,mute=0,</v>
      </c>
      <c r="AC99" s="62" t="str">
        <f t="shared" si="17"/>
        <v>.34.tags=#D7,</v>
      </c>
      <c r="AD99" s="62" t="str">
        <f t="shared" si="20"/>
        <v>.34.name=JEN,</v>
      </c>
      <c r="AE99" s="62" t="str">
        <f t="shared" si="21"/>
        <v>..34.postins.on=0,mode=FX,</v>
      </c>
      <c r="AF99" s="63"/>
    </row>
    <row r="100" spans="1:32" ht="13.5" customHeight="1" x14ac:dyDescent="0.25">
      <c r="A100" s="97">
        <f t="shared" si="12"/>
        <v>35</v>
      </c>
      <c r="B100" s="5"/>
      <c r="C100" s="25" t="s">
        <v>21</v>
      </c>
      <c r="D100" s="94" t="s">
        <v>79</v>
      </c>
      <c r="E100" s="21">
        <f t="shared" si="13"/>
        <v>1</v>
      </c>
      <c r="F100" s="6"/>
      <c r="G100" s="6"/>
      <c r="H100" s="6"/>
      <c r="I100" s="83"/>
      <c r="J100" s="6"/>
      <c r="K100" s="6"/>
      <c r="L100" s="6"/>
      <c r="M100" s="83"/>
      <c r="N100" s="6"/>
      <c r="O100" s="6"/>
      <c r="P100" s="6" t="s">
        <v>21</v>
      </c>
      <c r="Q100" s="83"/>
      <c r="R100" s="6"/>
      <c r="S100" s="6"/>
      <c r="T100" s="6"/>
      <c r="U100" s="6"/>
      <c r="V100" s="52" t="str">
        <f t="shared" si="14"/>
        <v/>
      </c>
      <c r="W100" s="34">
        <f t="shared" si="15"/>
        <v>11</v>
      </c>
      <c r="X100" s="9" t="str" cm="1">
        <f t="array" ref="X100">INDEX(F61:V61,W100)</f>
        <v>Violet</v>
      </c>
      <c r="Y100" s="9">
        <f>_xlfn.XLOOKUP(X100,refs!$A$2:$A$19,refs!$B$2:$B$19)</f>
        <v>3</v>
      </c>
      <c r="Z100" s="77" t="str" cm="1">
        <f t="array" ref="Z100">INDEX($F$3:$V$3,W100)</f>
        <v>#D11</v>
      </c>
      <c r="AA100" s="74">
        <f>IF(C100="x",Y100,_xlfn.XLOOKUP(C60,refs!$A$2:$A$19,refs!$B$2:$B$19))</f>
        <v>3</v>
      </c>
      <c r="AB100" s="61" t="str">
        <f t="shared" si="16"/>
        <v>.35.col=3,mute=0,</v>
      </c>
      <c r="AC100" s="62" t="str">
        <f t="shared" si="17"/>
        <v>.35.tags=#D11,</v>
      </c>
      <c r="AD100" s="62" t="str">
        <f t="shared" si="20"/>
        <v>.35.name=OS1,</v>
      </c>
      <c r="AE100" s="62" t="str">
        <f t="shared" si="21"/>
        <v>..35.postins.on=0,mode=FX,</v>
      </c>
      <c r="AF100" s="63"/>
    </row>
    <row r="101" spans="1:32" ht="13.5" customHeight="1" x14ac:dyDescent="0.25">
      <c r="A101" s="97">
        <f t="shared" si="12"/>
        <v>36</v>
      </c>
      <c r="B101" s="5"/>
      <c r="C101" s="25" t="s">
        <v>21</v>
      </c>
      <c r="D101" s="94" t="s">
        <v>80</v>
      </c>
      <c r="E101" s="21">
        <f t="shared" si="13"/>
        <v>1</v>
      </c>
      <c r="F101" s="6"/>
      <c r="G101" s="6"/>
      <c r="H101" s="6"/>
      <c r="I101" s="83"/>
      <c r="J101" s="6"/>
      <c r="K101" s="6"/>
      <c r="L101" s="6"/>
      <c r="M101" s="83"/>
      <c r="N101" s="6"/>
      <c r="O101" s="6"/>
      <c r="P101" s="6" t="s">
        <v>21</v>
      </c>
      <c r="Q101" s="83"/>
      <c r="R101" s="6"/>
      <c r="S101" s="6"/>
      <c r="T101" s="6"/>
      <c r="U101" s="6"/>
      <c r="V101" s="52" t="str">
        <f t="shared" si="14"/>
        <v/>
      </c>
      <c r="W101" s="34">
        <f t="shared" si="15"/>
        <v>11</v>
      </c>
      <c r="X101" s="9" t="str" cm="1">
        <f t="array" ref="X101">INDEX(F61:V61,W101)</f>
        <v>Violet</v>
      </c>
      <c r="Y101" s="9">
        <f>_xlfn.XLOOKUP(X101,refs!$A$2:$A$19,refs!$B$2:$B$19)</f>
        <v>3</v>
      </c>
      <c r="Z101" s="77" t="str" cm="1">
        <f t="array" ref="Z101">INDEX($F$3:$V$3,W101)</f>
        <v>#D11</v>
      </c>
      <c r="AA101" s="74">
        <f>IF(C101="x",Y101,_xlfn.XLOOKUP(C60,refs!$A$2:$A$19,refs!$B$2:$B$19))</f>
        <v>3</v>
      </c>
      <c r="AB101" s="61" t="str">
        <f t="shared" si="16"/>
        <v>.36.col=3,mute=0,</v>
      </c>
      <c r="AC101" s="62" t="str">
        <f t="shared" si="17"/>
        <v>.36.tags=#D11,</v>
      </c>
      <c r="AD101" s="62" t="str">
        <f t="shared" si="20"/>
        <v>.36.name=OS2,</v>
      </c>
      <c r="AE101" s="62" t="str">
        <f t="shared" si="21"/>
        <v>..36.postins.on=0,mode=FX,</v>
      </c>
      <c r="AF101" s="63"/>
    </row>
    <row r="102" spans="1:32" ht="13.5" customHeight="1" x14ac:dyDescent="0.25">
      <c r="A102" s="97">
        <f t="shared" si="12"/>
        <v>37</v>
      </c>
      <c r="B102" s="5"/>
      <c r="C102" s="25"/>
      <c r="D102" s="93" t="s">
        <v>81</v>
      </c>
      <c r="E102" s="21">
        <f t="shared" si="13"/>
        <v>0</v>
      </c>
      <c r="F102" s="6"/>
      <c r="G102" s="6"/>
      <c r="H102" s="6"/>
      <c r="I102" s="83"/>
      <c r="J102" s="6"/>
      <c r="K102" s="6"/>
      <c r="L102" s="6"/>
      <c r="M102" s="83"/>
      <c r="N102" s="6"/>
      <c r="O102" s="6"/>
      <c r="P102" s="6"/>
      <c r="Q102" s="83"/>
      <c r="R102" s="6"/>
      <c r="S102" s="6"/>
      <c r="T102" s="6"/>
      <c r="U102" s="6"/>
      <c r="V102" s="52" t="str">
        <f t="shared" si="14"/>
        <v>x</v>
      </c>
      <c r="W102" s="34">
        <f t="shared" si="15"/>
        <v>17</v>
      </c>
      <c r="X102" s="9" t="str" cm="1">
        <f t="array" ref="X102">INDEX(F61:V61,W102)</f>
        <v>White</v>
      </c>
      <c r="Y102" s="9">
        <f>_xlfn.XLOOKUP(X102,refs!$A$2:$A$19,refs!$B$2:$B$19)</f>
        <v>18</v>
      </c>
      <c r="Z102" s="77" t="str" cm="1">
        <f t="array" ref="Z102">INDEX($F$3:$V$3,W102)</f>
        <v/>
      </c>
      <c r="AA102" s="74">
        <f>IF(C102="x",Y102,_xlfn.XLOOKUP(C60,refs!$A$2:$A$19,refs!$B$2:$B$19))</f>
        <v>17</v>
      </c>
      <c r="AB102" s="61" t="str">
        <f t="shared" si="16"/>
        <v>.37.col=17,mute=1,</v>
      </c>
      <c r="AC102" s="62" t="str">
        <f t="shared" si="17"/>
        <v>.37.tags=,</v>
      </c>
      <c r="AD102" s="62" t="str">
        <f t="shared" si="20"/>
        <v>.37.name=unusedos,</v>
      </c>
      <c r="AE102" s="62" t="str">
        <f t="shared" si="21"/>
        <v>..37.postins.on=0,mode=FX,</v>
      </c>
      <c r="AF102" s="63"/>
    </row>
    <row r="103" spans="1:32" ht="13.5" customHeight="1" x14ac:dyDescent="0.25">
      <c r="A103" s="97">
        <f t="shared" si="12"/>
        <v>38</v>
      </c>
      <c r="B103" s="5"/>
      <c r="C103" s="25" t="s">
        <v>21</v>
      </c>
      <c r="D103" s="95" t="s">
        <v>83</v>
      </c>
      <c r="E103" s="21">
        <f t="shared" si="13"/>
        <v>0</v>
      </c>
      <c r="F103" s="6"/>
      <c r="G103" s="6"/>
      <c r="H103" s="6"/>
      <c r="I103" s="83"/>
      <c r="J103" s="6"/>
      <c r="K103" s="6"/>
      <c r="L103" s="6"/>
      <c r="M103" s="83"/>
      <c r="N103" s="6"/>
      <c r="O103" s="6"/>
      <c r="P103" s="6"/>
      <c r="Q103" s="83"/>
      <c r="R103" s="6"/>
      <c r="S103" s="6"/>
      <c r="T103" s="6"/>
      <c r="U103" s="6"/>
      <c r="V103" s="52" t="str">
        <f t="shared" si="14"/>
        <v>x</v>
      </c>
      <c r="W103" s="34">
        <f t="shared" si="15"/>
        <v>17</v>
      </c>
      <c r="X103" s="9" t="str" cm="1">
        <f t="array" ref="X103">INDEX(F61:V61,W103)</f>
        <v>White</v>
      </c>
      <c r="Y103" s="9">
        <f>_xlfn.XLOOKUP(X103,refs!$A$2:$A$19,refs!$B$2:$B$19)</f>
        <v>18</v>
      </c>
      <c r="Z103" s="77" t="str" cm="1">
        <f t="array" ref="Z103">INDEX($F$3:$V$3,W103)</f>
        <v/>
      </c>
      <c r="AA103" s="74">
        <f>IF(C103="x",Y103,_xlfn.XLOOKUP(C60,refs!$A$2:$A$19,refs!$B$2:$B$19))</f>
        <v>18</v>
      </c>
      <c r="AB103" s="61" t="str">
        <f t="shared" si="16"/>
        <v>.38.col=18,mute=0,</v>
      </c>
      <c r="AC103" s="62" t="str">
        <f t="shared" si="17"/>
        <v>.38.tags=,</v>
      </c>
      <c r="AD103" s="62" t="str">
        <f t="shared" si="20"/>
        <v>.38.name=VOX.fr.ext,</v>
      </c>
      <c r="AE103" s="62" t="str">
        <f t="shared" si="21"/>
        <v>..38.postins.on=0,mode=FX,</v>
      </c>
      <c r="AF103" s="63"/>
    </row>
    <row r="104" spans="1:32" ht="13.5" customHeight="1" x14ac:dyDescent="0.25">
      <c r="A104" s="97">
        <f t="shared" si="12"/>
        <v>39</v>
      </c>
      <c r="B104" s="5"/>
      <c r="C104" s="25" t="s">
        <v>21</v>
      </c>
      <c r="D104" s="95" t="s">
        <v>82</v>
      </c>
      <c r="E104" s="21">
        <f t="shared" si="13"/>
        <v>0</v>
      </c>
      <c r="F104" s="6"/>
      <c r="G104" s="6"/>
      <c r="H104" s="6"/>
      <c r="I104" s="83"/>
      <c r="J104" s="6"/>
      <c r="K104" s="6"/>
      <c r="L104" s="6"/>
      <c r="M104" s="83"/>
      <c r="N104" s="6"/>
      <c r="O104" s="6"/>
      <c r="P104" s="6"/>
      <c r="Q104" s="83"/>
      <c r="R104" s="6"/>
      <c r="S104" s="6"/>
      <c r="T104" s="6"/>
      <c r="U104" s="6"/>
      <c r="V104" s="52" t="str">
        <f t="shared" si="14"/>
        <v>x</v>
      </c>
      <c r="W104" s="34">
        <f t="shared" si="15"/>
        <v>17</v>
      </c>
      <c r="X104" s="9" t="str" cm="1">
        <f t="array" ref="X104">INDEX(F61:V61,W104)</f>
        <v>White</v>
      </c>
      <c r="Y104" s="9">
        <f>_xlfn.XLOOKUP(X104,refs!$A$2:$A$19,refs!$B$2:$B$19)</f>
        <v>18</v>
      </c>
      <c r="Z104" s="77" t="str" cm="1">
        <f t="array" ref="Z104">INDEX($F$3:$V$3,W104)</f>
        <v/>
      </c>
      <c r="AA104" s="74">
        <f>IF(C104="x",Y104,_xlfn.XLOOKUP(C60,refs!$A$2:$A$19,refs!$B$2:$B$19))</f>
        <v>18</v>
      </c>
      <c r="AB104" s="61" t="str">
        <f t="shared" si="16"/>
        <v>.39.col=18,mute=0,</v>
      </c>
      <c r="AC104" s="62" t="str">
        <f t="shared" si="17"/>
        <v>.39.tags=,</v>
      </c>
      <c r="AD104" s="62" t="str">
        <f t="shared" si="20"/>
        <v>.39.name=INS.fr.ext,</v>
      </c>
      <c r="AE104" s="62" t="str">
        <f t="shared" si="21"/>
        <v>..39.postins.on=0,mode=FX,</v>
      </c>
      <c r="AF104" s="63"/>
    </row>
    <row r="105" spans="1:32" ht="13.5" customHeight="1" thickBot="1" x14ac:dyDescent="0.3">
      <c r="A105" s="97">
        <f t="shared" si="12"/>
        <v>40</v>
      </c>
      <c r="B105" s="5"/>
      <c r="C105" s="25" t="s">
        <v>21</v>
      </c>
      <c r="D105" s="95" t="s">
        <v>84</v>
      </c>
      <c r="E105" s="21">
        <f t="shared" si="13"/>
        <v>0</v>
      </c>
      <c r="F105" s="6"/>
      <c r="G105" s="6"/>
      <c r="H105" s="6"/>
      <c r="I105" s="83"/>
      <c r="J105" s="6"/>
      <c r="K105" s="6"/>
      <c r="L105" s="6"/>
      <c r="M105" s="83"/>
      <c r="N105" s="6"/>
      <c r="O105" s="6"/>
      <c r="P105" s="6"/>
      <c r="Q105" s="83"/>
      <c r="R105" s="6"/>
      <c r="S105" s="6"/>
      <c r="T105" s="6"/>
      <c r="U105" s="6"/>
      <c r="V105" s="52" t="str">
        <f t="shared" si="14"/>
        <v>x</v>
      </c>
      <c r="W105" s="35">
        <f t="shared" si="15"/>
        <v>17</v>
      </c>
      <c r="X105" s="39" t="str" cm="1">
        <f t="array" ref="X105">INDEX(F61:V61,W105)</f>
        <v>White</v>
      </c>
      <c r="Y105" s="39">
        <f>_xlfn.XLOOKUP(X105,refs!$A$2:$A$19,refs!$B$2:$B$19)</f>
        <v>18</v>
      </c>
      <c r="Z105" s="78" t="str" cm="1">
        <f t="array" ref="Z105">INDEX($F$3:$V$3,W105)</f>
        <v/>
      </c>
      <c r="AA105" s="75">
        <f>IF(C105="x",Y105,_xlfn.XLOOKUP(C60,refs!$A$2:$A$19,refs!$B$2:$B$19))</f>
        <v>18</v>
      </c>
      <c r="AB105" s="64" t="str">
        <f t="shared" si="16"/>
        <v>.40.col=18,mute=0,</v>
      </c>
      <c r="AC105" s="65" t="str">
        <f t="shared" si="17"/>
        <v>.40.tags=,</v>
      </c>
      <c r="AD105" s="62" t="str">
        <f t="shared" si="20"/>
        <v>.40.name=pass.fr.w2,</v>
      </c>
      <c r="AE105" s="65" t="str">
        <f t="shared" si="21"/>
        <v>..40.postins.on=0,mode=FX,</v>
      </c>
      <c r="AF105" s="66"/>
    </row>
    <row r="106" spans="1:32" s="2" customFormat="1" ht="22.5" customHeight="1" thickBot="1" x14ac:dyDescent="0.25">
      <c r="A106" s="53"/>
      <c r="B106" s="54"/>
      <c r="C106" s="54"/>
      <c r="D106" s="54"/>
      <c r="E106" s="54"/>
      <c r="F106" s="55" t="str">
        <f t="shared" ref="F106:U106" si="22">F63</f>
        <v>LEADS</v>
      </c>
      <c r="G106" s="55" t="str">
        <f t="shared" si="22"/>
        <v>FlotJet</v>
      </c>
      <c r="H106" s="55" t="str">
        <f t="shared" si="22"/>
        <v>Sail</v>
      </c>
      <c r="I106" s="55" t="str">
        <f t="shared" si="22"/>
        <v>Sisters</v>
      </c>
      <c r="J106" s="55" t="str">
        <f t="shared" si="22"/>
        <v>Maids</v>
      </c>
      <c r="K106" s="55" t="str">
        <f t="shared" si="22"/>
        <v>LeeWind</v>
      </c>
      <c r="L106" s="55" t="str">
        <f t="shared" si="22"/>
        <v>PrRaJen</v>
      </c>
      <c r="M106" s="55" t="str">
        <f t="shared" si="22"/>
        <v>.</v>
      </c>
      <c r="N106" s="55" t="str">
        <f t="shared" si="22"/>
        <v>.</v>
      </c>
      <c r="O106" s="55" t="str">
        <f t="shared" si="22"/>
        <v>.</v>
      </c>
      <c r="P106" s="55" t="str">
        <f t="shared" si="22"/>
        <v>OS</v>
      </c>
      <c r="Q106" s="55" t="str">
        <f t="shared" si="22"/>
        <v>VOX+.VRB</v>
      </c>
      <c r="R106" s="55" t="str">
        <f t="shared" si="22"/>
        <v>VOX_.VRB</v>
      </c>
      <c r="S106" s="55" t="str">
        <f t="shared" si="22"/>
        <v>INST+.VRB</v>
      </c>
      <c r="T106" s="55" t="str">
        <f t="shared" si="22"/>
        <v>INST_.VRB</v>
      </c>
      <c r="U106" s="55" t="str">
        <f t="shared" si="22"/>
        <v>MAINS</v>
      </c>
      <c r="V106" s="56"/>
    </row>
    <row r="107" spans="1:32" s="2" customFormat="1" ht="12" hidden="1" x14ac:dyDescent="0.2">
      <c r="A107" s="67" t="str">
        <f>D59&amp;"_ch_col_mute"</f>
        <v>w1_0002_ch_col_mute</v>
      </c>
      <c r="B107" s="68" t="str">
        <f>_xlfn.CONCAT(AB66:AB105)</f>
        <v>/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c r="C107" s="68"/>
      <c r="D107" s="68"/>
      <c r="E107" s="68"/>
      <c r="F107" s="69"/>
      <c r="G107" s="69"/>
      <c r="H107" s="69"/>
      <c r="I107" s="69"/>
      <c r="J107" s="69"/>
      <c r="K107" s="69"/>
      <c r="L107" s="69"/>
      <c r="M107" s="69"/>
      <c r="N107" s="69"/>
      <c r="O107" s="69"/>
      <c r="P107" s="69"/>
      <c r="Q107" s="69"/>
      <c r="R107" s="69"/>
      <c r="S107" s="69"/>
      <c r="T107" s="69"/>
      <c r="U107" s="69"/>
      <c r="V107" s="70"/>
    </row>
    <row r="108" spans="1:32" s="2" customFormat="1" ht="12" hidden="1" x14ac:dyDescent="0.2">
      <c r="A108" s="67" t="str">
        <f>D59&amp;"_ch_tags"</f>
        <v>w1_0002_ch_tags</v>
      </c>
      <c r="B108" s="68" t="str">
        <f>_xlfn.CONCAT(AC66:AC105)</f>
        <v>/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c r="C108" s="68"/>
      <c r="D108" s="68"/>
      <c r="E108" s="68"/>
      <c r="F108" s="69"/>
      <c r="G108" s="69"/>
      <c r="H108" s="69"/>
      <c r="I108" s="69"/>
      <c r="J108" s="69"/>
      <c r="K108" s="69"/>
      <c r="L108" s="69"/>
      <c r="M108" s="69"/>
      <c r="N108" s="69"/>
      <c r="O108" s="69"/>
      <c r="P108" s="69"/>
      <c r="Q108" s="69"/>
      <c r="R108" s="69"/>
      <c r="S108" s="69"/>
      <c r="T108" s="69"/>
      <c r="U108" s="69"/>
      <c r="V108" s="70"/>
    </row>
    <row r="109" spans="1:32" s="2" customFormat="1" ht="12" hidden="1" x14ac:dyDescent="0.2">
      <c r="A109" s="67" t="str">
        <f>D59&amp;"_ch_names_a"</f>
        <v>w1_0002_ch_names_a</v>
      </c>
      <c r="B109" s="68" t="str">
        <f>_xlfn.CONCAT(AD66:AD85)</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c r="C109" s="68"/>
      <c r="D109" s="68"/>
      <c r="E109" s="68"/>
      <c r="F109" s="69"/>
      <c r="G109" s="69"/>
      <c r="H109" s="69"/>
      <c r="I109" s="69"/>
      <c r="J109" s="69"/>
      <c r="K109" s="69"/>
      <c r="L109" s="69"/>
      <c r="M109" s="69"/>
      <c r="N109" s="69"/>
      <c r="O109" s="69"/>
      <c r="P109" s="69"/>
      <c r="Q109" s="69"/>
      <c r="R109" s="69"/>
      <c r="S109" s="69"/>
      <c r="T109" s="69"/>
      <c r="U109" s="69"/>
      <c r="V109" s="70"/>
    </row>
    <row r="110" spans="1:32" s="2" customFormat="1" ht="12" hidden="1" x14ac:dyDescent="0.2">
      <c r="A110" s="67" t="str">
        <f>D59&amp;"_ch_names_b"</f>
        <v>w1_0002_ch_names_b</v>
      </c>
      <c r="B110" s="68" t="str">
        <f>_xlfn.CONCAT(AD86:AD105)</f>
        <v>/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110" s="68"/>
      <c r="D110" s="68"/>
      <c r="E110" s="68"/>
      <c r="F110" s="69"/>
      <c r="G110" s="69"/>
      <c r="H110" s="69"/>
      <c r="I110" s="69"/>
      <c r="J110" s="69"/>
      <c r="K110" s="69"/>
      <c r="L110" s="69"/>
      <c r="M110" s="69"/>
      <c r="N110" s="69"/>
      <c r="O110" s="69"/>
      <c r="P110" s="69"/>
      <c r="Q110" s="69"/>
      <c r="R110" s="69"/>
      <c r="S110" s="69"/>
      <c r="T110" s="69"/>
      <c r="U110" s="69"/>
      <c r="V110" s="70"/>
    </row>
    <row r="111" spans="1:32" s="2" customFormat="1" ht="12" hidden="1" x14ac:dyDescent="0.2">
      <c r="A111" s="67" t="str">
        <f>D59&amp;"_ch_postins_a"</f>
        <v>w1_0002_ch_postins_a</v>
      </c>
      <c r="B111" s="68" t="str">
        <f>_xlfn.CONCAT(AE66:AE85)</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111" s="68"/>
      <c r="D111" s="68"/>
      <c r="E111" s="68"/>
      <c r="F111" s="69"/>
      <c r="G111" s="69"/>
      <c r="H111" s="69"/>
      <c r="I111" s="69"/>
      <c r="J111" s="69"/>
      <c r="K111" s="69"/>
      <c r="L111" s="69"/>
      <c r="M111" s="69"/>
      <c r="N111" s="69"/>
      <c r="O111" s="69"/>
      <c r="P111" s="69"/>
      <c r="Q111" s="69"/>
      <c r="R111" s="69"/>
      <c r="S111" s="69"/>
      <c r="T111" s="69"/>
      <c r="U111" s="69"/>
      <c r="V111" s="70"/>
    </row>
    <row r="112" spans="1:32" s="2" customFormat="1" ht="12" hidden="1" x14ac:dyDescent="0.2">
      <c r="A112" s="67" t="str">
        <f>D59&amp;"_ch_postins_b"</f>
        <v>w1_0002_ch_postins_b</v>
      </c>
      <c r="B112" s="68" t="str">
        <f>_xlfn.CONCAT(AE86:AE105)</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112" s="68"/>
      <c r="D112" s="68"/>
      <c r="E112" s="68"/>
      <c r="F112" s="69"/>
      <c r="G112" s="69"/>
      <c r="H112" s="69"/>
      <c r="I112" s="69"/>
      <c r="J112" s="69"/>
      <c r="K112" s="69"/>
      <c r="L112" s="69"/>
      <c r="M112" s="69"/>
      <c r="N112" s="69"/>
      <c r="O112" s="69"/>
      <c r="P112" s="69"/>
      <c r="Q112" s="69"/>
      <c r="R112" s="69"/>
      <c r="S112" s="69"/>
      <c r="T112" s="69"/>
      <c r="U112" s="69"/>
      <c r="V112" s="70"/>
    </row>
    <row r="113" spans="1:32" s="2" customFormat="1" ht="12" hidden="1" x14ac:dyDescent="0.2">
      <c r="A113" s="67" t="str">
        <f>D59&amp;"_dcas_amix"</f>
        <v>w1_0002_dcas_amix</v>
      </c>
      <c r="B113" s="68" t="str">
        <f>_xlfn.CONCAT(AF66:AF82)</f>
        <v>/dca.1.col=7,name=LEADS,.2.col=1,name=FlotJet,.3.col=2,name=Sail,.4.col=3,name=Sisters,.5.col=4,name=Maids,.6.col=5,name=LeeWind,.7.col=6,name=PrRaJen,.8.col=7,name=.,.9.col=8,name=.,.10.col=9,name=.,.11.col=10,name=OS,.12.col=11,name=VOX+.VRB,.13.col=12,name=VOX_.VRB,.14.col=13,name=INST+.VRB,.15.col=14,name=INST_.VRB,.16.col=15,name=MAINS,/cfg.amix.x=1,/cfg.amix.y=1,</v>
      </c>
      <c r="C113" s="68"/>
      <c r="D113" s="68"/>
      <c r="E113" s="68"/>
      <c r="F113" s="69"/>
      <c r="G113" s="69"/>
      <c r="H113" s="69"/>
      <c r="I113" s="69"/>
      <c r="J113" s="69"/>
      <c r="K113" s="69"/>
      <c r="L113" s="69"/>
      <c r="M113" s="69"/>
      <c r="N113" s="69"/>
      <c r="O113" s="69"/>
      <c r="P113" s="69"/>
      <c r="Q113" s="69"/>
      <c r="R113" s="69"/>
      <c r="S113" s="69"/>
      <c r="T113" s="69"/>
      <c r="U113" s="69"/>
      <c r="V113" s="70"/>
    </row>
    <row r="114" spans="1:32" ht="9" customHeight="1" x14ac:dyDescent="0.25">
      <c r="A114" s="45"/>
      <c r="B114" s="46"/>
      <c r="C114" s="46"/>
      <c r="D114" s="46"/>
      <c r="E114" s="47"/>
      <c r="F114" s="46"/>
      <c r="G114" s="46"/>
      <c r="H114" s="46"/>
      <c r="I114" s="46"/>
      <c r="J114" s="46"/>
      <c r="K114" s="46"/>
      <c r="L114" s="46"/>
      <c r="M114" s="46"/>
      <c r="N114" s="46"/>
      <c r="O114" s="46"/>
      <c r="P114" s="46"/>
      <c r="Q114" s="46"/>
      <c r="R114" s="46"/>
      <c r="S114" s="46"/>
      <c r="T114" s="46"/>
      <c r="U114" s="46"/>
      <c r="V114" s="48"/>
    </row>
    <row r="115" spans="1:32" ht="5.25" customHeight="1" x14ac:dyDescent="0.25">
      <c r="A115" s="7"/>
      <c r="B115" s="8"/>
      <c r="C115" s="8"/>
      <c r="D115" s="8"/>
      <c r="E115" s="22"/>
      <c r="F115" s="8"/>
      <c r="G115" s="8"/>
      <c r="H115" s="8"/>
      <c r="I115" s="8"/>
      <c r="J115" s="8"/>
      <c r="K115" s="8"/>
      <c r="L115" s="8"/>
      <c r="M115" s="8"/>
      <c r="N115" s="8"/>
      <c r="O115" s="8"/>
      <c r="P115" s="8"/>
      <c r="Q115" s="8"/>
      <c r="R115" s="8"/>
      <c r="S115" s="8"/>
      <c r="T115" s="8"/>
      <c r="U115" s="8"/>
      <c r="V115" s="26"/>
    </row>
    <row r="116" spans="1:32" ht="20.25" customHeight="1" x14ac:dyDescent="0.25">
      <c r="A116" s="14"/>
      <c r="B116" s="15">
        <f>INT(ROW()/56)+1</f>
        <v>3</v>
      </c>
      <c r="C116" s="71" t="s">
        <v>40</v>
      </c>
      <c r="D116" s="72" t="str">
        <f>"w1_"&amp;TEXT(B116,"0000")</f>
        <v>w1_0003</v>
      </c>
      <c r="E116" s="30"/>
      <c r="F116" s="31">
        <v>1</v>
      </c>
      <c r="G116" s="31">
        <v>2</v>
      </c>
      <c r="H116" s="31">
        <v>3</v>
      </c>
      <c r="I116" s="31">
        <v>4</v>
      </c>
      <c r="J116" s="31">
        <v>5</v>
      </c>
      <c r="K116" s="31">
        <v>6</v>
      </c>
      <c r="L116" s="31">
        <v>7</v>
      </c>
      <c r="M116" s="31">
        <v>8</v>
      </c>
      <c r="N116" s="31">
        <v>9</v>
      </c>
      <c r="O116" s="31">
        <v>10</v>
      </c>
      <c r="P116" s="31">
        <v>11</v>
      </c>
      <c r="Q116" s="31">
        <v>12</v>
      </c>
      <c r="R116" s="31">
        <v>13</v>
      </c>
      <c r="S116" s="31">
        <v>14</v>
      </c>
      <c r="T116" s="31">
        <v>15</v>
      </c>
      <c r="U116" s="31">
        <v>16</v>
      </c>
      <c r="V116" s="32">
        <v>17</v>
      </c>
    </row>
    <row r="117" spans="1:32" ht="13.5" customHeight="1" x14ac:dyDescent="0.25">
      <c r="A117" s="9"/>
      <c r="B117" s="79" t="s">
        <v>42</v>
      </c>
      <c r="C117" s="20" t="s">
        <v>17</v>
      </c>
      <c r="D117" s="10" t="s">
        <v>0</v>
      </c>
      <c r="E117" s="18"/>
      <c r="F117" s="11" t="str">
        <f>"#D1"</f>
        <v>#D1</v>
      </c>
      <c r="G117" s="11" t="str">
        <f>"#D2"</f>
        <v>#D2</v>
      </c>
      <c r="H117" s="11" t="str">
        <f>"#D3"</f>
        <v>#D3</v>
      </c>
      <c r="I117" s="11" t="str">
        <f>"#D4"</f>
        <v>#D4</v>
      </c>
      <c r="J117" s="11" t="str">
        <f>"#D5"</f>
        <v>#D5</v>
      </c>
      <c r="K117" s="11" t="str">
        <f>"#D6"</f>
        <v>#D6</v>
      </c>
      <c r="L117" s="11" t="str">
        <f>"#D7"</f>
        <v>#D7</v>
      </c>
      <c r="M117" s="11" t="str">
        <f>"#D8"</f>
        <v>#D8</v>
      </c>
      <c r="N117" s="11" t="str">
        <f>"#D9"</f>
        <v>#D9</v>
      </c>
      <c r="O117" s="11" t="str">
        <f>"#D10"</f>
        <v>#D10</v>
      </c>
      <c r="P117" s="11" t="str">
        <f>"#D11"</f>
        <v>#D11</v>
      </c>
      <c r="Q117" s="11" t="str">
        <f>"#D12"</f>
        <v>#D12</v>
      </c>
      <c r="R117" s="11" t="str">
        <f>"#D13"</f>
        <v>#D13</v>
      </c>
      <c r="S117" s="11" t="str">
        <f>"#D14"</f>
        <v>#D14</v>
      </c>
      <c r="T117" s="11" t="str">
        <f>"#D15"</f>
        <v>#D15</v>
      </c>
      <c r="U117" s="11" t="str">
        <f>"#D16"</f>
        <v>#D16</v>
      </c>
      <c r="V117" s="36" t="str">
        <f>""</f>
        <v/>
      </c>
    </row>
    <row r="118" spans="1:32" x14ac:dyDescent="0.25">
      <c r="A118" s="9"/>
      <c r="B118" s="81" t="s">
        <v>43</v>
      </c>
      <c r="C118" s="80" t="s">
        <v>21</v>
      </c>
      <c r="D118" s="19" t="s">
        <v>30</v>
      </c>
      <c r="E118" s="18"/>
      <c r="F118" s="20" t="s">
        <v>13</v>
      </c>
      <c r="G118" s="20" t="s">
        <v>10</v>
      </c>
      <c r="H118" s="20" t="s">
        <v>8</v>
      </c>
      <c r="I118" s="20" t="s">
        <v>11</v>
      </c>
      <c r="J118" s="20" t="s">
        <v>5</v>
      </c>
      <c r="K118" s="20" t="s">
        <v>4</v>
      </c>
      <c r="L118" s="20" t="s">
        <v>2</v>
      </c>
      <c r="M118" s="20" t="s">
        <v>17</v>
      </c>
      <c r="N118" s="20" t="s">
        <v>17</v>
      </c>
      <c r="O118" s="20" t="s">
        <v>17</v>
      </c>
      <c r="P118" s="20" t="s">
        <v>3</v>
      </c>
      <c r="Q118" s="20" t="s">
        <v>13</v>
      </c>
      <c r="R118" s="20" t="s">
        <v>13</v>
      </c>
      <c r="S118" s="20" t="s">
        <v>14</v>
      </c>
      <c r="T118" s="20" t="s">
        <v>14</v>
      </c>
      <c r="U118" s="20" t="s">
        <v>12</v>
      </c>
      <c r="V118" s="37" t="s">
        <v>18</v>
      </c>
    </row>
    <row r="119" spans="1:32" ht="5.25" customHeight="1" x14ac:dyDescent="0.25">
      <c r="A119" s="16"/>
      <c r="B119" s="17"/>
      <c r="C119" s="17"/>
      <c r="D119" s="17"/>
      <c r="E119" s="23"/>
      <c r="F119" s="17"/>
      <c r="G119" s="17"/>
      <c r="H119" s="17"/>
      <c r="I119" s="17"/>
      <c r="J119" s="17"/>
      <c r="K119" s="17"/>
      <c r="L119" s="17"/>
      <c r="M119" s="17"/>
      <c r="N119" s="17"/>
      <c r="O119" s="17"/>
      <c r="P119" s="17"/>
      <c r="Q119" s="17"/>
      <c r="R119" s="17"/>
      <c r="S119" s="17"/>
      <c r="T119" s="17"/>
      <c r="U119" s="17"/>
      <c r="V119" s="28"/>
    </row>
    <row r="120" spans="1:32" s="1" customFormat="1" ht="19.5" customHeight="1" x14ac:dyDescent="0.25">
      <c r="A120" s="9"/>
      <c r="B120" s="81" t="s">
        <v>44</v>
      </c>
      <c r="C120" s="80" t="s">
        <v>21</v>
      </c>
      <c r="D120" s="12" t="s">
        <v>28</v>
      </c>
      <c r="E120" s="18"/>
      <c r="F120" s="13" t="s">
        <v>87</v>
      </c>
      <c r="G120" s="13" t="s">
        <v>86</v>
      </c>
      <c r="H120" s="13" t="s">
        <v>88</v>
      </c>
      <c r="I120" s="13" t="s">
        <v>89</v>
      </c>
      <c r="J120" s="13" t="s">
        <v>90</v>
      </c>
      <c r="K120" s="13" t="s">
        <v>91</v>
      </c>
      <c r="L120" s="13" t="s">
        <v>92</v>
      </c>
      <c r="M120" s="13" t="s">
        <v>68</v>
      </c>
      <c r="N120" s="13" t="s">
        <v>68</v>
      </c>
      <c r="O120" s="13" t="s">
        <v>68</v>
      </c>
      <c r="P120" s="13" t="s">
        <v>85</v>
      </c>
      <c r="Q120" s="13" t="s">
        <v>93</v>
      </c>
      <c r="R120" s="13" t="s">
        <v>95</v>
      </c>
      <c r="S120" s="13" t="s">
        <v>94</v>
      </c>
      <c r="T120" s="13" t="s">
        <v>96</v>
      </c>
      <c r="U120" s="13" t="s">
        <v>20</v>
      </c>
      <c r="V120" s="27" t="s">
        <v>21</v>
      </c>
    </row>
    <row r="121" spans="1:32" ht="10.5" customHeight="1" thickBot="1" x14ac:dyDescent="0.3">
      <c r="A121" s="40"/>
      <c r="B121" s="41"/>
      <c r="C121" s="41"/>
      <c r="D121" s="41"/>
      <c r="E121" s="42"/>
      <c r="F121" s="43">
        <f>COUNTA(F123:F162)</f>
        <v>9</v>
      </c>
      <c r="G121" s="43">
        <f t="shared" ref="G121:U121" si="23">COUNTA(G123:G162)</f>
        <v>2</v>
      </c>
      <c r="H121" s="43">
        <f t="shared" si="23"/>
        <v>8</v>
      </c>
      <c r="I121" s="43">
        <f t="shared" si="23"/>
        <v>6</v>
      </c>
      <c r="J121" s="43">
        <f t="shared" si="23"/>
        <v>3</v>
      </c>
      <c r="K121" s="43">
        <f t="shared" si="23"/>
        <v>2</v>
      </c>
      <c r="L121" s="43">
        <f t="shared" si="23"/>
        <v>3</v>
      </c>
      <c r="M121" s="43">
        <f t="shared" si="23"/>
        <v>0</v>
      </c>
      <c r="N121" s="43">
        <f t="shared" si="23"/>
        <v>0</v>
      </c>
      <c r="O121" s="43">
        <f t="shared" si="23"/>
        <v>0</v>
      </c>
      <c r="P121" s="43">
        <f t="shared" si="23"/>
        <v>2</v>
      </c>
      <c r="Q121" s="43">
        <f t="shared" si="23"/>
        <v>0</v>
      </c>
      <c r="R121" s="43">
        <f t="shared" si="23"/>
        <v>0</v>
      </c>
      <c r="S121" s="43">
        <f t="shared" si="23"/>
        <v>0</v>
      </c>
      <c r="T121" s="43">
        <f t="shared" si="23"/>
        <v>0</v>
      </c>
      <c r="U121" s="43">
        <f t="shared" si="23"/>
        <v>0</v>
      </c>
      <c r="V121" s="44">
        <f>40-COUNTBLANK(V123:V162)</f>
        <v>5</v>
      </c>
    </row>
    <row r="122" spans="1:32" ht="13.5" customHeight="1" x14ac:dyDescent="0.25">
      <c r="A122" s="96" t="s">
        <v>29</v>
      </c>
      <c r="B122" s="49" t="s">
        <v>97</v>
      </c>
      <c r="C122" s="49" t="s">
        <v>98</v>
      </c>
      <c r="D122" s="49" t="s">
        <v>27</v>
      </c>
      <c r="E122" s="50"/>
      <c r="F122" s="49"/>
      <c r="G122" s="49"/>
      <c r="H122" s="49"/>
      <c r="I122" s="82"/>
      <c r="J122" s="49"/>
      <c r="K122" s="49"/>
      <c r="L122" s="49"/>
      <c r="M122" s="82"/>
      <c r="N122" s="49"/>
      <c r="O122" s="49"/>
      <c r="P122" s="49"/>
      <c r="Q122" s="82"/>
      <c r="R122" s="49"/>
      <c r="S122" s="49"/>
      <c r="T122" s="49"/>
      <c r="U122" s="49"/>
      <c r="V122" s="51"/>
      <c r="W122" s="33" t="s">
        <v>36</v>
      </c>
      <c r="X122" s="38" t="s">
        <v>31</v>
      </c>
      <c r="Y122" s="57" t="s">
        <v>33</v>
      </c>
      <c r="Z122" s="76" t="s">
        <v>35</v>
      </c>
      <c r="AA122" s="73" t="s">
        <v>41</v>
      </c>
      <c r="AB122" s="58" t="s">
        <v>32</v>
      </c>
      <c r="AC122" s="59" t="s">
        <v>34</v>
      </c>
      <c r="AD122" s="59" t="s">
        <v>37</v>
      </c>
      <c r="AE122" s="59" t="s">
        <v>38</v>
      </c>
      <c r="AF122" s="60" t="s">
        <v>39</v>
      </c>
    </row>
    <row r="123" spans="1:32" ht="13.5" customHeight="1" x14ac:dyDescent="0.25">
      <c r="A123" s="97">
        <f>A66</f>
        <v>1</v>
      </c>
      <c r="B123" s="5" t="s">
        <v>21</v>
      </c>
      <c r="C123" s="25" t="s">
        <v>21</v>
      </c>
      <c r="D123" s="84" t="s">
        <v>45</v>
      </c>
      <c r="E123" s="21">
        <f>COUNTA(F123:U123)</f>
        <v>1</v>
      </c>
      <c r="F123" s="6" t="s">
        <v>21</v>
      </c>
      <c r="G123" s="6"/>
      <c r="H123" s="6"/>
      <c r="I123" s="83"/>
      <c r="J123" s="6"/>
      <c r="K123" s="6"/>
      <c r="L123" s="6"/>
      <c r="M123" s="83"/>
      <c r="N123" s="6"/>
      <c r="O123" s="6"/>
      <c r="P123" s="6"/>
      <c r="Q123" s="83"/>
      <c r="R123" s="6"/>
      <c r="S123" s="6"/>
      <c r="T123" s="6"/>
      <c r="U123" s="6"/>
      <c r="V123" s="52" t="str">
        <f>IF(E123=0,"x","")</f>
        <v/>
      </c>
      <c r="W123" s="34">
        <f>_xlfn.XMATCH("x",F123:V123)</f>
        <v>1</v>
      </c>
      <c r="X123" s="9" t="str" cm="1">
        <f t="array" ref="X123">INDEX(F118:V118,W123)</f>
        <v>Gold</v>
      </c>
      <c r="Y123" s="9">
        <f>_xlfn.XLOOKUP(X123,refs!$A$2:$A$19,refs!$B$2:$B$19)</f>
        <v>13</v>
      </c>
      <c r="Z123" s="77" t="str" cm="1">
        <f t="array" ref="Z123">INDEX($F$3:$V$3,W123)</f>
        <v>#D1</v>
      </c>
      <c r="AA123" s="74">
        <f>IF(C123="x",Y123,_xlfn.XLOOKUP(C117,refs!$A$2:$A$19,refs!$B$2:$B$19))</f>
        <v>13</v>
      </c>
      <c r="AB123" s="61" t="str">
        <f>"/ch."&amp;A123&amp;".col="&amp;AA123&amp;",mute="&amp;IF(C123="x",0,1)&amp;","</f>
        <v>/ch.1.col=13,mute=0,</v>
      </c>
      <c r="AC123" s="62" t="str">
        <f>"/ch."&amp;A123&amp;".tags="&amp;Z123&amp;","</f>
        <v>/ch.1.tags=#D1,</v>
      </c>
      <c r="AD123" s="62" t="str">
        <f>"/ch."&amp;A123&amp;".name="&amp;LEFT(D123,16)&amp;","</f>
        <v>/ch.1.name=CAROLINE.ariel,</v>
      </c>
      <c r="AE123" s="62" t="str">
        <f>"/ch."&amp;A123&amp;".postins.on="&amp;IF(B123="x",1,IF(B123="y",1,0))&amp;",mode="&amp;IF(B123="x","AUTO_X",IF(B123="y","AUTO_Y","FX"))&amp;","</f>
        <v>/ch.1.postins.on=1,mode=AUTO_X,</v>
      </c>
      <c r="AF123" s="63" t="str">
        <f>"/dca."&amp;F$2&amp;".col="&amp;_xlfn.XLOOKUP(F$4,refs!$A$2:$A$19,refs!$B$2:$B$19)&amp;",name="&amp;LEFT(F$6,16)&amp;","</f>
        <v>/dca.1.col=7,name=LEADS,</v>
      </c>
    </row>
    <row r="124" spans="1:32" ht="13.5" customHeight="1" x14ac:dyDescent="0.25">
      <c r="A124" s="97">
        <f t="shared" ref="A124:A162" si="24">A67</f>
        <v>2</v>
      </c>
      <c r="B124" s="5" t="s">
        <v>21</v>
      </c>
      <c r="C124" s="25" t="s">
        <v>21</v>
      </c>
      <c r="D124" s="84" t="s">
        <v>46</v>
      </c>
      <c r="E124" s="21">
        <f t="shared" ref="E124:E162" si="25">COUNTA(F124:U124)</f>
        <v>1</v>
      </c>
      <c r="F124" s="6" t="s">
        <v>21</v>
      </c>
      <c r="G124" s="6"/>
      <c r="H124" s="6"/>
      <c r="I124" s="83"/>
      <c r="J124" s="6"/>
      <c r="K124" s="6"/>
      <c r="L124" s="6"/>
      <c r="M124" s="83"/>
      <c r="N124" s="6"/>
      <c r="O124" s="6"/>
      <c r="P124" s="6"/>
      <c r="Q124" s="83"/>
      <c r="R124" s="6"/>
      <c r="S124" s="6"/>
      <c r="T124" s="6"/>
      <c r="U124" s="6"/>
      <c r="V124" s="52" t="str">
        <f t="shared" ref="V124:V162" si="26">IF(E124=0,"x","")</f>
        <v/>
      </c>
      <c r="W124" s="34">
        <f t="shared" ref="W124:W162" si="27">_xlfn.XMATCH("x",F124:V124)</f>
        <v>1</v>
      </c>
      <c r="X124" s="9" t="str" cm="1">
        <f t="array" ref="X124">INDEX(F118:V118,W124)</f>
        <v>Gold</v>
      </c>
      <c r="Y124" s="9">
        <f>_xlfn.XLOOKUP(X124,refs!$A$2:$A$19,refs!$B$2:$B$19)</f>
        <v>13</v>
      </c>
      <c r="Z124" s="77" t="str" cm="1">
        <f t="array" ref="Z124">INDEX($F$3:$V$3,W124)</f>
        <v>#D1</v>
      </c>
      <c r="AA124" s="74">
        <f>IF(C124="x",Y124,_xlfn.XLOOKUP(C117,refs!$A$2:$A$19,refs!$B$2:$B$19))</f>
        <v>13</v>
      </c>
      <c r="AB124" s="61" t="str">
        <f t="shared" ref="AB124:AB162" si="28">"."&amp;A124&amp;".col="&amp;AA124&amp;",mute="&amp;IF(C124="x",0,1)&amp;","</f>
        <v>.2.col=13,mute=0,</v>
      </c>
      <c r="AC124" s="62" t="str">
        <f t="shared" ref="AC124:AC162" si="29">"."&amp;A124&amp;".tags="&amp;Z124&amp;","</f>
        <v>.2.tags=#D1,</v>
      </c>
      <c r="AD124" s="62" t="str">
        <f>"."&amp;A124&amp;".name="&amp;LEFT(D124,166)&amp;","</f>
        <v>.2.name=GABE.eric,</v>
      </c>
      <c r="AE124" s="62" t="str">
        <f t="shared" ref="AE124:AE142" si="30">".."&amp;A124&amp;".postins.on="&amp;IF(B124="x",1,IF(B124="y",1,0))&amp;",mode="&amp;IF(B124="x","AUTO_X",IF(B124="y","AUTO_Y","FX"))&amp;","</f>
        <v>..2.postins.on=1,mode=AUTO_X,</v>
      </c>
      <c r="AF124" s="63" t="str">
        <f>"."&amp;G$2&amp;".col="&amp;_xlfn.XLOOKUP(G$4,refs!$A$2:$A$19,refs!$B$2:$B$19)&amp;",name="&amp;LEFT(G$6,16)&amp;","</f>
        <v>.2.col=1,name=FlotJet,</v>
      </c>
    </row>
    <row r="125" spans="1:32" ht="13.5" customHeight="1" x14ac:dyDescent="0.25">
      <c r="A125" s="97">
        <f t="shared" si="24"/>
        <v>3</v>
      </c>
      <c r="B125" s="5" t="s">
        <v>21</v>
      </c>
      <c r="C125" s="25" t="s">
        <v>21</v>
      </c>
      <c r="D125" s="84" t="s">
        <v>47</v>
      </c>
      <c r="E125" s="21">
        <f t="shared" si="25"/>
        <v>1</v>
      </c>
      <c r="F125" s="6" t="s">
        <v>21</v>
      </c>
      <c r="G125" s="6"/>
      <c r="H125" s="6"/>
      <c r="I125" s="83"/>
      <c r="J125" s="6"/>
      <c r="K125" s="6"/>
      <c r="L125" s="6"/>
      <c r="M125" s="83"/>
      <c r="N125" s="6"/>
      <c r="O125" s="6"/>
      <c r="P125" s="6"/>
      <c r="Q125" s="83"/>
      <c r="R125" s="6"/>
      <c r="S125" s="6"/>
      <c r="T125" s="6"/>
      <c r="U125" s="6"/>
      <c r="V125" s="52" t="str">
        <f t="shared" si="26"/>
        <v/>
      </c>
      <c r="W125" s="34">
        <f t="shared" si="27"/>
        <v>1</v>
      </c>
      <c r="X125" s="9" t="str" cm="1">
        <f t="array" ref="X125">INDEX(F118:V118,W125)</f>
        <v>Gold</v>
      </c>
      <c r="Y125" s="9">
        <f>_xlfn.XLOOKUP(X125,refs!$A$2:$A$19,refs!$B$2:$B$19)</f>
        <v>13</v>
      </c>
      <c r="Z125" s="77" t="str" cm="1">
        <f t="array" ref="Z125">INDEX($F$3:$V$3,W125)</f>
        <v>#D1</v>
      </c>
      <c r="AA125" s="74">
        <f>IF(C125="x",Y125,_xlfn.XLOOKUP(C117,refs!$A$2:$A$19,refs!$B$2:$B$19))</f>
        <v>13</v>
      </c>
      <c r="AB125" s="61" t="str">
        <f t="shared" si="28"/>
        <v>.3.col=13,mute=0,</v>
      </c>
      <c r="AC125" s="62" t="str">
        <f t="shared" si="29"/>
        <v>.3.tags=#D1,</v>
      </c>
      <c r="AD125" s="62" t="str">
        <f t="shared" ref="AD125:AD142" si="31">"."&amp;A125&amp;".name="&amp;LEFT(D125,16)&amp;","</f>
        <v>.3.name=KEITH.grimsby,</v>
      </c>
      <c r="AE125" s="62" t="str">
        <f t="shared" si="30"/>
        <v>..3.postins.on=1,mode=AUTO_X,</v>
      </c>
      <c r="AF125" s="63" t="str">
        <f>"."&amp;H$2&amp;".col="&amp;_xlfn.XLOOKUP(H$4,refs!$A$2:$A$19,refs!$B$2:$B$19)&amp;",name="&amp;LEFT(H$6,16)&amp;","</f>
        <v>.3.col=2,name=Sail,</v>
      </c>
    </row>
    <row r="126" spans="1:32" ht="13.5" customHeight="1" x14ac:dyDescent="0.25">
      <c r="A126" s="97">
        <f t="shared" si="24"/>
        <v>4</v>
      </c>
      <c r="B126" s="5"/>
      <c r="C126" s="25" t="s">
        <v>21</v>
      </c>
      <c r="D126" s="25" t="s">
        <v>48</v>
      </c>
      <c r="E126" s="21">
        <f t="shared" si="25"/>
        <v>1</v>
      </c>
      <c r="F126" s="6" t="s">
        <v>21</v>
      </c>
      <c r="G126" s="6"/>
      <c r="H126" s="6"/>
      <c r="I126" s="83"/>
      <c r="J126" s="6"/>
      <c r="K126" s="6"/>
      <c r="L126" s="6"/>
      <c r="M126" s="83"/>
      <c r="N126" s="6"/>
      <c r="O126" s="6"/>
      <c r="P126" s="6"/>
      <c r="Q126" s="83"/>
      <c r="R126" s="6"/>
      <c r="S126" s="6"/>
      <c r="T126" s="6"/>
      <c r="U126" s="6"/>
      <c r="V126" s="52" t="str">
        <f t="shared" si="26"/>
        <v/>
      </c>
      <c r="W126" s="34">
        <f t="shared" si="27"/>
        <v>1</v>
      </c>
      <c r="X126" s="9" t="str" cm="1">
        <f t="array" ref="X126">INDEX(F118:V118,W126)</f>
        <v>Gold</v>
      </c>
      <c r="Y126" s="9">
        <f>_xlfn.XLOOKUP(X126,refs!$A$2:$A$19,refs!$B$2:$B$19)</f>
        <v>13</v>
      </c>
      <c r="Z126" s="77" t="str" cm="1">
        <f t="array" ref="Z126">INDEX($F$3:$V$3,W126)</f>
        <v>#D1</v>
      </c>
      <c r="AA126" s="74">
        <f>IF(C126="x",Y126,_xlfn.XLOOKUP(C117,refs!$A$2:$A$19,refs!$B$2:$B$19))</f>
        <v>13</v>
      </c>
      <c r="AB126" s="61" t="str">
        <f t="shared" si="28"/>
        <v>.4.col=13,mute=0,</v>
      </c>
      <c r="AC126" s="62" t="str">
        <f t="shared" si="29"/>
        <v>.4.tags=#D1,</v>
      </c>
      <c r="AD126" s="62" t="str">
        <f t="shared" si="31"/>
        <v>.4.name=CHADLEY.sebastia,</v>
      </c>
      <c r="AE126" s="62" t="str">
        <f t="shared" si="30"/>
        <v>..4.postins.on=0,mode=FX,</v>
      </c>
      <c r="AF126" s="63" t="str">
        <f>"."&amp;I$2&amp;".col="&amp;_xlfn.XLOOKUP(I$4,refs!$A$2:$A$19,refs!$B$2:$B$19)&amp;",name="&amp;LEFT(I$6,16)&amp;","</f>
        <v>.4.col=3,name=Sisters,</v>
      </c>
    </row>
    <row r="127" spans="1:32" ht="13.5" customHeight="1" x14ac:dyDescent="0.25">
      <c r="A127" s="97">
        <f t="shared" si="24"/>
        <v>5</v>
      </c>
      <c r="B127" s="5" t="s">
        <v>21</v>
      </c>
      <c r="C127" s="25" t="s">
        <v>21</v>
      </c>
      <c r="D127" s="85" t="s">
        <v>49</v>
      </c>
      <c r="E127" s="21">
        <f t="shared" si="25"/>
        <v>1</v>
      </c>
      <c r="F127" s="6" t="s">
        <v>21</v>
      </c>
      <c r="G127" s="6"/>
      <c r="H127" s="6"/>
      <c r="I127" s="83"/>
      <c r="J127" s="6"/>
      <c r="K127" s="6"/>
      <c r="L127" s="6"/>
      <c r="M127" s="83"/>
      <c r="N127" s="6"/>
      <c r="O127" s="6"/>
      <c r="P127" s="6"/>
      <c r="Q127" s="83"/>
      <c r="R127" s="6"/>
      <c r="S127" s="6"/>
      <c r="T127" s="6"/>
      <c r="U127" s="6"/>
      <c r="V127" s="52" t="str">
        <f t="shared" si="26"/>
        <v/>
      </c>
      <c r="W127" s="34">
        <f t="shared" si="27"/>
        <v>1</v>
      </c>
      <c r="X127" s="9" t="str" cm="1">
        <f t="array" ref="X127">INDEX(F118:V118,W127)</f>
        <v>Gold</v>
      </c>
      <c r="Y127" s="9">
        <f>_xlfn.XLOOKUP(X127,refs!$A$2:$A$19,refs!$B$2:$B$19)</f>
        <v>13</v>
      </c>
      <c r="Z127" s="77" t="str" cm="1">
        <f t="array" ref="Z127">INDEX($F$3:$V$3,W127)</f>
        <v>#D1</v>
      </c>
      <c r="AA127" s="74">
        <f>IF(C127="x",Y127,_xlfn.XLOOKUP(C117,refs!$A$2:$A$19,refs!$B$2:$B$19))</f>
        <v>13</v>
      </c>
      <c r="AB127" s="61" t="str">
        <f t="shared" si="28"/>
        <v>.5.col=13,mute=0,</v>
      </c>
      <c r="AC127" s="62" t="str">
        <f t="shared" si="29"/>
        <v>.5.tags=#D1,</v>
      </c>
      <c r="AD127" s="62" t="str">
        <f t="shared" si="31"/>
        <v>.5.name=ANNA.flounder,</v>
      </c>
      <c r="AE127" s="62" t="str">
        <f t="shared" si="30"/>
        <v>..5.postins.on=1,mode=AUTO_X,</v>
      </c>
      <c r="AF127" s="63" t="str">
        <f>"."&amp;J$2&amp;".col="&amp;_xlfn.XLOOKUP(J$4,refs!$A$2:$A$19,refs!$B$2:$B$19)&amp;",name="&amp;LEFT(J$6,16)&amp;","</f>
        <v>.5.col=4,name=Maids,</v>
      </c>
    </row>
    <row r="128" spans="1:32" ht="13.5" customHeight="1" x14ac:dyDescent="0.25">
      <c r="A128" s="97">
        <f t="shared" si="24"/>
        <v>6</v>
      </c>
      <c r="B128" s="5" t="s">
        <v>21</v>
      </c>
      <c r="C128" s="25" t="s">
        <v>21</v>
      </c>
      <c r="D128" s="86" t="s">
        <v>51</v>
      </c>
      <c r="E128" s="21">
        <f t="shared" si="25"/>
        <v>1</v>
      </c>
      <c r="F128" s="6" t="s">
        <v>21</v>
      </c>
      <c r="G128" s="6"/>
      <c r="H128" s="6"/>
      <c r="I128" s="83"/>
      <c r="J128" s="6"/>
      <c r="K128" s="6"/>
      <c r="L128" s="6"/>
      <c r="M128" s="83"/>
      <c r="N128" s="6"/>
      <c r="O128" s="6"/>
      <c r="P128" s="6"/>
      <c r="Q128" s="83"/>
      <c r="R128" s="6"/>
      <c r="S128" s="6"/>
      <c r="T128" s="6"/>
      <c r="U128" s="6"/>
      <c r="V128" s="52" t="str">
        <f t="shared" si="26"/>
        <v/>
      </c>
      <c r="W128" s="34">
        <f t="shared" si="27"/>
        <v>1</v>
      </c>
      <c r="X128" s="9" t="str" cm="1">
        <f t="array" ref="X128">INDEX(F118:V118,W128)</f>
        <v>Gold</v>
      </c>
      <c r="Y128" s="9">
        <f>_xlfn.XLOOKUP(X128,refs!$A$2:$A$19,refs!$B$2:$B$19)</f>
        <v>13</v>
      </c>
      <c r="Z128" s="77" t="str" cm="1">
        <f t="array" ref="Z128">INDEX($F$3:$V$3,W128)</f>
        <v>#D1</v>
      </c>
      <c r="AA128" s="74">
        <f>IF(C128="x",Y128,_xlfn.XLOOKUP(C117,refs!$A$2:$A$19,refs!$B$2:$B$19))</f>
        <v>13</v>
      </c>
      <c r="AB128" s="61" t="str">
        <f t="shared" si="28"/>
        <v>.6.col=13,mute=0,</v>
      </c>
      <c r="AC128" s="62" t="str">
        <f t="shared" si="29"/>
        <v>.6.tags=#D1,</v>
      </c>
      <c r="AD128" s="62" t="str">
        <f t="shared" si="31"/>
        <v>.6.name=MARGERY.ursula,</v>
      </c>
      <c r="AE128" s="62" t="str">
        <f t="shared" si="30"/>
        <v>..6.postins.on=1,mode=AUTO_X,</v>
      </c>
      <c r="AF128" s="63" t="str">
        <f>"."&amp;K$2&amp;".col="&amp;_xlfn.XLOOKUP(K$4,refs!$A$2:$A$19,refs!$B$2:$B$19)&amp;",name="&amp;LEFT(K$6,16)&amp;","</f>
        <v>.6.col=5,name=LeeWind,</v>
      </c>
    </row>
    <row r="129" spans="1:32" ht="13.5" customHeight="1" x14ac:dyDescent="0.25">
      <c r="A129" s="97">
        <f t="shared" si="24"/>
        <v>7</v>
      </c>
      <c r="B129" s="5" t="s">
        <v>21</v>
      </c>
      <c r="C129" s="25" t="s">
        <v>21</v>
      </c>
      <c r="D129" s="87" t="s">
        <v>52</v>
      </c>
      <c r="E129" s="21">
        <f t="shared" si="25"/>
        <v>1</v>
      </c>
      <c r="F129" s="6" t="s">
        <v>21</v>
      </c>
      <c r="G129" s="6"/>
      <c r="H129" s="6"/>
      <c r="I129" s="83"/>
      <c r="J129" s="6"/>
      <c r="K129" s="6"/>
      <c r="L129" s="6"/>
      <c r="M129" s="83"/>
      <c r="N129" s="6"/>
      <c r="O129" s="6"/>
      <c r="P129" s="6"/>
      <c r="Q129" s="83"/>
      <c r="R129" s="6"/>
      <c r="S129" s="6"/>
      <c r="T129" s="6"/>
      <c r="U129" s="6"/>
      <c r="V129" s="52" t="str">
        <f t="shared" si="26"/>
        <v/>
      </c>
      <c r="W129" s="34">
        <f t="shared" si="27"/>
        <v>1</v>
      </c>
      <c r="X129" s="9" t="str" cm="1">
        <f t="array" ref="X129">INDEX(F118:V118,W129)</f>
        <v>Gold</v>
      </c>
      <c r="Y129" s="9">
        <f>_xlfn.XLOOKUP(X129,refs!$A$2:$A$19,refs!$B$2:$B$19)</f>
        <v>13</v>
      </c>
      <c r="Z129" s="77" t="str" cm="1">
        <f t="array" ref="Z129">INDEX($F$3:$V$3,W129)</f>
        <v>#D1</v>
      </c>
      <c r="AA129" s="74">
        <f>IF(C129="x",Y129,_xlfn.XLOOKUP(C117,refs!$A$2:$A$19,refs!$B$2:$B$19))</f>
        <v>13</v>
      </c>
      <c r="AB129" s="61" t="str">
        <f t="shared" si="28"/>
        <v>.7.col=13,mute=0,</v>
      </c>
      <c r="AC129" s="62" t="str">
        <f t="shared" si="29"/>
        <v>.7.tags=#D1,</v>
      </c>
      <c r="AD129" s="62" t="str">
        <f t="shared" si="31"/>
        <v>.7.name=JOHN.triton,</v>
      </c>
      <c r="AE129" s="62" t="str">
        <f t="shared" si="30"/>
        <v>..7.postins.on=1,mode=AUTO_X,</v>
      </c>
      <c r="AF129" s="63" t="str">
        <f>"."&amp;L$2&amp;".col="&amp;_xlfn.XLOOKUP(L$4,refs!$A$2:$A$19,refs!$B$2:$B$19)&amp;",name="&amp;LEFT(L$6,16)&amp;","</f>
        <v>.7.col=6,name=PrRaJen,</v>
      </c>
    </row>
    <row r="130" spans="1:32" ht="13.5" customHeight="1" x14ac:dyDescent="0.25">
      <c r="A130" s="97">
        <f t="shared" si="24"/>
        <v>8</v>
      </c>
      <c r="B130" s="5" t="s">
        <v>21</v>
      </c>
      <c r="C130" s="25" t="s">
        <v>21</v>
      </c>
      <c r="D130" s="87" t="s">
        <v>53</v>
      </c>
      <c r="E130" s="21">
        <f t="shared" si="25"/>
        <v>1</v>
      </c>
      <c r="F130" s="6" t="s">
        <v>21</v>
      </c>
      <c r="G130" s="6"/>
      <c r="H130" s="6"/>
      <c r="I130" s="83"/>
      <c r="J130" s="6"/>
      <c r="K130" s="6"/>
      <c r="L130" s="6"/>
      <c r="M130" s="83"/>
      <c r="N130" s="6"/>
      <c r="O130" s="6"/>
      <c r="P130" s="6"/>
      <c r="Q130" s="83"/>
      <c r="R130" s="6"/>
      <c r="S130" s="6"/>
      <c r="T130" s="6"/>
      <c r="U130" s="6"/>
      <c r="V130" s="52" t="str">
        <f t="shared" si="26"/>
        <v/>
      </c>
      <c r="W130" s="34">
        <f t="shared" si="27"/>
        <v>1</v>
      </c>
      <c r="X130" s="9" t="str" cm="1">
        <f t="array" ref="X130">INDEX(F118:V118,W130)</f>
        <v>Gold</v>
      </c>
      <c r="Y130" s="9">
        <f>_xlfn.XLOOKUP(X130,refs!$A$2:$A$19,refs!$B$2:$B$19)</f>
        <v>13</v>
      </c>
      <c r="Z130" s="77" t="str" cm="1">
        <f t="array" ref="Z130">INDEX($F$3:$V$3,W130)</f>
        <v>#D1</v>
      </c>
      <c r="AA130" s="74">
        <f>IF(C130="x",Y130,_xlfn.XLOOKUP(C117,refs!$A$2:$A$19,refs!$B$2:$B$19))</f>
        <v>13</v>
      </c>
      <c r="AB130" s="61" t="str">
        <f t="shared" si="28"/>
        <v>.8.col=13,mute=0,</v>
      </c>
      <c r="AC130" s="62" t="str">
        <f t="shared" si="29"/>
        <v>.8.tags=#D1,</v>
      </c>
      <c r="AD130" s="62" t="str">
        <f t="shared" si="31"/>
        <v>.8.name=JUDAH.chefL,</v>
      </c>
      <c r="AE130" s="62" t="str">
        <f t="shared" si="30"/>
        <v>..8.postins.on=1,mode=AUTO_X,</v>
      </c>
      <c r="AF130" s="63" t="str">
        <f>"."&amp;M$2&amp;".col="&amp;_xlfn.XLOOKUP(M$4,refs!$A$2:$A$19,refs!$B$2:$B$19)&amp;",name="&amp;LEFT(M$6,16)&amp;","</f>
        <v>.8.col=7,name=.,</v>
      </c>
    </row>
    <row r="131" spans="1:32" ht="13.5" customHeight="1" x14ac:dyDescent="0.25">
      <c r="A131" s="97">
        <f t="shared" si="24"/>
        <v>9</v>
      </c>
      <c r="B131" s="5" t="s">
        <v>21</v>
      </c>
      <c r="C131" s="25" t="s">
        <v>21</v>
      </c>
      <c r="D131" s="87" t="s">
        <v>54</v>
      </c>
      <c r="E131" s="21">
        <f t="shared" si="25"/>
        <v>1</v>
      </c>
      <c r="F131" s="6" t="s">
        <v>21</v>
      </c>
      <c r="G131" s="6"/>
      <c r="H131" s="6"/>
      <c r="I131" s="83"/>
      <c r="J131" s="6"/>
      <c r="K131" s="6"/>
      <c r="L131" s="6"/>
      <c r="M131" s="83"/>
      <c r="N131" s="6"/>
      <c r="O131" s="6"/>
      <c r="P131" s="6"/>
      <c r="Q131" s="83"/>
      <c r="R131" s="6"/>
      <c r="S131" s="6"/>
      <c r="T131" s="6"/>
      <c r="U131" s="6"/>
      <c r="V131" s="52" t="str">
        <f t="shared" si="26"/>
        <v/>
      </c>
      <c r="W131" s="34">
        <f t="shared" si="27"/>
        <v>1</v>
      </c>
      <c r="X131" s="9" t="str" cm="1">
        <f t="array" ref="X131">INDEX(F118:V118,W131)</f>
        <v>Gold</v>
      </c>
      <c r="Y131" s="9">
        <f>_xlfn.XLOOKUP(X131,refs!$A$2:$A$19,refs!$B$2:$B$19)</f>
        <v>13</v>
      </c>
      <c r="Z131" s="77" t="str" cm="1">
        <f t="array" ref="Z131">INDEX($F$3:$V$3,W131)</f>
        <v>#D1</v>
      </c>
      <c r="AA131" s="74">
        <f>IF(C131="x",Y131,_xlfn.XLOOKUP(C117,refs!$A$2:$A$19,refs!$B$2:$B$19))</f>
        <v>13</v>
      </c>
      <c r="AB131" s="61" t="str">
        <f t="shared" si="28"/>
        <v>.9.col=13,mute=0,</v>
      </c>
      <c r="AC131" s="62" t="str">
        <f t="shared" si="29"/>
        <v>.9.tags=#D1,</v>
      </c>
      <c r="AD131" s="62" t="str">
        <f t="shared" si="31"/>
        <v>.9.name=BRIDGET.scuttle,</v>
      </c>
      <c r="AE131" s="62" t="str">
        <f t="shared" si="30"/>
        <v>..9.postins.on=1,mode=AUTO_X,</v>
      </c>
      <c r="AF131" s="63" t="str">
        <f>"."&amp;N$2&amp;".col="&amp;_xlfn.XLOOKUP(N$4,refs!$A$2:$A$19,refs!$B$2:$B$19)&amp;",name="&amp;LEFT(N$6,16)&amp;","</f>
        <v>.9.col=8,name=.,</v>
      </c>
    </row>
    <row r="132" spans="1:32" ht="13.5" customHeight="1" x14ac:dyDescent="0.25">
      <c r="A132" s="97">
        <f t="shared" si="24"/>
        <v>10</v>
      </c>
      <c r="B132" s="5" t="s">
        <v>21</v>
      </c>
      <c r="C132" s="25" t="s">
        <v>21</v>
      </c>
      <c r="D132" s="88" t="s">
        <v>55</v>
      </c>
      <c r="E132" s="21">
        <f t="shared" si="25"/>
        <v>1</v>
      </c>
      <c r="F132" s="6"/>
      <c r="G132" s="6" t="s">
        <v>21</v>
      </c>
      <c r="H132" s="6"/>
      <c r="I132" s="83"/>
      <c r="J132" s="6"/>
      <c r="K132" s="6"/>
      <c r="L132" s="6"/>
      <c r="M132" s="83"/>
      <c r="N132" s="6"/>
      <c r="O132" s="6"/>
      <c r="P132" s="6"/>
      <c r="Q132" s="83"/>
      <c r="R132" s="6"/>
      <c r="S132" s="6"/>
      <c r="T132" s="6"/>
      <c r="U132" s="6"/>
      <c r="V132" s="52" t="str">
        <f t="shared" si="26"/>
        <v/>
      </c>
      <c r="W132" s="34">
        <f t="shared" si="27"/>
        <v>2</v>
      </c>
      <c r="X132" s="9" t="str" cm="1">
        <f t="array" ref="X132">INDEX(F118:V118,W132)</f>
        <v>Coral</v>
      </c>
      <c r="Y132" s="9">
        <f>_xlfn.XLOOKUP(X132,refs!$A$2:$A$19,refs!$B$2:$B$19)</f>
        <v>10</v>
      </c>
      <c r="Z132" s="77" t="str" cm="1">
        <f t="array" ref="Z132">INDEX($F$3:$V$3,W132)</f>
        <v>#D2</v>
      </c>
      <c r="AA132" s="74">
        <f>IF(C132="x",Y132,_xlfn.XLOOKUP(C117,refs!$A$2:$A$19,refs!$B$2:$B$19))</f>
        <v>10</v>
      </c>
      <c r="AB132" s="61" t="str">
        <f t="shared" si="28"/>
        <v>.10.col=10,mute=0,</v>
      </c>
      <c r="AC132" s="62" t="str">
        <f t="shared" si="29"/>
        <v>.10.tags=#D2,</v>
      </c>
      <c r="AD132" s="62" t="str">
        <f t="shared" si="31"/>
        <v>.10.name=DYLAN.flotsam,</v>
      </c>
      <c r="AE132" s="62" t="str">
        <f t="shared" si="30"/>
        <v>..10.postins.on=1,mode=AUTO_X,</v>
      </c>
      <c r="AF132" s="63" t="str">
        <f>"."&amp;O$2&amp;".col="&amp;_xlfn.XLOOKUP(O$4,refs!$A$2:$A$19,refs!$B$2:$B$19)&amp;",name="&amp;LEFT(O$6,16)&amp;","</f>
        <v>.10.col=9,name=.,</v>
      </c>
    </row>
    <row r="133" spans="1:32" ht="13.5" customHeight="1" x14ac:dyDescent="0.25">
      <c r="A133" s="97">
        <f t="shared" si="24"/>
        <v>11</v>
      </c>
      <c r="B133" s="5" t="s">
        <v>21</v>
      </c>
      <c r="C133" s="25" t="s">
        <v>21</v>
      </c>
      <c r="D133" s="88" t="s">
        <v>56</v>
      </c>
      <c r="E133" s="21">
        <f t="shared" si="25"/>
        <v>1</v>
      </c>
      <c r="F133" s="6"/>
      <c r="G133" s="6" t="s">
        <v>21</v>
      </c>
      <c r="H133" s="6"/>
      <c r="I133" s="83"/>
      <c r="J133" s="6"/>
      <c r="K133" s="6"/>
      <c r="L133" s="6"/>
      <c r="M133" s="83"/>
      <c r="N133" s="6"/>
      <c r="O133" s="6"/>
      <c r="P133" s="6"/>
      <c r="Q133" s="83"/>
      <c r="R133" s="6"/>
      <c r="S133" s="6"/>
      <c r="T133" s="6"/>
      <c r="U133" s="6"/>
      <c r="V133" s="52" t="str">
        <f t="shared" si="26"/>
        <v/>
      </c>
      <c r="W133" s="34">
        <f t="shared" si="27"/>
        <v>2</v>
      </c>
      <c r="X133" s="9" t="str" cm="1">
        <f t="array" ref="X133">INDEX(F118:V118,W133)</f>
        <v>Coral</v>
      </c>
      <c r="Y133" s="9">
        <f>_xlfn.XLOOKUP(X133,refs!$A$2:$A$19,refs!$B$2:$B$19)</f>
        <v>10</v>
      </c>
      <c r="Z133" s="77" t="str" cm="1">
        <f t="array" ref="Z133">INDEX($F$3:$V$3,W133)</f>
        <v>#D2</v>
      </c>
      <c r="AA133" s="74">
        <f>IF(C133="x",Y133,_xlfn.XLOOKUP(C117,refs!$A$2:$A$19,refs!$B$2:$B$19))</f>
        <v>10</v>
      </c>
      <c r="AB133" s="61" t="str">
        <f t="shared" si="28"/>
        <v>.11.col=10,mute=0,</v>
      </c>
      <c r="AC133" s="62" t="str">
        <f t="shared" si="29"/>
        <v>.11.tags=#D2,</v>
      </c>
      <c r="AD133" s="62" t="str">
        <f t="shared" si="31"/>
        <v>.11.name=ELIJAH.jetsam,</v>
      </c>
      <c r="AE133" s="62" t="str">
        <f t="shared" si="30"/>
        <v>..11.postins.on=1,mode=AUTO_X,</v>
      </c>
      <c r="AF133" s="63" t="str">
        <f>"."&amp;P$2&amp;".col="&amp;_xlfn.XLOOKUP(P$4,refs!$A$2:$A$19,refs!$B$2:$B$19)&amp;",name="&amp;LEFT(P$6,16)&amp;","</f>
        <v>.11.col=10,name=OS,</v>
      </c>
    </row>
    <row r="134" spans="1:32" ht="13.5" customHeight="1" x14ac:dyDescent="0.25">
      <c r="A134" s="97">
        <f t="shared" si="24"/>
        <v>12</v>
      </c>
      <c r="B134" s="5" t="s">
        <v>21</v>
      </c>
      <c r="C134" s="25" t="s">
        <v>21</v>
      </c>
      <c r="D134" s="89" t="s">
        <v>50</v>
      </c>
      <c r="E134" s="21">
        <f t="shared" si="25"/>
        <v>1</v>
      </c>
      <c r="F134" s="6"/>
      <c r="G134" s="6"/>
      <c r="H134" s="6" t="s">
        <v>21</v>
      </c>
      <c r="I134" s="83"/>
      <c r="J134" s="6"/>
      <c r="K134" s="6"/>
      <c r="L134" s="6"/>
      <c r="M134" s="83"/>
      <c r="N134" s="6"/>
      <c r="O134" s="6"/>
      <c r="P134" s="6"/>
      <c r="Q134" s="83"/>
      <c r="R134" s="6"/>
      <c r="S134" s="6"/>
      <c r="T134" s="6"/>
      <c r="U134" s="6"/>
      <c r="V134" s="52" t="str">
        <f t="shared" si="26"/>
        <v/>
      </c>
      <c r="W134" s="34">
        <f t="shared" si="27"/>
        <v>3</v>
      </c>
      <c r="X134" s="9" t="str" cm="1">
        <f t="array" ref="X134">INDEX(F118:V118,W134)</f>
        <v>Brown</v>
      </c>
      <c r="Y134" s="9">
        <f>_xlfn.XLOOKUP(X134,refs!$A$2:$A$19,refs!$B$2:$B$19)</f>
        <v>8</v>
      </c>
      <c r="Z134" s="77" t="str" cm="1">
        <f t="array" ref="Z134">INDEX($F$3:$V$3,W134)</f>
        <v>#D3</v>
      </c>
      <c r="AA134" s="74">
        <f>IF(C134="x",Y134,_xlfn.XLOOKUP(C117,refs!$A$2:$A$19,refs!$B$2:$B$19))</f>
        <v>8</v>
      </c>
      <c r="AB134" s="61" t="str">
        <f t="shared" si="28"/>
        <v>.12.col=8,mute=0,</v>
      </c>
      <c r="AC134" s="62" t="str">
        <f t="shared" si="29"/>
        <v>.12.tags=#D3,</v>
      </c>
      <c r="AD134" s="62" t="str">
        <f t="shared" si="31"/>
        <v>.12.name=SYR.pilot,</v>
      </c>
      <c r="AE134" s="62" t="str">
        <f t="shared" si="30"/>
        <v>..12.postins.on=1,mode=AUTO_X,</v>
      </c>
      <c r="AF134" s="63" t="str">
        <f>"."&amp;Q$2&amp;".col="&amp;_xlfn.XLOOKUP(Q$4,refs!$A$2:$A$19,refs!$B$2:$B$19)&amp;",name="&amp;LEFT(Q$6,16)&amp;","</f>
        <v>.12.col=11,name=VOX+.VRB,</v>
      </c>
    </row>
    <row r="135" spans="1:32" ht="13.5" customHeight="1" x14ac:dyDescent="0.25">
      <c r="A135" s="97">
        <f t="shared" si="24"/>
        <v>13</v>
      </c>
      <c r="B135" s="5" t="s">
        <v>26</v>
      </c>
      <c r="C135" s="25" t="s">
        <v>21</v>
      </c>
      <c r="D135" s="90" t="s">
        <v>57</v>
      </c>
      <c r="E135" s="21">
        <f t="shared" si="25"/>
        <v>1</v>
      </c>
      <c r="F135" s="6"/>
      <c r="G135" s="6"/>
      <c r="H135" s="6"/>
      <c r="I135" s="83" t="s">
        <v>21</v>
      </c>
      <c r="J135" s="6"/>
      <c r="K135" s="6"/>
      <c r="L135" s="6"/>
      <c r="M135" s="83"/>
      <c r="N135" s="6"/>
      <c r="O135" s="6"/>
      <c r="P135" s="6"/>
      <c r="Q135" s="83"/>
      <c r="R135" s="6"/>
      <c r="S135" s="6"/>
      <c r="T135" s="6"/>
      <c r="U135" s="6"/>
      <c r="V135" s="52" t="str">
        <f t="shared" si="26"/>
        <v/>
      </c>
      <c r="W135" s="34">
        <f t="shared" si="27"/>
        <v>4</v>
      </c>
      <c r="X135" s="9" t="str" cm="1">
        <f t="array" ref="X135">INDEX(F118:V118,W135)</f>
        <v>Pink</v>
      </c>
      <c r="Y135" s="9">
        <f>_xlfn.XLOOKUP(X135,refs!$A$2:$A$19,refs!$B$2:$B$19)</f>
        <v>11</v>
      </c>
      <c r="Z135" s="77" t="str" cm="1">
        <f t="array" ref="Z135">INDEX($F$3:$V$3,W135)</f>
        <v>#D4</v>
      </c>
      <c r="AA135" s="74">
        <f>IF(C135="x",Y135,_xlfn.XLOOKUP(C117,refs!$A$2:$A$19,refs!$B$2:$B$19))</f>
        <v>11</v>
      </c>
      <c r="AB135" s="61" t="str">
        <f t="shared" si="28"/>
        <v>.13.col=11,mute=0,</v>
      </c>
      <c r="AC135" s="62" t="str">
        <f t="shared" si="29"/>
        <v>.13.tags=#D4,</v>
      </c>
      <c r="AD135" s="62" t="str">
        <f t="shared" si="31"/>
        <v>.13.name=KATELYN.aquata,</v>
      </c>
      <c r="AE135" s="62" t="str">
        <f t="shared" si="30"/>
        <v>..13.postins.on=1,mode=AUTO_Y,</v>
      </c>
      <c r="AF135" s="63" t="str">
        <f>"."&amp;R$2&amp;".col="&amp;_xlfn.XLOOKUP(R$4,refs!$A$2:$A$19,refs!$B$2:$B$19)&amp;",name="&amp;LEFT(R$6,16)&amp;","</f>
        <v>.13.col=12,name=VOX_.VRB,</v>
      </c>
    </row>
    <row r="136" spans="1:32" ht="13.5" customHeight="1" x14ac:dyDescent="0.25">
      <c r="A136" s="97">
        <f t="shared" si="24"/>
        <v>14</v>
      </c>
      <c r="B136" s="5" t="s">
        <v>26</v>
      </c>
      <c r="C136" s="25" t="s">
        <v>21</v>
      </c>
      <c r="D136" s="90" t="s">
        <v>58</v>
      </c>
      <c r="E136" s="21">
        <f t="shared" si="25"/>
        <v>1</v>
      </c>
      <c r="F136" s="6"/>
      <c r="G136" s="6"/>
      <c r="H136" s="6"/>
      <c r="I136" s="83" t="s">
        <v>21</v>
      </c>
      <c r="J136" s="6"/>
      <c r="K136" s="6"/>
      <c r="L136" s="6"/>
      <c r="M136" s="83"/>
      <c r="N136" s="6"/>
      <c r="O136" s="6"/>
      <c r="P136" s="6"/>
      <c r="Q136" s="83"/>
      <c r="R136" s="6"/>
      <c r="S136" s="6"/>
      <c r="T136" s="6"/>
      <c r="U136" s="6"/>
      <c r="V136" s="52" t="str">
        <f t="shared" si="26"/>
        <v/>
      </c>
      <c r="W136" s="34">
        <f t="shared" si="27"/>
        <v>4</v>
      </c>
      <c r="X136" s="9" t="str" cm="1">
        <f t="array" ref="X136">INDEX(F118:V118,W136)</f>
        <v>Pink</v>
      </c>
      <c r="Y136" s="9">
        <f>_xlfn.XLOOKUP(X136,refs!$A$2:$A$19,refs!$B$2:$B$19)</f>
        <v>11</v>
      </c>
      <c r="Z136" s="77" t="str" cm="1">
        <f t="array" ref="Z136">INDEX($F$3:$V$3,W136)</f>
        <v>#D4</v>
      </c>
      <c r="AA136" s="74">
        <f>IF(C136="x",Y136,_xlfn.XLOOKUP(C117,refs!$A$2:$A$19,refs!$B$2:$B$19))</f>
        <v>11</v>
      </c>
      <c r="AB136" s="61" t="str">
        <f t="shared" si="28"/>
        <v>.14.col=11,mute=0,</v>
      </c>
      <c r="AC136" s="62" t="str">
        <f t="shared" si="29"/>
        <v>.14.tags=#D4,</v>
      </c>
      <c r="AD136" s="62" t="str">
        <f t="shared" si="31"/>
        <v>.14.name=NADJA.adrina,</v>
      </c>
      <c r="AE136" s="62" t="str">
        <f t="shared" si="30"/>
        <v>..14.postins.on=1,mode=AUTO_Y,</v>
      </c>
      <c r="AF136" s="63" t="str">
        <f>"."&amp;S$2&amp;".col="&amp;_xlfn.XLOOKUP(S$4,refs!$A$2:$A$19,refs!$B$2:$B$19)&amp;",name="&amp;LEFT(S$6,16)&amp;","</f>
        <v>.14.col=13,name=INST+.VRB,</v>
      </c>
    </row>
    <row r="137" spans="1:32" ht="13.5" customHeight="1" x14ac:dyDescent="0.25">
      <c r="A137" s="97">
        <f t="shared" si="24"/>
        <v>15</v>
      </c>
      <c r="B137" s="5" t="s">
        <v>26</v>
      </c>
      <c r="C137" s="25" t="s">
        <v>21</v>
      </c>
      <c r="D137" s="90" t="s">
        <v>60</v>
      </c>
      <c r="E137" s="21">
        <f t="shared" si="25"/>
        <v>1</v>
      </c>
      <c r="F137" s="6"/>
      <c r="G137" s="6"/>
      <c r="H137" s="6"/>
      <c r="I137" s="83" t="s">
        <v>21</v>
      </c>
      <c r="J137" s="6"/>
      <c r="K137" s="6"/>
      <c r="L137" s="6"/>
      <c r="M137" s="83"/>
      <c r="N137" s="6"/>
      <c r="O137" s="6"/>
      <c r="P137" s="6"/>
      <c r="Q137" s="83"/>
      <c r="R137" s="6"/>
      <c r="S137" s="6"/>
      <c r="T137" s="6"/>
      <c r="U137" s="6"/>
      <c r="V137" s="52" t="str">
        <f t="shared" si="26"/>
        <v/>
      </c>
      <c r="W137" s="34">
        <f t="shared" si="27"/>
        <v>4</v>
      </c>
      <c r="X137" s="9" t="str" cm="1">
        <f t="array" ref="X137">INDEX(F118:V118,W137)</f>
        <v>Pink</v>
      </c>
      <c r="Y137" s="9">
        <f>_xlfn.XLOOKUP(X137,refs!$A$2:$A$19,refs!$B$2:$B$19)</f>
        <v>11</v>
      </c>
      <c r="Z137" s="77" t="str" cm="1">
        <f t="array" ref="Z137">INDEX($F$3:$V$3,W137)</f>
        <v>#D4</v>
      </c>
      <c r="AA137" s="74">
        <f>IF(C137="x",Y137,_xlfn.XLOOKUP(C117,refs!$A$2:$A$19,refs!$B$2:$B$19))</f>
        <v>11</v>
      </c>
      <c r="AB137" s="61" t="str">
        <f t="shared" si="28"/>
        <v>.15.col=11,mute=0,</v>
      </c>
      <c r="AC137" s="62" t="str">
        <f t="shared" si="29"/>
        <v>.15.tags=#D4,</v>
      </c>
      <c r="AD137" s="62" t="str">
        <f t="shared" si="31"/>
        <v>.15.name=RACHELP.arista,</v>
      </c>
      <c r="AE137" s="62" t="str">
        <f t="shared" si="30"/>
        <v>..15.postins.on=1,mode=AUTO_Y,</v>
      </c>
      <c r="AF137" s="63" t="str">
        <f>"."&amp;T$2&amp;".col="&amp;_xlfn.XLOOKUP(T$4,refs!$A$2:$A$19,refs!$B$2:$B$19)&amp;",name="&amp;LEFT(T$6,16)&amp;","</f>
        <v>.15.col=14,name=INST_.VRB,</v>
      </c>
    </row>
    <row r="138" spans="1:32" ht="13.5" customHeight="1" x14ac:dyDescent="0.25">
      <c r="A138" s="97">
        <f t="shared" si="24"/>
        <v>16</v>
      </c>
      <c r="B138" s="5" t="s">
        <v>26</v>
      </c>
      <c r="C138" s="25" t="s">
        <v>21</v>
      </c>
      <c r="D138" s="90" t="s">
        <v>59</v>
      </c>
      <c r="E138" s="21">
        <f t="shared" si="25"/>
        <v>1</v>
      </c>
      <c r="F138" s="6"/>
      <c r="G138" s="6"/>
      <c r="H138" s="6"/>
      <c r="I138" s="83" t="s">
        <v>21</v>
      </c>
      <c r="J138" s="6"/>
      <c r="K138" s="6"/>
      <c r="L138" s="6"/>
      <c r="M138" s="83"/>
      <c r="N138" s="6"/>
      <c r="O138" s="6"/>
      <c r="P138" s="6"/>
      <c r="Q138" s="83"/>
      <c r="R138" s="6"/>
      <c r="S138" s="6"/>
      <c r="T138" s="6"/>
      <c r="U138" s="6"/>
      <c r="V138" s="52" t="str">
        <f t="shared" si="26"/>
        <v/>
      </c>
      <c r="W138" s="34">
        <f t="shared" si="27"/>
        <v>4</v>
      </c>
      <c r="X138" s="9" t="str" cm="1">
        <f t="array" ref="X138">INDEX(F118:V118,W138)</f>
        <v>Pink</v>
      </c>
      <c r="Y138" s="9">
        <f>_xlfn.XLOOKUP(X138,refs!$A$2:$A$19,refs!$B$2:$B$19)</f>
        <v>11</v>
      </c>
      <c r="Z138" s="77" t="str" cm="1">
        <f t="array" ref="Z138">INDEX($F$3:$V$3,W138)</f>
        <v>#D4</v>
      </c>
      <c r="AA138" s="74">
        <f>IF(C138="x",Y138,_xlfn.XLOOKUP(C117,refs!$A$2:$A$19,refs!$B$2:$B$19))</f>
        <v>11</v>
      </c>
      <c r="AB138" s="61" t="str">
        <f t="shared" si="28"/>
        <v>.16.col=11,mute=0,</v>
      </c>
      <c r="AC138" s="62" t="str">
        <f t="shared" si="29"/>
        <v>.16.tags=#D4,</v>
      </c>
      <c r="AD138" s="62" t="str">
        <f t="shared" si="31"/>
        <v>.16.name=MAURA.atina,</v>
      </c>
      <c r="AE138" s="62" t="str">
        <f t="shared" si="30"/>
        <v>..16.postins.on=1,mode=AUTO_Y,</v>
      </c>
      <c r="AF138" s="63" t="str">
        <f>"."&amp;U$2&amp;".col="&amp;_xlfn.XLOOKUP(U$4,refs!$A$2:$A$19,refs!$B$2:$B$19)&amp;",name="&amp;LEFT(U$6,16)&amp;","</f>
        <v>.16.col=15,name=MAINS,</v>
      </c>
    </row>
    <row r="139" spans="1:32" ht="13.5" customHeight="1" x14ac:dyDescent="0.25">
      <c r="A139" s="97">
        <f t="shared" si="24"/>
        <v>17</v>
      </c>
      <c r="B139" s="5"/>
      <c r="C139" s="25" t="s">
        <v>21</v>
      </c>
      <c r="D139" s="90" t="s">
        <v>61</v>
      </c>
      <c r="E139" s="21">
        <f t="shared" si="25"/>
        <v>1</v>
      </c>
      <c r="F139" s="6"/>
      <c r="G139" s="6"/>
      <c r="H139" s="6"/>
      <c r="I139" s="83" t="s">
        <v>21</v>
      </c>
      <c r="J139" s="6"/>
      <c r="K139" s="6"/>
      <c r="L139" s="6"/>
      <c r="M139" s="83"/>
      <c r="N139" s="6"/>
      <c r="O139" s="6"/>
      <c r="P139" s="6"/>
      <c r="Q139" s="83"/>
      <c r="R139" s="6"/>
      <c r="S139" s="6"/>
      <c r="T139" s="6"/>
      <c r="U139" s="6"/>
      <c r="V139" s="52" t="str">
        <f t="shared" si="26"/>
        <v/>
      </c>
      <c r="W139" s="34">
        <f t="shared" si="27"/>
        <v>4</v>
      </c>
      <c r="X139" s="9" t="str" cm="1">
        <f t="array" ref="X139">INDEX(F118:V118,W139)</f>
        <v>Pink</v>
      </c>
      <c r="Y139" s="9">
        <f>_xlfn.XLOOKUP(X139,refs!$A$2:$A$19,refs!$B$2:$B$19)</f>
        <v>11</v>
      </c>
      <c r="Z139" s="77" t="str" cm="1">
        <f t="array" ref="Z139">INDEX($F$3:$V$3,W139)</f>
        <v>#D4</v>
      </c>
      <c r="AA139" s="74">
        <f>IF(C139="x",Y139,_xlfn.XLOOKUP(C117,refs!$A$2:$A$19,refs!$B$2:$B$19))</f>
        <v>11</v>
      </c>
      <c r="AB139" s="61" t="str">
        <f t="shared" si="28"/>
        <v>.17.col=11,mute=0,</v>
      </c>
      <c r="AC139" s="62" t="str">
        <f t="shared" si="29"/>
        <v>.17.tags=#D4,</v>
      </c>
      <c r="AD139" s="62" t="str">
        <f t="shared" si="31"/>
        <v>.17.name=JACKLYN.adella,</v>
      </c>
      <c r="AE139" s="62" t="str">
        <f t="shared" si="30"/>
        <v>..17.postins.on=0,mode=FX,</v>
      </c>
      <c r="AF139" s="63" t="str">
        <f>"/cfg.amix.x="&amp;IF(C118="x",1,0)&amp;",/cfg.amix.y="&amp;IF(C120="x",1,0)&amp;","</f>
        <v>/cfg.amix.x=1,/cfg.amix.y=1,</v>
      </c>
    </row>
    <row r="140" spans="1:32" ht="13.5" customHeight="1" x14ac:dyDescent="0.25">
      <c r="A140" s="97">
        <f t="shared" si="24"/>
        <v>18</v>
      </c>
      <c r="B140" s="5"/>
      <c r="C140" s="25" t="s">
        <v>21</v>
      </c>
      <c r="D140" s="90" t="s">
        <v>62</v>
      </c>
      <c r="E140" s="21">
        <f t="shared" si="25"/>
        <v>1</v>
      </c>
      <c r="F140" s="6"/>
      <c r="G140" s="6"/>
      <c r="H140" s="6"/>
      <c r="I140" s="83" t="s">
        <v>21</v>
      </c>
      <c r="J140" s="6"/>
      <c r="K140" s="6"/>
      <c r="L140" s="6"/>
      <c r="M140" s="83"/>
      <c r="N140" s="6"/>
      <c r="O140" s="6"/>
      <c r="P140" s="6"/>
      <c r="Q140" s="83"/>
      <c r="R140" s="6"/>
      <c r="S140" s="6"/>
      <c r="T140" s="6"/>
      <c r="U140" s="6"/>
      <c r="V140" s="52" t="str">
        <f t="shared" si="26"/>
        <v/>
      </c>
      <c r="W140" s="34">
        <f t="shared" si="27"/>
        <v>4</v>
      </c>
      <c r="X140" s="9" t="str" cm="1">
        <f t="array" ref="X140">INDEX(F118:V118,W140)</f>
        <v>Pink</v>
      </c>
      <c r="Y140" s="9">
        <f>_xlfn.XLOOKUP(X140,refs!$A$2:$A$19,refs!$B$2:$B$19)</f>
        <v>11</v>
      </c>
      <c r="Z140" s="77" t="str" cm="1">
        <f t="array" ref="Z140">INDEX($F$3:$V$3,W140)</f>
        <v>#D4</v>
      </c>
      <c r="AA140" s="74">
        <f>IF(C140="x",Y140,_xlfn.XLOOKUP(C117,refs!$A$2:$A$19,refs!$B$2:$B$19))</f>
        <v>11</v>
      </c>
      <c r="AB140" s="61" t="str">
        <f t="shared" si="28"/>
        <v>.18.col=11,mute=0,</v>
      </c>
      <c r="AC140" s="62" t="str">
        <f t="shared" si="29"/>
        <v>.18.tags=#D4,</v>
      </c>
      <c r="AD140" s="62" t="str">
        <f t="shared" si="31"/>
        <v>.18.name=SARAH.allana,</v>
      </c>
      <c r="AE140" s="62" t="str">
        <f t="shared" si="30"/>
        <v>..18.postins.on=0,mode=FX,</v>
      </c>
      <c r="AF140" s="63"/>
    </row>
    <row r="141" spans="1:32" ht="13.5" customHeight="1" x14ac:dyDescent="0.25">
      <c r="A141" s="97">
        <f t="shared" si="24"/>
        <v>19</v>
      </c>
      <c r="B141" s="5"/>
      <c r="C141" s="25" t="s">
        <v>21</v>
      </c>
      <c r="D141" s="91" t="s">
        <v>63</v>
      </c>
      <c r="E141" s="21">
        <f t="shared" si="25"/>
        <v>1</v>
      </c>
      <c r="F141" s="6"/>
      <c r="G141" s="6"/>
      <c r="H141" s="6"/>
      <c r="I141" s="83"/>
      <c r="J141" s="6" t="s">
        <v>21</v>
      </c>
      <c r="K141" s="6"/>
      <c r="L141" s="6"/>
      <c r="M141" s="83"/>
      <c r="N141" s="6"/>
      <c r="O141" s="6"/>
      <c r="P141" s="6"/>
      <c r="Q141" s="83"/>
      <c r="R141" s="6"/>
      <c r="S141" s="6"/>
      <c r="T141" s="6"/>
      <c r="U141" s="6"/>
      <c r="V141" s="52" t="str">
        <f t="shared" si="26"/>
        <v/>
      </c>
      <c r="W141" s="34">
        <f t="shared" si="27"/>
        <v>5</v>
      </c>
      <c r="X141" s="9" t="str" cm="1">
        <f t="array" ref="X141">INDEX(F118:V118,W141)</f>
        <v>Green</v>
      </c>
      <c r="Y141" s="9">
        <f>_xlfn.XLOOKUP(X141,refs!$A$2:$A$19,refs!$B$2:$B$19)</f>
        <v>5</v>
      </c>
      <c r="Z141" s="77" t="str" cm="1">
        <f t="array" ref="Z141">INDEX($F$3:$V$3,W141)</f>
        <v>#D5</v>
      </c>
      <c r="AA141" s="74">
        <f>IF(C141="x",Y141,_xlfn.XLOOKUP(C117,refs!$A$2:$A$19,refs!$B$2:$B$19))</f>
        <v>5</v>
      </c>
      <c r="AB141" s="61" t="str">
        <f t="shared" si="28"/>
        <v>.19.col=5,mute=0,</v>
      </c>
      <c r="AC141" s="62" t="str">
        <f t="shared" si="29"/>
        <v>.19.tags=#D5,</v>
      </c>
      <c r="AD141" s="62" t="str">
        <f t="shared" si="31"/>
        <v>.19.name=REBECCA.maid,</v>
      </c>
      <c r="AE141" s="62" t="str">
        <f t="shared" si="30"/>
        <v>..19.postins.on=0,mode=FX,</v>
      </c>
      <c r="AF141" s="63"/>
    </row>
    <row r="142" spans="1:32" ht="13.5" customHeight="1" x14ac:dyDescent="0.25">
      <c r="A142" s="97">
        <f t="shared" si="24"/>
        <v>20</v>
      </c>
      <c r="B142" s="5"/>
      <c r="C142" s="25" t="s">
        <v>21</v>
      </c>
      <c r="D142" s="91" t="s">
        <v>64</v>
      </c>
      <c r="E142" s="21">
        <f t="shared" si="25"/>
        <v>1</v>
      </c>
      <c r="F142" s="6"/>
      <c r="G142" s="6"/>
      <c r="H142" s="6"/>
      <c r="I142" s="83"/>
      <c r="J142" s="6" t="s">
        <v>21</v>
      </c>
      <c r="K142" s="6"/>
      <c r="L142" s="6"/>
      <c r="M142" s="83"/>
      <c r="N142" s="6"/>
      <c r="O142" s="6"/>
      <c r="P142" s="6"/>
      <c r="Q142" s="83"/>
      <c r="R142" s="6"/>
      <c r="S142" s="6"/>
      <c r="T142" s="6"/>
      <c r="U142" s="6"/>
      <c r="V142" s="52" t="str">
        <f t="shared" si="26"/>
        <v/>
      </c>
      <c r="W142" s="34">
        <f t="shared" si="27"/>
        <v>5</v>
      </c>
      <c r="X142" s="9" t="str" cm="1">
        <f t="array" ref="X142">INDEX(F118:V118,W142)</f>
        <v>Green</v>
      </c>
      <c r="Y142" s="9">
        <f>_xlfn.XLOOKUP(X142,refs!$A$2:$A$19,refs!$B$2:$B$19)</f>
        <v>5</v>
      </c>
      <c r="Z142" s="77" t="str" cm="1">
        <f t="array" ref="Z142">INDEX($F$3:$V$3,W142)</f>
        <v>#D5</v>
      </c>
      <c r="AA142" s="74">
        <f>IF(C142="x",Y142,_xlfn.XLOOKUP(C117,refs!$A$2:$A$19,refs!$B$2:$B$19))</f>
        <v>5</v>
      </c>
      <c r="AB142" s="61" t="str">
        <f t="shared" si="28"/>
        <v>.20.col=5,mute=0,</v>
      </c>
      <c r="AC142" s="62" t="str">
        <f t="shared" si="29"/>
        <v>.20.tags=#D5,</v>
      </c>
      <c r="AD142" s="62" t="str">
        <f t="shared" si="31"/>
        <v>.20.name=ANNIE.maid,</v>
      </c>
      <c r="AE142" s="62" t="str">
        <f t="shared" si="30"/>
        <v>..20.postins.on=0,mode=FX,</v>
      </c>
      <c r="AF142" s="63"/>
    </row>
    <row r="143" spans="1:32" ht="13.5" customHeight="1" x14ac:dyDescent="0.25">
      <c r="A143" s="97">
        <f t="shared" si="24"/>
        <v>21</v>
      </c>
      <c r="B143" s="5"/>
      <c r="C143" s="25" t="s">
        <v>21</v>
      </c>
      <c r="D143" s="91" t="s">
        <v>65</v>
      </c>
      <c r="E143" s="21">
        <f t="shared" si="25"/>
        <v>1</v>
      </c>
      <c r="F143" s="6"/>
      <c r="G143" s="6"/>
      <c r="H143" s="6"/>
      <c r="I143" s="83"/>
      <c r="J143" s="6" t="s">
        <v>21</v>
      </c>
      <c r="K143" s="6"/>
      <c r="L143" s="6"/>
      <c r="M143" s="83"/>
      <c r="N143" s="6"/>
      <c r="O143" s="6"/>
      <c r="P143" s="6"/>
      <c r="Q143" s="83"/>
      <c r="R143" s="6"/>
      <c r="S143" s="6"/>
      <c r="T143" s="6"/>
      <c r="U143" s="6"/>
      <c r="V143" s="52" t="str">
        <f t="shared" si="26"/>
        <v/>
      </c>
      <c r="W143" s="34">
        <f t="shared" si="27"/>
        <v>5</v>
      </c>
      <c r="X143" s="9" t="str" cm="1">
        <f t="array" ref="X143">INDEX(F118:V118,W143)</f>
        <v>Green</v>
      </c>
      <c r="Y143" s="9">
        <f>_xlfn.XLOOKUP(X143,refs!$A$2:$A$19,refs!$B$2:$B$19)</f>
        <v>5</v>
      </c>
      <c r="Z143" s="77" t="str" cm="1">
        <f t="array" ref="Z143">INDEX($F$3:$V$3,W143)</f>
        <v>#D5</v>
      </c>
      <c r="AA143" s="74">
        <f>IF(C143="x",Y143,_xlfn.XLOOKUP(C117,refs!$A$2:$A$19,refs!$B$2:$B$19))</f>
        <v>5</v>
      </c>
      <c r="AB143" s="61" t="str">
        <f t="shared" si="28"/>
        <v>.21.col=5,mute=0,</v>
      </c>
      <c r="AC143" s="62" t="str">
        <f t="shared" si="29"/>
        <v>.21.tags=#D5,</v>
      </c>
      <c r="AD143" s="62" t="str">
        <f>"/ch."&amp;A143&amp;".name="&amp;LEFT(D143,16)&amp;","</f>
        <v>/ch.21.name=KARA.maid,</v>
      </c>
      <c r="AE143" s="62" t="str">
        <f>"/ch."&amp;A143&amp;".postins.on="&amp;IF(B143="x",1,IF(B143="y",1,0))&amp;",mode="&amp;IF(B143="x","AUTO_X",IF(B143="y","AUTO_Y","FX"))&amp;","</f>
        <v>/ch.21.postins.on=0,mode=FX,</v>
      </c>
      <c r="AF143" s="63"/>
    </row>
    <row r="144" spans="1:32" ht="13.5" customHeight="1" x14ac:dyDescent="0.25">
      <c r="A144" s="97">
        <f t="shared" si="24"/>
        <v>22</v>
      </c>
      <c r="B144" s="5"/>
      <c r="C144" s="25" t="s">
        <v>21</v>
      </c>
      <c r="D144" s="92" t="s">
        <v>66</v>
      </c>
      <c r="E144" s="21">
        <f t="shared" si="25"/>
        <v>1</v>
      </c>
      <c r="F144" s="6"/>
      <c r="G144" s="6"/>
      <c r="H144" s="6"/>
      <c r="I144" s="83"/>
      <c r="J144" s="6"/>
      <c r="K144" s="6" t="s">
        <v>21</v>
      </c>
      <c r="L144" s="6"/>
      <c r="M144" s="83"/>
      <c r="N144" s="6"/>
      <c r="O144" s="6"/>
      <c r="P144" s="6"/>
      <c r="Q144" s="83"/>
      <c r="R144" s="6"/>
      <c r="S144" s="6"/>
      <c r="T144" s="6"/>
      <c r="U144" s="6"/>
      <c r="V144" s="52" t="str">
        <f t="shared" si="26"/>
        <v/>
      </c>
      <c r="W144" s="34">
        <f t="shared" si="27"/>
        <v>6</v>
      </c>
      <c r="X144" s="9" t="str" cm="1">
        <f t="array" ref="X144">INDEX(F118:V118,W144)</f>
        <v>Turquoise</v>
      </c>
      <c r="Y144" s="9">
        <f>_xlfn.XLOOKUP(X144,refs!$A$2:$A$19,refs!$B$2:$B$19)</f>
        <v>4</v>
      </c>
      <c r="Z144" s="77" t="str" cm="1">
        <f t="array" ref="Z144">INDEX($F$3:$V$3,W144)</f>
        <v>#D6</v>
      </c>
      <c r="AA144" s="74">
        <f>IF(C144="x",Y144,_xlfn.XLOOKUP(C117,refs!$A$2:$A$19,refs!$B$2:$B$19))</f>
        <v>4</v>
      </c>
      <c r="AB144" s="61" t="str">
        <f t="shared" si="28"/>
        <v>.22.col=4,mute=0,</v>
      </c>
      <c r="AC144" s="62" t="str">
        <f t="shared" si="29"/>
        <v>.22.tags=#D6,</v>
      </c>
      <c r="AD144" s="62" t="str">
        <f t="shared" ref="AD144:AD162" si="32">"."&amp;A144&amp;".name="&amp;LEFT(D144,16)&amp;","</f>
        <v>.22.name=GENEVIEVE.leewar,</v>
      </c>
      <c r="AE144" s="62" t="str">
        <f t="shared" ref="AE144:AE162" si="33">".."&amp;A144&amp;".postins.on="&amp;IF(B144="x",1,IF(B144="y",1,0))&amp;",mode="&amp;IF(B144="x","AUTO_X",IF(B144="y","AUTO_Y","FX"))&amp;","</f>
        <v>..22.postins.on=0,mode=FX,</v>
      </c>
      <c r="AF144" s="63"/>
    </row>
    <row r="145" spans="1:32" ht="13.5" customHeight="1" x14ac:dyDescent="0.25">
      <c r="A145" s="97">
        <f t="shared" si="24"/>
        <v>23</v>
      </c>
      <c r="B145" s="5"/>
      <c r="C145" s="25" t="s">
        <v>21</v>
      </c>
      <c r="D145" s="92" t="s">
        <v>67</v>
      </c>
      <c r="E145" s="21">
        <f t="shared" si="25"/>
        <v>1</v>
      </c>
      <c r="F145" s="6"/>
      <c r="G145" s="6"/>
      <c r="H145" s="6"/>
      <c r="I145" s="83"/>
      <c r="J145" s="6"/>
      <c r="K145" s="6" t="s">
        <v>21</v>
      </c>
      <c r="L145" s="6"/>
      <c r="M145" s="83"/>
      <c r="N145" s="6"/>
      <c r="O145" s="6"/>
      <c r="P145" s="6"/>
      <c r="Q145" s="83"/>
      <c r="R145" s="6"/>
      <c r="S145" s="6"/>
      <c r="T145" s="6"/>
      <c r="U145" s="6"/>
      <c r="V145" s="52" t="str">
        <f t="shared" si="26"/>
        <v/>
      </c>
      <c r="W145" s="34">
        <f t="shared" si="27"/>
        <v>6</v>
      </c>
      <c r="X145" s="9" t="str" cm="1">
        <f t="array" ref="X145">INDEX(F118:V118,W145)</f>
        <v>Turquoise</v>
      </c>
      <c r="Y145" s="9">
        <f>_xlfn.XLOOKUP(X145,refs!$A$2:$A$19,refs!$B$2:$B$19)</f>
        <v>4</v>
      </c>
      <c r="Z145" s="77" t="str" cm="1">
        <f t="array" ref="Z145">INDEX($F$3:$V$3,W145)</f>
        <v>#D6</v>
      </c>
      <c r="AA145" s="74">
        <f>IF(C145="x",Y145,_xlfn.XLOOKUP(C117,refs!$A$2:$A$19,refs!$B$2:$B$19))</f>
        <v>4</v>
      </c>
      <c r="AB145" s="61" t="str">
        <f t="shared" si="28"/>
        <v>.23.col=4,mute=0,</v>
      </c>
      <c r="AC145" s="62" t="str">
        <f t="shared" si="29"/>
        <v>.23.tags=#D6,</v>
      </c>
      <c r="AD145" s="62" t="str">
        <f t="shared" si="32"/>
        <v>.23.name=JOCELYN.windward,</v>
      </c>
      <c r="AE145" s="62" t="str">
        <f t="shared" si="33"/>
        <v>..23.postins.on=0,mode=FX,</v>
      </c>
      <c r="AF145" s="63"/>
    </row>
    <row r="146" spans="1:32" ht="13.5" customHeight="1" x14ac:dyDescent="0.25">
      <c r="A146" s="97">
        <f t="shared" si="24"/>
        <v>24</v>
      </c>
      <c r="B146" s="5"/>
      <c r="C146" s="25"/>
      <c r="D146" s="93" t="s">
        <v>68</v>
      </c>
      <c r="E146" s="21">
        <f t="shared" si="25"/>
        <v>0</v>
      </c>
      <c r="F146" s="6"/>
      <c r="G146" s="6"/>
      <c r="H146" s="6"/>
      <c r="I146" s="83"/>
      <c r="J146" s="6"/>
      <c r="K146" s="6"/>
      <c r="L146" s="6"/>
      <c r="M146" s="83"/>
      <c r="N146" s="6"/>
      <c r="O146" s="6"/>
      <c r="P146" s="6"/>
      <c r="Q146" s="83"/>
      <c r="R146" s="6"/>
      <c r="S146" s="6"/>
      <c r="T146" s="6"/>
      <c r="U146" s="6"/>
      <c r="V146" s="52" t="str">
        <f t="shared" si="26"/>
        <v>x</v>
      </c>
      <c r="W146" s="34">
        <f t="shared" si="27"/>
        <v>17</v>
      </c>
      <c r="X146" s="9" t="str" cm="1">
        <f t="array" ref="X146">INDEX(F118:V118,W146)</f>
        <v>White</v>
      </c>
      <c r="Y146" s="9">
        <f>_xlfn.XLOOKUP(X146,refs!$A$2:$A$19,refs!$B$2:$B$19)</f>
        <v>18</v>
      </c>
      <c r="Z146" s="77" t="str" cm="1">
        <f t="array" ref="Z146">INDEX($F$3:$V$3,W146)</f>
        <v/>
      </c>
      <c r="AA146" s="74">
        <f>IF(C146="x",Y146,_xlfn.XLOOKUP(C117,refs!$A$2:$A$19,refs!$B$2:$B$19))</f>
        <v>17</v>
      </c>
      <c r="AB146" s="61" t="str">
        <f t="shared" si="28"/>
        <v>.24.col=17,mute=1,</v>
      </c>
      <c r="AC146" s="62" t="str">
        <f t="shared" si="29"/>
        <v>.24.tags=,</v>
      </c>
      <c r="AD146" s="62" t="str">
        <f t="shared" si="32"/>
        <v>.24.name=.,</v>
      </c>
      <c r="AE146" s="62" t="str">
        <f t="shared" si="33"/>
        <v>..24.postins.on=0,mode=FX,</v>
      </c>
      <c r="AF146" s="63"/>
    </row>
    <row r="147" spans="1:32" ht="13.5" customHeight="1" x14ac:dyDescent="0.25">
      <c r="A147" s="97">
        <f t="shared" si="24"/>
        <v>25</v>
      </c>
      <c r="B147" s="5"/>
      <c r="C147" s="25" t="s">
        <v>21</v>
      </c>
      <c r="D147" s="89" t="s">
        <v>69</v>
      </c>
      <c r="E147" s="21">
        <f t="shared" si="25"/>
        <v>1</v>
      </c>
      <c r="F147" s="6"/>
      <c r="G147" s="6"/>
      <c r="H147" s="6" t="s">
        <v>21</v>
      </c>
      <c r="I147" s="83"/>
      <c r="J147" s="6"/>
      <c r="K147" s="6"/>
      <c r="L147" s="6"/>
      <c r="M147" s="83"/>
      <c r="N147" s="6"/>
      <c r="O147" s="6"/>
      <c r="P147" s="6"/>
      <c r="Q147" s="83"/>
      <c r="R147" s="6"/>
      <c r="S147" s="6"/>
      <c r="T147" s="6"/>
      <c r="U147" s="6"/>
      <c r="V147" s="52" t="str">
        <f t="shared" si="26"/>
        <v/>
      </c>
      <c r="W147" s="34">
        <f t="shared" si="27"/>
        <v>3</v>
      </c>
      <c r="X147" s="9" t="str" cm="1">
        <f t="array" ref="X147">INDEX(F118:V118,W147)</f>
        <v>Brown</v>
      </c>
      <c r="Y147" s="9">
        <f>_xlfn.XLOOKUP(X147,refs!$A$2:$A$19,refs!$B$2:$B$19)</f>
        <v>8</v>
      </c>
      <c r="Z147" s="77" t="str" cm="1">
        <f t="array" ref="Z147">INDEX($F$3:$V$3,W147)</f>
        <v>#D3</v>
      </c>
      <c r="AA147" s="74">
        <f>IF(C147="x",Y147,_xlfn.XLOOKUP(C117,refs!$A$2:$A$19,refs!$B$2:$B$19))</f>
        <v>8</v>
      </c>
      <c r="AB147" s="61" t="str">
        <f t="shared" si="28"/>
        <v>.25.col=8,mute=0,</v>
      </c>
      <c r="AC147" s="62" t="str">
        <f t="shared" si="29"/>
        <v>.25.tags=#D3,</v>
      </c>
      <c r="AD147" s="62" t="str">
        <f t="shared" si="32"/>
        <v>.25.name=ROBERT.sail,</v>
      </c>
      <c r="AE147" s="62" t="str">
        <f t="shared" si="33"/>
        <v>..25.postins.on=0,mode=FX,</v>
      </c>
      <c r="AF147" s="63"/>
    </row>
    <row r="148" spans="1:32" ht="13.5" customHeight="1" x14ac:dyDescent="0.25">
      <c r="A148" s="97">
        <f t="shared" si="24"/>
        <v>26</v>
      </c>
      <c r="B148" s="5"/>
      <c r="C148" s="25" t="s">
        <v>21</v>
      </c>
      <c r="D148" s="89" t="s">
        <v>70</v>
      </c>
      <c r="E148" s="21">
        <f t="shared" si="25"/>
        <v>1</v>
      </c>
      <c r="F148" s="6"/>
      <c r="G148" s="6"/>
      <c r="H148" s="6" t="s">
        <v>21</v>
      </c>
      <c r="I148" s="83"/>
      <c r="J148" s="6"/>
      <c r="K148" s="6"/>
      <c r="L148" s="6"/>
      <c r="M148" s="83"/>
      <c r="N148" s="6"/>
      <c r="O148" s="6"/>
      <c r="P148" s="6"/>
      <c r="Q148" s="83"/>
      <c r="R148" s="6"/>
      <c r="S148" s="6"/>
      <c r="T148" s="6"/>
      <c r="U148" s="6"/>
      <c r="V148" s="52" t="str">
        <f t="shared" si="26"/>
        <v/>
      </c>
      <c r="W148" s="34">
        <f t="shared" si="27"/>
        <v>3</v>
      </c>
      <c r="X148" s="9" t="str" cm="1">
        <f t="array" ref="X148">INDEX(F118:V118,W148)</f>
        <v>Brown</v>
      </c>
      <c r="Y148" s="9">
        <f>_xlfn.XLOOKUP(X148,refs!$A$2:$A$19,refs!$B$2:$B$19)</f>
        <v>8</v>
      </c>
      <c r="Z148" s="77" t="str" cm="1">
        <f t="array" ref="Z148">INDEX($F$3:$V$3,W148)</f>
        <v>#D3</v>
      </c>
      <c r="AA148" s="74">
        <f>IF(C148="x",Y148,_xlfn.XLOOKUP(C117,refs!$A$2:$A$19,refs!$B$2:$B$19))</f>
        <v>8</v>
      </c>
      <c r="AB148" s="61" t="str">
        <f t="shared" si="28"/>
        <v>.26.col=8,mute=0,</v>
      </c>
      <c r="AC148" s="62" t="str">
        <f t="shared" si="29"/>
        <v>.26.tags=#D3,</v>
      </c>
      <c r="AD148" s="62" t="str">
        <f t="shared" si="32"/>
        <v>.26.name=TOM.sail,</v>
      </c>
      <c r="AE148" s="62" t="str">
        <f t="shared" si="33"/>
        <v>..26.postins.on=0,mode=FX,</v>
      </c>
      <c r="AF148" s="63"/>
    </row>
    <row r="149" spans="1:32" ht="13.5" customHeight="1" x14ac:dyDescent="0.25">
      <c r="A149" s="97">
        <f t="shared" si="24"/>
        <v>27</v>
      </c>
      <c r="B149" s="5"/>
      <c r="C149" s="25" t="s">
        <v>21</v>
      </c>
      <c r="D149" s="89" t="s">
        <v>71</v>
      </c>
      <c r="E149" s="21">
        <f t="shared" si="25"/>
        <v>1</v>
      </c>
      <c r="F149" s="6"/>
      <c r="G149" s="6"/>
      <c r="H149" s="6" t="s">
        <v>21</v>
      </c>
      <c r="I149" s="83"/>
      <c r="J149" s="6"/>
      <c r="K149" s="6"/>
      <c r="L149" s="6"/>
      <c r="M149" s="83"/>
      <c r="N149" s="6"/>
      <c r="O149" s="6"/>
      <c r="P149" s="6"/>
      <c r="Q149" s="83"/>
      <c r="R149" s="6"/>
      <c r="S149" s="6"/>
      <c r="T149" s="6"/>
      <c r="U149" s="6"/>
      <c r="V149" s="52" t="str">
        <f t="shared" si="26"/>
        <v/>
      </c>
      <c r="W149" s="34">
        <f t="shared" si="27"/>
        <v>3</v>
      </c>
      <c r="X149" s="9" t="str" cm="1">
        <f t="array" ref="X149">INDEX(F118:V118,W149)</f>
        <v>Brown</v>
      </c>
      <c r="Y149" s="9">
        <f>_xlfn.XLOOKUP(X149,refs!$A$2:$A$19,refs!$B$2:$B$19)</f>
        <v>8</v>
      </c>
      <c r="Z149" s="77" t="str" cm="1">
        <f t="array" ref="Z149">INDEX($F$3:$V$3,W149)</f>
        <v>#D3</v>
      </c>
      <c r="AA149" s="74">
        <f>IF(C149="x",Y149,_xlfn.XLOOKUP(C117,refs!$A$2:$A$19,refs!$B$2:$B$19))</f>
        <v>8</v>
      </c>
      <c r="AB149" s="61" t="str">
        <f t="shared" si="28"/>
        <v>.27.col=8,mute=0,</v>
      </c>
      <c r="AC149" s="62" t="str">
        <f t="shared" si="29"/>
        <v>.27.tags=#D3,</v>
      </c>
      <c r="AD149" s="62" t="str">
        <f t="shared" si="32"/>
        <v>.27.name=BILL.sail,</v>
      </c>
      <c r="AE149" s="62" t="str">
        <f t="shared" si="33"/>
        <v>..27.postins.on=0,mode=FX,</v>
      </c>
      <c r="AF149" s="63"/>
    </row>
    <row r="150" spans="1:32" ht="13.5" customHeight="1" x14ac:dyDescent="0.25">
      <c r="A150" s="97">
        <f t="shared" si="24"/>
        <v>28</v>
      </c>
      <c r="B150" s="5"/>
      <c r="C150" s="25" t="s">
        <v>21</v>
      </c>
      <c r="D150" s="89" t="s">
        <v>72</v>
      </c>
      <c r="E150" s="21">
        <f t="shared" si="25"/>
        <v>1</v>
      </c>
      <c r="F150" s="6"/>
      <c r="G150" s="6"/>
      <c r="H150" s="6" t="s">
        <v>21</v>
      </c>
      <c r="I150" s="83"/>
      <c r="J150" s="6"/>
      <c r="K150" s="6"/>
      <c r="L150" s="6"/>
      <c r="M150" s="83"/>
      <c r="N150" s="6"/>
      <c r="O150" s="6"/>
      <c r="P150" s="6"/>
      <c r="Q150" s="83"/>
      <c r="R150" s="6"/>
      <c r="S150" s="6"/>
      <c r="T150" s="6"/>
      <c r="U150" s="6"/>
      <c r="V150" s="52" t="str">
        <f t="shared" si="26"/>
        <v/>
      </c>
      <c r="W150" s="34">
        <f t="shared" si="27"/>
        <v>3</v>
      </c>
      <c r="X150" s="9" t="str" cm="1">
        <f t="array" ref="X150">INDEX(F118:V118,W150)</f>
        <v>Brown</v>
      </c>
      <c r="Y150" s="9">
        <f>_xlfn.XLOOKUP(X150,refs!$A$2:$A$19,refs!$B$2:$B$19)</f>
        <v>8</v>
      </c>
      <c r="Z150" s="77" t="str" cm="1">
        <f t="array" ref="Z150">INDEX($F$3:$V$3,W150)</f>
        <v>#D3</v>
      </c>
      <c r="AA150" s="74">
        <f>IF(C150="x",Y150,_xlfn.XLOOKUP(C117,refs!$A$2:$A$19,refs!$B$2:$B$19))</f>
        <v>8</v>
      </c>
      <c r="AB150" s="61" t="str">
        <f t="shared" si="28"/>
        <v>.28.col=8,mute=0,</v>
      </c>
      <c r="AC150" s="62" t="str">
        <f t="shared" si="29"/>
        <v>.28.tags=#D3,</v>
      </c>
      <c r="AD150" s="62" t="str">
        <f t="shared" si="32"/>
        <v>.28.name=DENNIS.sail,</v>
      </c>
      <c r="AE150" s="62" t="str">
        <f t="shared" si="33"/>
        <v>..28.postins.on=0,mode=FX,</v>
      </c>
      <c r="AF150" s="63"/>
    </row>
    <row r="151" spans="1:32" ht="13.5" customHeight="1" x14ac:dyDescent="0.25">
      <c r="A151" s="97">
        <f t="shared" si="24"/>
        <v>29</v>
      </c>
      <c r="B151" s="5"/>
      <c r="C151" s="25" t="s">
        <v>21</v>
      </c>
      <c r="D151" s="89" t="s">
        <v>73</v>
      </c>
      <c r="E151" s="21">
        <f t="shared" si="25"/>
        <v>1</v>
      </c>
      <c r="F151" s="6"/>
      <c r="G151" s="6"/>
      <c r="H151" s="6" t="s">
        <v>21</v>
      </c>
      <c r="I151" s="83"/>
      <c r="J151" s="6"/>
      <c r="K151" s="6"/>
      <c r="L151" s="6"/>
      <c r="M151" s="83"/>
      <c r="N151" s="6"/>
      <c r="O151" s="6"/>
      <c r="P151" s="6"/>
      <c r="Q151" s="83"/>
      <c r="R151" s="6"/>
      <c r="S151" s="6"/>
      <c r="T151" s="6"/>
      <c r="U151" s="6"/>
      <c r="V151" s="52" t="str">
        <f t="shared" si="26"/>
        <v/>
      </c>
      <c r="W151" s="34">
        <f t="shared" si="27"/>
        <v>3</v>
      </c>
      <c r="X151" s="9" t="str" cm="1">
        <f t="array" ref="X151">INDEX(F118:V118,W151)</f>
        <v>Brown</v>
      </c>
      <c r="Y151" s="9">
        <f>_xlfn.XLOOKUP(X151,refs!$A$2:$A$19,refs!$B$2:$B$19)</f>
        <v>8</v>
      </c>
      <c r="Z151" s="77" t="str" cm="1">
        <f t="array" ref="Z151">INDEX($F$3:$V$3,W151)</f>
        <v>#D3</v>
      </c>
      <c r="AA151" s="74">
        <f>IF(C151="x",Y151,_xlfn.XLOOKUP(C117,refs!$A$2:$A$19,refs!$B$2:$B$19))</f>
        <v>8</v>
      </c>
      <c r="AB151" s="61" t="str">
        <f t="shared" si="28"/>
        <v>.29.col=8,mute=0,</v>
      </c>
      <c r="AC151" s="62" t="str">
        <f t="shared" si="29"/>
        <v>.29.tags=#D3,</v>
      </c>
      <c r="AD151" s="62" t="str">
        <f t="shared" si="32"/>
        <v>.29.name=JOSHUA.sail,</v>
      </c>
      <c r="AE151" s="62" t="str">
        <f t="shared" si="33"/>
        <v>..29.postins.on=0,mode=FX,</v>
      </c>
      <c r="AF151" s="63"/>
    </row>
    <row r="152" spans="1:32" ht="13.5" customHeight="1" x14ac:dyDescent="0.25">
      <c r="A152" s="97">
        <f t="shared" si="24"/>
        <v>30</v>
      </c>
      <c r="B152" s="5"/>
      <c r="C152" s="25" t="s">
        <v>21</v>
      </c>
      <c r="D152" s="89" t="s">
        <v>74</v>
      </c>
      <c r="E152" s="21">
        <f t="shared" si="25"/>
        <v>1</v>
      </c>
      <c r="F152" s="6"/>
      <c r="G152" s="6"/>
      <c r="H152" s="6" t="s">
        <v>21</v>
      </c>
      <c r="I152" s="83"/>
      <c r="J152" s="6"/>
      <c r="K152" s="6"/>
      <c r="L152" s="6"/>
      <c r="M152" s="83"/>
      <c r="N152" s="6"/>
      <c r="O152" s="6"/>
      <c r="P152" s="6"/>
      <c r="Q152" s="83"/>
      <c r="R152" s="6"/>
      <c r="S152" s="6"/>
      <c r="T152" s="6"/>
      <c r="U152" s="6"/>
      <c r="V152" s="52" t="str">
        <f t="shared" si="26"/>
        <v/>
      </c>
      <c r="W152" s="34">
        <f t="shared" si="27"/>
        <v>3</v>
      </c>
      <c r="X152" s="9" t="str" cm="1">
        <f t="array" ref="X152">INDEX(F118:V118,W152)</f>
        <v>Brown</v>
      </c>
      <c r="Y152" s="9">
        <f>_xlfn.XLOOKUP(X152,refs!$A$2:$A$19,refs!$B$2:$B$19)</f>
        <v>8</v>
      </c>
      <c r="Z152" s="77" t="str" cm="1">
        <f t="array" ref="Z152">INDEX($F$3:$V$3,W152)</f>
        <v>#D3</v>
      </c>
      <c r="AA152" s="74">
        <f>IF(C152="x",Y152,_xlfn.XLOOKUP(C117,refs!$A$2:$A$19,refs!$B$2:$B$19))</f>
        <v>8</v>
      </c>
      <c r="AB152" s="61" t="str">
        <f t="shared" si="28"/>
        <v>.30.col=8,mute=0,</v>
      </c>
      <c r="AC152" s="62" t="str">
        <f t="shared" si="29"/>
        <v>.30.tags=#D3,</v>
      </c>
      <c r="AD152" s="62" t="str">
        <f t="shared" si="32"/>
        <v>.30.name=RAY.sail,</v>
      </c>
      <c r="AE152" s="62" t="str">
        <f t="shared" si="33"/>
        <v>..30.postins.on=0,mode=FX,</v>
      </c>
      <c r="AF152" s="63"/>
    </row>
    <row r="153" spans="1:32" ht="13.5" customHeight="1" x14ac:dyDescent="0.25">
      <c r="A153" s="97">
        <f t="shared" si="24"/>
        <v>31</v>
      </c>
      <c r="B153" s="5"/>
      <c r="C153" s="25" t="s">
        <v>21</v>
      </c>
      <c r="D153" s="89" t="s">
        <v>75</v>
      </c>
      <c r="E153" s="21">
        <f t="shared" si="25"/>
        <v>1</v>
      </c>
      <c r="F153" s="6"/>
      <c r="G153" s="6"/>
      <c r="H153" s="6" t="s">
        <v>21</v>
      </c>
      <c r="I153" s="83"/>
      <c r="J153" s="6"/>
      <c r="K153" s="6"/>
      <c r="L153" s="6"/>
      <c r="M153" s="83"/>
      <c r="N153" s="6"/>
      <c r="O153" s="6"/>
      <c r="P153" s="6"/>
      <c r="Q153" s="83"/>
      <c r="R153" s="6"/>
      <c r="S153" s="6"/>
      <c r="T153" s="6"/>
      <c r="U153" s="6"/>
      <c r="V153" s="52" t="str">
        <f t="shared" si="26"/>
        <v/>
      </c>
      <c r="W153" s="34">
        <f t="shared" si="27"/>
        <v>3</v>
      </c>
      <c r="X153" s="9" t="str" cm="1">
        <f t="array" ref="X153">INDEX(F118:V118,W153)</f>
        <v>Brown</v>
      </c>
      <c r="Y153" s="9">
        <f>_xlfn.XLOOKUP(X153,refs!$A$2:$A$19,refs!$B$2:$B$19)</f>
        <v>8</v>
      </c>
      <c r="Z153" s="77" t="str" cm="1">
        <f t="array" ref="Z153">INDEX($F$3:$V$3,W153)</f>
        <v>#D3</v>
      </c>
      <c r="AA153" s="74">
        <f>IF(C153="x",Y153,_xlfn.XLOOKUP(C117,refs!$A$2:$A$19,refs!$B$2:$B$19))</f>
        <v>8</v>
      </c>
      <c r="AB153" s="61" t="str">
        <f t="shared" si="28"/>
        <v>.31.col=8,mute=0,</v>
      </c>
      <c r="AC153" s="62" t="str">
        <f t="shared" si="29"/>
        <v>.31.tags=#D3,</v>
      </c>
      <c r="AD153" s="62" t="str">
        <f t="shared" si="32"/>
        <v>.31.name=WILL.sail,</v>
      </c>
      <c r="AE153" s="62" t="str">
        <f t="shared" si="33"/>
        <v>..31.postins.on=0,mode=FX,</v>
      </c>
      <c r="AF153" s="63"/>
    </row>
    <row r="154" spans="1:32" ht="13.5" customHeight="1" x14ac:dyDescent="0.25">
      <c r="A154" s="97">
        <f t="shared" si="24"/>
        <v>32</v>
      </c>
      <c r="B154" s="5"/>
      <c r="C154" s="25" t="s">
        <v>21</v>
      </c>
      <c r="D154" s="87" t="s">
        <v>76</v>
      </c>
      <c r="E154" s="21">
        <f t="shared" si="25"/>
        <v>1</v>
      </c>
      <c r="F154" s="6"/>
      <c r="G154" s="6"/>
      <c r="H154" s="6"/>
      <c r="I154" s="83"/>
      <c r="J154" s="6"/>
      <c r="K154" s="6"/>
      <c r="L154" s="6" t="s">
        <v>21</v>
      </c>
      <c r="M154" s="83"/>
      <c r="N154" s="6"/>
      <c r="O154" s="6"/>
      <c r="P154" s="6"/>
      <c r="Q154" s="83"/>
      <c r="R154" s="6"/>
      <c r="S154" s="6"/>
      <c r="T154" s="6"/>
      <c r="U154" s="6"/>
      <c r="V154" s="52" t="str">
        <f t="shared" si="26"/>
        <v/>
      </c>
      <c r="W154" s="34">
        <f t="shared" si="27"/>
        <v>7</v>
      </c>
      <c r="X154" s="9" t="str" cm="1">
        <f t="array" ref="X154">INDEX(F118:V118,W154)</f>
        <v>BrightB</v>
      </c>
      <c r="Y154" s="9">
        <f>_xlfn.XLOOKUP(X154,refs!$A$2:$A$19,refs!$B$2:$B$19)</f>
        <v>2</v>
      </c>
      <c r="Z154" s="77" t="str" cm="1">
        <f t="array" ref="Z154">INDEX($F$3:$V$3,W154)</f>
        <v>#D7</v>
      </c>
      <c r="AA154" s="74">
        <f>IF(C154="x",Y154,_xlfn.XLOOKUP(C117,refs!$A$2:$A$19,refs!$B$2:$B$19))</f>
        <v>2</v>
      </c>
      <c r="AB154" s="61" t="str">
        <f t="shared" si="28"/>
        <v>.32.col=2,mute=0,</v>
      </c>
      <c r="AC154" s="62" t="str">
        <f t="shared" si="29"/>
        <v>.32.tags=#D7,</v>
      </c>
      <c r="AD154" s="62" t="str">
        <f t="shared" si="32"/>
        <v>.32.name=PRISCILLA,</v>
      </c>
      <c r="AE154" s="62" t="str">
        <f t="shared" si="33"/>
        <v>..32.postins.on=0,mode=FX,</v>
      </c>
      <c r="AF154" s="63"/>
    </row>
    <row r="155" spans="1:32" ht="13.5" customHeight="1" x14ac:dyDescent="0.25">
      <c r="A155" s="97">
        <f t="shared" si="24"/>
        <v>33</v>
      </c>
      <c r="B155" s="5"/>
      <c r="C155" s="25" t="s">
        <v>21</v>
      </c>
      <c r="D155" s="87" t="s">
        <v>77</v>
      </c>
      <c r="E155" s="21">
        <f t="shared" si="25"/>
        <v>1</v>
      </c>
      <c r="F155" s="6"/>
      <c r="G155" s="6"/>
      <c r="H155" s="6"/>
      <c r="I155" s="83"/>
      <c r="J155" s="6"/>
      <c r="K155" s="6"/>
      <c r="L155" s="6" t="s">
        <v>21</v>
      </c>
      <c r="M155" s="83"/>
      <c r="N155" s="6"/>
      <c r="O155" s="6"/>
      <c r="P155" s="6"/>
      <c r="Q155" s="83"/>
      <c r="R155" s="6"/>
      <c r="S155" s="6"/>
      <c r="T155" s="6"/>
      <c r="U155" s="6"/>
      <c r="V155" s="52" t="str">
        <f t="shared" si="26"/>
        <v/>
      </c>
      <c r="W155" s="34">
        <f t="shared" si="27"/>
        <v>7</v>
      </c>
      <c r="X155" s="9" t="str" cm="1">
        <f t="array" ref="X155">INDEX(F118:V118,W155)</f>
        <v>BrightB</v>
      </c>
      <c r="Y155" s="9">
        <f>_xlfn.XLOOKUP(X155,refs!$A$2:$A$19,refs!$B$2:$B$19)</f>
        <v>2</v>
      </c>
      <c r="Z155" s="77" t="str" cm="1">
        <f t="array" ref="Z155">INDEX($F$3:$V$3,W155)</f>
        <v>#D7</v>
      </c>
      <c r="AA155" s="74">
        <f>IF(C155="x",Y155,_xlfn.XLOOKUP(C117,refs!$A$2:$A$19,refs!$B$2:$B$19))</f>
        <v>2</v>
      </c>
      <c r="AB155" s="61" t="str">
        <f t="shared" si="28"/>
        <v>.33.col=2,mute=0,</v>
      </c>
      <c r="AC155" s="62" t="str">
        <f t="shared" si="29"/>
        <v>.33.tags=#D7,</v>
      </c>
      <c r="AD155" s="62" t="str">
        <f t="shared" si="32"/>
        <v>.33.name=RACHELS,</v>
      </c>
      <c r="AE155" s="62" t="str">
        <f t="shared" si="33"/>
        <v>..33.postins.on=0,mode=FX,</v>
      </c>
      <c r="AF155" s="63"/>
    </row>
    <row r="156" spans="1:32" ht="13.5" customHeight="1" x14ac:dyDescent="0.25">
      <c r="A156" s="97">
        <f t="shared" si="24"/>
        <v>34</v>
      </c>
      <c r="B156" s="5"/>
      <c r="C156" s="25" t="s">
        <v>21</v>
      </c>
      <c r="D156" s="87" t="s">
        <v>78</v>
      </c>
      <c r="E156" s="21">
        <f t="shared" si="25"/>
        <v>1</v>
      </c>
      <c r="F156" s="6"/>
      <c r="G156" s="6"/>
      <c r="H156" s="6"/>
      <c r="I156" s="83"/>
      <c r="J156" s="6"/>
      <c r="K156" s="6"/>
      <c r="L156" s="6" t="s">
        <v>21</v>
      </c>
      <c r="M156" s="83"/>
      <c r="N156" s="6"/>
      <c r="O156" s="6"/>
      <c r="P156" s="6"/>
      <c r="Q156" s="83"/>
      <c r="R156" s="6"/>
      <c r="S156" s="6"/>
      <c r="T156" s="6"/>
      <c r="U156" s="6"/>
      <c r="V156" s="52" t="str">
        <f t="shared" si="26"/>
        <v/>
      </c>
      <c r="W156" s="34">
        <f t="shared" si="27"/>
        <v>7</v>
      </c>
      <c r="X156" s="9" t="str" cm="1">
        <f t="array" ref="X156">INDEX(F118:V118,W156)</f>
        <v>BrightB</v>
      </c>
      <c r="Y156" s="9">
        <f>_xlfn.XLOOKUP(X156,refs!$A$2:$A$19,refs!$B$2:$B$19)</f>
        <v>2</v>
      </c>
      <c r="Z156" s="77" t="str" cm="1">
        <f t="array" ref="Z156">INDEX($F$3:$V$3,W156)</f>
        <v>#D7</v>
      </c>
      <c r="AA156" s="74">
        <f>IF(C156="x",Y156,_xlfn.XLOOKUP(C117,refs!$A$2:$A$19,refs!$B$2:$B$19))</f>
        <v>2</v>
      </c>
      <c r="AB156" s="61" t="str">
        <f t="shared" si="28"/>
        <v>.34.col=2,mute=0,</v>
      </c>
      <c r="AC156" s="62" t="str">
        <f t="shared" si="29"/>
        <v>.34.tags=#D7,</v>
      </c>
      <c r="AD156" s="62" t="str">
        <f t="shared" si="32"/>
        <v>.34.name=JEN,</v>
      </c>
      <c r="AE156" s="62" t="str">
        <f t="shared" si="33"/>
        <v>..34.postins.on=0,mode=FX,</v>
      </c>
      <c r="AF156" s="63"/>
    </row>
    <row r="157" spans="1:32" ht="13.5" customHeight="1" x14ac:dyDescent="0.25">
      <c r="A157" s="97">
        <f t="shared" si="24"/>
        <v>35</v>
      </c>
      <c r="B157" s="5"/>
      <c r="C157" s="25" t="s">
        <v>21</v>
      </c>
      <c r="D157" s="94" t="s">
        <v>79</v>
      </c>
      <c r="E157" s="21">
        <f t="shared" si="25"/>
        <v>1</v>
      </c>
      <c r="F157" s="6"/>
      <c r="G157" s="6"/>
      <c r="H157" s="6"/>
      <c r="I157" s="83"/>
      <c r="J157" s="6"/>
      <c r="K157" s="6"/>
      <c r="L157" s="6"/>
      <c r="M157" s="83"/>
      <c r="N157" s="6"/>
      <c r="O157" s="6"/>
      <c r="P157" s="6" t="s">
        <v>21</v>
      </c>
      <c r="Q157" s="83"/>
      <c r="R157" s="6"/>
      <c r="S157" s="6"/>
      <c r="T157" s="6"/>
      <c r="U157" s="6"/>
      <c r="V157" s="52" t="str">
        <f t="shared" si="26"/>
        <v/>
      </c>
      <c r="W157" s="34">
        <f t="shared" si="27"/>
        <v>11</v>
      </c>
      <c r="X157" s="9" t="str" cm="1">
        <f t="array" ref="X157">INDEX(F118:V118,W157)</f>
        <v>Violet</v>
      </c>
      <c r="Y157" s="9">
        <f>_xlfn.XLOOKUP(X157,refs!$A$2:$A$19,refs!$B$2:$B$19)</f>
        <v>3</v>
      </c>
      <c r="Z157" s="77" t="str" cm="1">
        <f t="array" ref="Z157">INDEX($F$3:$V$3,W157)</f>
        <v>#D11</v>
      </c>
      <c r="AA157" s="74">
        <f>IF(C157="x",Y157,_xlfn.XLOOKUP(C117,refs!$A$2:$A$19,refs!$B$2:$B$19))</f>
        <v>3</v>
      </c>
      <c r="AB157" s="61" t="str">
        <f t="shared" si="28"/>
        <v>.35.col=3,mute=0,</v>
      </c>
      <c r="AC157" s="62" t="str">
        <f t="shared" si="29"/>
        <v>.35.tags=#D11,</v>
      </c>
      <c r="AD157" s="62" t="str">
        <f t="shared" si="32"/>
        <v>.35.name=OS1,</v>
      </c>
      <c r="AE157" s="62" t="str">
        <f t="shared" si="33"/>
        <v>..35.postins.on=0,mode=FX,</v>
      </c>
      <c r="AF157" s="63"/>
    </row>
    <row r="158" spans="1:32" ht="13.5" customHeight="1" x14ac:dyDescent="0.25">
      <c r="A158" s="97">
        <f t="shared" si="24"/>
        <v>36</v>
      </c>
      <c r="B158" s="5"/>
      <c r="C158" s="25" t="s">
        <v>21</v>
      </c>
      <c r="D158" s="94" t="s">
        <v>80</v>
      </c>
      <c r="E158" s="21">
        <f t="shared" si="25"/>
        <v>1</v>
      </c>
      <c r="F158" s="6"/>
      <c r="G158" s="6"/>
      <c r="H158" s="6"/>
      <c r="I158" s="83"/>
      <c r="J158" s="6"/>
      <c r="K158" s="6"/>
      <c r="L158" s="6"/>
      <c r="M158" s="83"/>
      <c r="N158" s="6"/>
      <c r="O158" s="6"/>
      <c r="P158" s="6" t="s">
        <v>21</v>
      </c>
      <c r="Q158" s="83"/>
      <c r="R158" s="6"/>
      <c r="S158" s="6"/>
      <c r="T158" s="6"/>
      <c r="U158" s="6"/>
      <c r="V158" s="52" t="str">
        <f t="shared" si="26"/>
        <v/>
      </c>
      <c r="W158" s="34">
        <f t="shared" si="27"/>
        <v>11</v>
      </c>
      <c r="X158" s="9" t="str" cm="1">
        <f t="array" ref="X158">INDEX(F118:V118,W158)</f>
        <v>Violet</v>
      </c>
      <c r="Y158" s="9">
        <f>_xlfn.XLOOKUP(X158,refs!$A$2:$A$19,refs!$B$2:$B$19)</f>
        <v>3</v>
      </c>
      <c r="Z158" s="77" t="str" cm="1">
        <f t="array" ref="Z158">INDEX($F$3:$V$3,W158)</f>
        <v>#D11</v>
      </c>
      <c r="AA158" s="74">
        <f>IF(C158="x",Y158,_xlfn.XLOOKUP(C117,refs!$A$2:$A$19,refs!$B$2:$B$19))</f>
        <v>3</v>
      </c>
      <c r="AB158" s="61" t="str">
        <f t="shared" si="28"/>
        <v>.36.col=3,mute=0,</v>
      </c>
      <c r="AC158" s="62" t="str">
        <f t="shared" si="29"/>
        <v>.36.tags=#D11,</v>
      </c>
      <c r="AD158" s="62" t="str">
        <f t="shared" si="32"/>
        <v>.36.name=OS2,</v>
      </c>
      <c r="AE158" s="62" t="str">
        <f t="shared" si="33"/>
        <v>..36.postins.on=0,mode=FX,</v>
      </c>
      <c r="AF158" s="63"/>
    </row>
    <row r="159" spans="1:32" ht="13.5" customHeight="1" x14ac:dyDescent="0.25">
      <c r="A159" s="97">
        <f t="shared" si="24"/>
        <v>37</v>
      </c>
      <c r="B159" s="5"/>
      <c r="C159" s="25"/>
      <c r="D159" s="93" t="s">
        <v>81</v>
      </c>
      <c r="E159" s="21">
        <f t="shared" si="25"/>
        <v>0</v>
      </c>
      <c r="F159" s="6"/>
      <c r="G159" s="6"/>
      <c r="H159" s="6"/>
      <c r="I159" s="83"/>
      <c r="J159" s="6"/>
      <c r="K159" s="6"/>
      <c r="L159" s="6"/>
      <c r="M159" s="83"/>
      <c r="N159" s="6"/>
      <c r="O159" s="6"/>
      <c r="P159" s="6"/>
      <c r="Q159" s="83"/>
      <c r="R159" s="6"/>
      <c r="S159" s="6"/>
      <c r="T159" s="6"/>
      <c r="U159" s="6"/>
      <c r="V159" s="52" t="str">
        <f t="shared" si="26"/>
        <v>x</v>
      </c>
      <c r="W159" s="34">
        <f t="shared" si="27"/>
        <v>17</v>
      </c>
      <c r="X159" s="9" t="str" cm="1">
        <f t="array" ref="X159">INDEX(F118:V118,W159)</f>
        <v>White</v>
      </c>
      <c r="Y159" s="9">
        <f>_xlfn.XLOOKUP(X159,refs!$A$2:$A$19,refs!$B$2:$B$19)</f>
        <v>18</v>
      </c>
      <c r="Z159" s="77" t="str" cm="1">
        <f t="array" ref="Z159">INDEX($F$3:$V$3,W159)</f>
        <v/>
      </c>
      <c r="AA159" s="74">
        <f>IF(C159="x",Y159,_xlfn.XLOOKUP(C117,refs!$A$2:$A$19,refs!$B$2:$B$19))</f>
        <v>17</v>
      </c>
      <c r="AB159" s="61" t="str">
        <f t="shared" si="28"/>
        <v>.37.col=17,mute=1,</v>
      </c>
      <c r="AC159" s="62" t="str">
        <f t="shared" si="29"/>
        <v>.37.tags=,</v>
      </c>
      <c r="AD159" s="62" t="str">
        <f t="shared" si="32"/>
        <v>.37.name=unusedos,</v>
      </c>
      <c r="AE159" s="62" t="str">
        <f t="shared" si="33"/>
        <v>..37.postins.on=0,mode=FX,</v>
      </c>
      <c r="AF159" s="63"/>
    </row>
    <row r="160" spans="1:32" ht="13.5" customHeight="1" x14ac:dyDescent="0.25">
      <c r="A160" s="97">
        <f t="shared" si="24"/>
        <v>38</v>
      </c>
      <c r="B160" s="5"/>
      <c r="C160" s="25" t="s">
        <v>21</v>
      </c>
      <c r="D160" s="95" t="s">
        <v>83</v>
      </c>
      <c r="E160" s="21">
        <f t="shared" si="25"/>
        <v>0</v>
      </c>
      <c r="F160" s="6"/>
      <c r="G160" s="6"/>
      <c r="H160" s="6"/>
      <c r="I160" s="83"/>
      <c r="J160" s="6"/>
      <c r="K160" s="6"/>
      <c r="L160" s="6"/>
      <c r="M160" s="83"/>
      <c r="N160" s="6"/>
      <c r="O160" s="6"/>
      <c r="P160" s="6"/>
      <c r="Q160" s="83"/>
      <c r="R160" s="6"/>
      <c r="S160" s="6"/>
      <c r="T160" s="6"/>
      <c r="U160" s="6"/>
      <c r="V160" s="52" t="str">
        <f t="shared" si="26"/>
        <v>x</v>
      </c>
      <c r="W160" s="34">
        <f t="shared" si="27"/>
        <v>17</v>
      </c>
      <c r="X160" s="9" t="str" cm="1">
        <f t="array" ref="X160">INDEX(F118:V118,W160)</f>
        <v>White</v>
      </c>
      <c r="Y160" s="9">
        <f>_xlfn.XLOOKUP(X160,refs!$A$2:$A$19,refs!$B$2:$B$19)</f>
        <v>18</v>
      </c>
      <c r="Z160" s="77" t="str" cm="1">
        <f t="array" ref="Z160">INDEX($F$3:$V$3,W160)</f>
        <v/>
      </c>
      <c r="AA160" s="74">
        <f>IF(C160="x",Y160,_xlfn.XLOOKUP(C117,refs!$A$2:$A$19,refs!$B$2:$B$19))</f>
        <v>18</v>
      </c>
      <c r="AB160" s="61" t="str">
        <f t="shared" si="28"/>
        <v>.38.col=18,mute=0,</v>
      </c>
      <c r="AC160" s="62" t="str">
        <f t="shared" si="29"/>
        <v>.38.tags=,</v>
      </c>
      <c r="AD160" s="62" t="str">
        <f t="shared" si="32"/>
        <v>.38.name=VOX.fr.ext,</v>
      </c>
      <c r="AE160" s="62" t="str">
        <f t="shared" si="33"/>
        <v>..38.postins.on=0,mode=FX,</v>
      </c>
      <c r="AF160" s="63"/>
    </row>
    <row r="161" spans="1:32" ht="13.5" customHeight="1" x14ac:dyDescent="0.25">
      <c r="A161" s="97">
        <f t="shared" si="24"/>
        <v>39</v>
      </c>
      <c r="B161" s="5"/>
      <c r="C161" s="25" t="s">
        <v>21</v>
      </c>
      <c r="D161" s="95" t="s">
        <v>82</v>
      </c>
      <c r="E161" s="21">
        <f t="shared" si="25"/>
        <v>0</v>
      </c>
      <c r="F161" s="6"/>
      <c r="G161" s="6"/>
      <c r="H161" s="6"/>
      <c r="I161" s="83"/>
      <c r="J161" s="6"/>
      <c r="K161" s="6"/>
      <c r="L161" s="6"/>
      <c r="M161" s="83"/>
      <c r="N161" s="6"/>
      <c r="O161" s="6"/>
      <c r="P161" s="6"/>
      <c r="Q161" s="83"/>
      <c r="R161" s="6"/>
      <c r="S161" s="6"/>
      <c r="T161" s="6"/>
      <c r="U161" s="6"/>
      <c r="V161" s="52" t="str">
        <f t="shared" si="26"/>
        <v>x</v>
      </c>
      <c r="W161" s="34">
        <f t="shared" si="27"/>
        <v>17</v>
      </c>
      <c r="X161" s="9" t="str" cm="1">
        <f t="array" ref="X161">INDEX(F118:V118,W161)</f>
        <v>White</v>
      </c>
      <c r="Y161" s="9">
        <f>_xlfn.XLOOKUP(X161,refs!$A$2:$A$19,refs!$B$2:$B$19)</f>
        <v>18</v>
      </c>
      <c r="Z161" s="77" t="str" cm="1">
        <f t="array" ref="Z161">INDEX($F$3:$V$3,W161)</f>
        <v/>
      </c>
      <c r="AA161" s="74">
        <f>IF(C161="x",Y161,_xlfn.XLOOKUP(C117,refs!$A$2:$A$19,refs!$B$2:$B$19))</f>
        <v>18</v>
      </c>
      <c r="AB161" s="61" t="str">
        <f t="shared" si="28"/>
        <v>.39.col=18,mute=0,</v>
      </c>
      <c r="AC161" s="62" t="str">
        <f t="shared" si="29"/>
        <v>.39.tags=,</v>
      </c>
      <c r="AD161" s="62" t="str">
        <f t="shared" si="32"/>
        <v>.39.name=INS.fr.ext,</v>
      </c>
      <c r="AE161" s="62" t="str">
        <f t="shared" si="33"/>
        <v>..39.postins.on=0,mode=FX,</v>
      </c>
      <c r="AF161" s="63"/>
    </row>
    <row r="162" spans="1:32" ht="13.5" customHeight="1" thickBot="1" x14ac:dyDescent="0.3">
      <c r="A162" s="97">
        <f t="shared" si="24"/>
        <v>40</v>
      </c>
      <c r="B162" s="5"/>
      <c r="C162" s="25" t="s">
        <v>21</v>
      </c>
      <c r="D162" s="95" t="s">
        <v>84</v>
      </c>
      <c r="E162" s="21">
        <f t="shared" si="25"/>
        <v>0</v>
      </c>
      <c r="F162" s="6"/>
      <c r="G162" s="6"/>
      <c r="H162" s="6"/>
      <c r="I162" s="83"/>
      <c r="J162" s="6"/>
      <c r="K162" s="6"/>
      <c r="L162" s="6"/>
      <c r="M162" s="83"/>
      <c r="N162" s="6"/>
      <c r="O162" s="6"/>
      <c r="P162" s="6"/>
      <c r="Q162" s="83"/>
      <c r="R162" s="6"/>
      <c r="S162" s="6"/>
      <c r="T162" s="6"/>
      <c r="U162" s="6"/>
      <c r="V162" s="52" t="str">
        <f t="shared" si="26"/>
        <v>x</v>
      </c>
      <c r="W162" s="35">
        <f t="shared" si="27"/>
        <v>17</v>
      </c>
      <c r="X162" s="39" t="str" cm="1">
        <f t="array" ref="X162">INDEX(F118:V118,W162)</f>
        <v>White</v>
      </c>
      <c r="Y162" s="39">
        <f>_xlfn.XLOOKUP(X162,refs!$A$2:$A$19,refs!$B$2:$B$19)</f>
        <v>18</v>
      </c>
      <c r="Z162" s="78" t="str" cm="1">
        <f t="array" ref="Z162">INDEX($F$3:$V$3,W162)</f>
        <v/>
      </c>
      <c r="AA162" s="75">
        <f>IF(C162="x",Y162,_xlfn.XLOOKUP(C117,refs!$A$2:$A$19,refs!$B$2:$B$19))</f>
        <v>18</v>
      </c>
      <c r="AB162" s="64" t="str">
        <f t="shared" si="28"/>
        <v>.40.col=18,mute=0,</v>
      </c>
      <c r="AC162" s="65" t="str">
        <f t="shared" si="29"/>
        <v>.40.tags=,</v>
      </c>
      <c r="AD162" s="62" t="str">
        <f t="shared" si="32"/>
        <v>.40.name=pass.fr.w2,</v>
      </c>
      <c r="AE162" s="65" t="str">
        <f t="shared" si="33"/>
        <v>..40.postins.on=0,mode=FX,</v>
      </c>
      <c r="AF162" s="66"/>
    </row>
    <row r="163" spans="1:32" s="2" customFormat="1" ht="22.5" customHeight="1" thickBot="1" x14ac:dyDescent="0.25">
      <c r="A163" s="53"/>
      <c r="B163" s="54"/>
      <c r="C163" s="54"/>
      <c r="D163" s="54"/>
      <c r="E163" s="54"/>
      <c r="F163" s="55" t="str">
        <f t="shared" ref="F163:U163" si="34">F120</f>
        <v>LEADS</v>
      </c>
      <c r="G163" s="55" t="str">
        <f t="shared" si="34"/>
        <v>FlotJet</v>
      </c>
      <c r="H163" s="55" t="str">
        <f t="shared" si="34"/>
        <v>Sail</v>
      </c>
      <c r="I163" s="55" t="str">
        <f t="shared" si="34"/>
        <v>Sisters</v>
      </c>
      <c r="J163" s="55" t="str">
        <f t="shared" si="34"/>
        <v>Maids</v>
      </c>
      <c r="K163" s="55" t="str">
        <f t="shared" si="34"/>
        <v>LeeWind</v>
      </c>
      <c r="L163" s="55" t="str">
        <f t="shared" si="34"/>
        <v>PrRaJen</v>
      </c>
      <c r="M163" s="55" t="str">
        <f t="shared" si="34"/>
        <v>.</v>
      </c>
      <c r="N163" s="55" t="str">
        <f t="shared" si="34"/>
        <v>.</v>
      </c>
      <c r="O163" s="55" t="str">
        <f t="shared" si="34"/>
        <v>.</v>
      </c>
      <c r="P163" s="55" t="str">
        <f t="shared" si="34"/>
        <v>OS</v>
      </c>
      <c r="Q163" s="55" t="str">
        <f t="shared" si="34"/>
        <v>VOX+.VRB</v>
      </c>
      <c r="R163" s="55" t="str">
        <f t="shared" si="34"/>
        <v>VOX_.VRB</v>
      </c>
      <c r="S163" s="55" t="str">
        <f t="shared" si="34"/>
        <v>INST+.VRB</v>
      </c>
      <c r="T163" s="55" t="str">
        <f t="shared" si="34"/>
        <v>INST_.VRB</v>
      </c>
      <c r="U163" s="55" t="str">
        <f t="shared" si="34"/>
        <v>MAINS</v>
      </c>
      <c r="V163" s="56"/>
    </row>
    <row r="164" spans="1:32" s="2" customFormat="1" ht="12" hidden="1" x14ac:dyDescent="0.2">
      <c r="A164" s="67" t="str">
        <f>D116&amp;"_ch_col_mute"</f>
        <v>w1_0003_ch_col_mute</v>
      </c>
      <c r="B164" s="68" t="str">
        <f>_xlfn.CONCAT(AB123:AB162)</f>
        <v>/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c r="C164" s="68"/>
      <c r="D164" s="68"/>
      <c r="E164" s="68"/>
      <c r="F164" s="69"/>
      <c r="G164" s="69"/>
      <c r="H164" s="69"/>
      <c r="I164" s="69"/>
      <c r="J164" s="69"/>
      <c r="K164" s="69"/>
      <c r="L164" s="69"/>
      <c r="M164" s="69"/>
      <c r="N164" s="69"/>
      <c r="O164" s="69"/>
      <c r="P164" s="69"/>
      <c r="Q164" s="69"/>
      <c r="R164" s="69"/>
      <c r="S164" s="69"/>
      <c r="T164" s="69"/>
      <c r="U164" s="69"/>
      <c r="V164" s="70"/>
    </row>
    <row r="165" spans="1:32" s="2" customFormat="1" ht="12" hidden="1" x14ac:dyDescent="0.2">
      <c r="A165" s="67" t="str">
        <f>D116&amp;"_ch_tags"</f>
        <v>w1_0003_ch_tags</v>
      </c>
      <c r="B165" s="68" t="str">
        <f>_xlfn.CONCAT(AC123:AC162)</f>
        <v>/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c r="C165" s="68"/>
      <c r="D165" s="68"/>
      <c r="E165" s="68"/>
      <c r="F165" s="69"/>
      <c r="G165" s="69"/>
      <c r="H165" s="69"/>
      <c r="I165" s="69"/>
      <c r="J165" s="69"/>
      <c r="K165" s="69"/>
      <c r="L165" s="69"/>
      <c r="M165" s="69"/>
      <c r="N165" s="69"/>
      <c r="O165" s="69"/>
      <c r="P165" s="69"/>
      <c r="Q165" s="69"/>
      <c r="R165" s="69"/>
      <c r="S165" s="69"/>
      <c r="T165" s="69"/>
      <c r="U165" s="69"/>
      <c r="V165" s="70"/>
    </row>
    <row r="166" spans="1:32" s="2" customFormat="1" ht="12" hidden="1" x14ac:dyDescent="0.2">
      <c r="A166" s="67" t="str">
        <f>D116&amp;"_ch_names_a"</f>
        <v>w1_0003_ch_names_a</v>
      </c>
      <c r="B166" s="68" t="str">
        <f>_xlfn.CONCAT(AD123:AD142)</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c r="C166" s="68"/>
      <c r="D166" s="68"/>
      <c r="E166" s="68"/>
      <c r="F166" s="69"/>
      <c r="G166" s="69"/>
      <c r="H166" s="69"/>
      <c r="I166" s="69"/>
      <c r="J166" s="69"/>
      <c r="K166" s="69"/>
      <c r="L166" s="69"/>
      <c r="M166" s="69"/>
      <c r="N166" s="69"/>
      <c r="O166" s="69"/>
      <c r="P166" s="69"/>
      <c r="Q166" s="69"/>
      <c r="R166" s="69"/>
      <c r="S166" s="69"/>
      <c r="T166" s="69"/>
      <c r="U166" s="69"/>
      <c r="V166" s="70"/>
    </row>
    <row r="167" spans="1:32" s="2" customFormat="1" ht="12" hidden="1" x14ac:dyDescent="0.2">
      <c r="A167" s="67" t="str">
        <f>D116&amp;"_ch_names_b"</f>
        <v>w1_0003_ch_names_b</v>
      </c>
      <c r="B167" s="68" t="str">
        <f>_xlfn.CONCAT(AD143:AD162)</f>
        <v>/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167" s="68"/>
      <c r="D167" s="68"/>
      <c r="E167" s="68"/>
      <c r="F167" s="69"/>
      <c r="G167" s="69"/>
      <c r="H167" s="69"/>
      <c r="I167" s="69"/>
      <c r="J167" s="69"/>
      <c r="K167" s="69"/>
      <c r="L167" s="69"/>
      <c r="M167" s="69"/>
      <c r="N167" s="69"/>
      <c r="O167" s="69"/>
      <c r="P167" s="69"/>
      <c r="Q167" s="69"/>
      <c r="R167" s="69"/>
      <c r="S167" s="69"/>
      <c r="T167" s="69"/>
      <c r="U167" s="69"/>
      <c r="V167" s="70"/>
    </row>
    <row r="168" spans="1:32" s="2" customFormat="1" ht="12" hidden="1" x14ac:dyDescent="0.2">
      <c r="A168" s="67" t="str">
        <f>D116&amp;"_ch_postins_a"</f>
        <v>w1_0003_ch_postins_a</v>
      </c>
      <c r="B168" s="68" t="str">
        <f>_xlfn.CONCAT(AE123:AE142)</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168" s="68"/>
      <c r="D168" s="68"/>
      <c r="E168" s="68"/>
      <c r="F168" s="69"/>
      <c r="G168" s="69"/>
      <c r="H168" s="69"/>
      <c r="I168" s="69"/>
      <c r="J168" s="69"/>
      <c r="K168" s="69"/>
      <c r="L168" s="69"/>
      <c r="M168" s="69"/>
      <c r="N168" s="69"/>
      <c r="O168" s="69"/>
      <c r="P168" s="69"/>
      <c r="Q168" s="69"/>
      <c r="R168" s="69"/>
      <c r="S168" s="69"/>
      <c r="T168" s="69"/>
      <c r="U168" s="69"/>
      <c r="V168" s="70"/>
    </row>
    <row r="169" spans="1:32" s="2" customFormat="1" ht="12" hidden="1" x14ac:dyDescent="0.2">
      <c r="A169" s="67" t="str">
        <f>D116&amp;"_ch_postins_b"</f>
        <v>w1_0003_ch_postins_b</v>
      </c>
      <c r="B169" s="68" t="str">
        <f>_xlfn.CONCAT(AE143:AE162)</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169" s="68"/>
      <c r="D169" s="68"/>
      <c r="E169" s="68"/>
      <c r="F169" s="69"/>
      <c r="G169" s="69"/>
      <c r="H169" s="69"/>
      <c r="I169" s="69"/>
      <c r="J169" s="69"/>
      <c r="K169" s="69"/>
      <c r="L169" s="69"/>
      <c r="M169" s="69"/>
      <c r="N169" s="69"/>
      <c r="O169" s="69"/>
      <c r="P169" s="69"/>
      <c r="Q169" s="69"/>
      <c r="R169" s="69"/>
      <c r="S169" s="69"/>
      <c r="T169" s="69"/>
      <c r="U169" s="69"/>
      <c r="V169" s="70"/>
    </row>
    <row r="170" spans="1:32" s="2" customFormat="1" ht="12" hidden="1" x14ac:dyDescent="0.2">
      <c r="A170" s="67" t="str">
        <f>D116&amp;"_dcas_amix"</f>
        <v>w1_0003_dcas_amix</v>
      </c>
      <c r="B170" s="68" t="str">
        <f>_xlfn.CONCAT(AF123:AF139)</f>
        <v>/dca.1.col=7,name=LEADS,.2.col=1,name=FlotJet,.3.col=2,name=Sail,.4.col=3,name=Sisters,.5.col=4,name=Maids,.6.col=5,name=LeeWind,.7.col=6,name=PrRaJen,.8.col=7,name=.,.9.col=8,name=.,.10.col=9,name=.,.11.col=10,name=OS,.12.col=11,name=VOX+.VRB,.13.col=12,name=VOX_.VRB,.14.col=13,name=INST+.VRB,.15.col=14,name=INST_.VRB,.16.col=15,name=MAINS,/cfg.amix.x=1,/cfg.amix.y=1,</v>
      </c>
      <c r="C170" s="68"/>
      <c r="D170" s="68"/>
      <c r="E170" s="68"/>
      <c r="F170" s="69"/>
      <c r="G170" s="69"/>
      <c r="H170" s="69"/>
      <c r="I170" s="69"/>
      <c r="J170" s="69"/>
      <c r="K170" s="69"/>
      <c r="L170" s="69"/>
      <c r="M170" s="69"/>
      <c r="N170" s="69"/>
      <c r="O170" s="69"/>
      <c r="P170" s="69"/>
      <c r="Q170" s="69"/>
      <c r="R170" s="69"/>
      <c r="S170" s="69"/>
      <c r="T170" s="69"/>
      <c r="U170" s="69"/>
      <c r="V170" s="70"/>
    </row>
    <row r="171" spans="1:32" ht="9" customHeight="1" x14ac:dyDescent="0.25">
      <c r="A171" s="45"/>
      <c r="B171" s="46"/>
      <c r="C171" s="46"/>
      <c r="D171" s="46"/>
      <c r="E171" s="47"/>
      <c r="F171" s="46"/>
      <c r="G171" s="46"/>
      <c r="H171" s="46"/>
      <c r="I171" s="46"/>
      <c r="J171" s="46"/>
      <c r="K171" s="46"/>
      <c r="L171" s="46"/>
      <c r="M171" s="46"/>
      <c r="N171" s="46"/>
      <c r="O171" s="46"/>
      <c r="P171" s="46"/>
      <c r="Q171" s="46"/>
      <c r="R171" s="46"/>
      <c r="S171" s="46"/>
      <c r="T171" s="46"/>
      <c r="U171" s="46"/>
      <c r="V171" s="48"/>
    </row>
    <row r="172" spans="1:32" ht="5.25" customHeight="1" x14ac:dyDescent="0.25">
      <c r="A172" s="7"/>
      <c r="B172" s="8"/>
      <c r="C172" s="8"/>
      <c r="D172" s="8"/>
      <c r="E172" s="22"/>
      <c r="F172" s="8"/>
      <c r="G172" s="8"/>
      <c r="H172" s="8"/>
      <c r="I172" s="8"/>
      <c r="J172" s="8"/>
      <c r="K172" s="8"/>
      <c r="L172" s="8"/>
      <c r="M172" s="8"/>
      <c r="N172" s="8"/>
      <c r="O172" s="8"/>
      <c r="P172" s="8"/>
      <c r="Q172" s="8"/>
      <c r="R172" s="8"/>
      <c r="S172" s="8"/>
      <c r="T172" s="8"/>
      <c r="U172" s="8"/>
      <c r="V172" s="26"/>
    </row>
    <row r="173" spans="1:32" ht="20.25" customHeight="1" x14ac:dyDescent="0.25">
      <c r="A173" s="14"/>
      <c r="B173" s="15">
        <f>INT(ROW()/56)+1</f>
        <v>4</v>
      </c>
      <c r="C173" s="71" t="s">
        <v>40</v>
      </c>
      <c r="D173" s="72" t="str">
        <f>"w1_"&amp;TEXT(B173,"0000")</f>
        <v>w1_0004</v>
      </c>
      <c r="E173" s="30"/>
      <c r="F173" s="31">
        <v>1</v>
      </c>
      <c r="G173" s="31">
        <v>2</v>
      </c>
      <c r="H173" s="31">
        <v>3</v>
      </c>
      <c r="I173" s="31">
        <v>4</v>
      </c>
      <c r="J173" s="31">
        <v>5</v>
      </c>
      <c r="K173" s="31">
        <v>6</v>
      </c>
      <c r="L173" s="31">
        <v>7</v>
      </c>
      <c r="M173" s="31">
        <v>8</v>
      </c>
      <c r="N173" s="31">
        <v>9</v>
      </c>
      <c r="O173" s="31">
        <v>10</v>
      </c>
      <c r="P173" s="31">
        <v>11</v>
      </c>
      <c r="Q173" s="31">
        <v>12</v>
      </c>
      <c r="R173" s="31">
        <v>13</v>
      </c>
      <c r="S173" s="31">
        <v>14</v>
      </c>
      <c r="T173" s="31">
        <v>15</v>
      </c>
      <c r="U173" s="31">
        <v>16</v>
      </c>
      <c r="V173" s="32">
        <v>17</v>
      </c>
    </row>
    <row r="174" spans="1:32" ht="13.5" customHeight="1" x14ac:dyDescent="0.25">
      <c r="A174" s="9"/>
      <c r="B174" s="79" t="s">
        <v>42</v>
      </c>
      <c r="C174" s="20" t="s">
        <v>17</v>
      </c>
      <c r="D174" s="10" t="s">
        <v>0</v>
      </c>
      <c r="E174" s="18"/>
      <c r="F174" s="11" t="str">
        <f>"#D1"</f>
        <v>#D1</v>
      </c>
      <c r="G174" s="11" t="str">
        <f>"#D2"</f>
        <v>#D2</v>
      </c>
      <c r="H174" s="11" t="str">
        <f>"#D3"</f>
        <v>#D3</v>
      </c>
      <c r="I174" s="11" t="str">
        <f>"#D4"</f>
        <v>#D4</v>
      </c>
      <c r="J174" s="11" t="str">
        <f>"#D5"</f>
        <v>#D5</v>
      </c>
      <c r="K174" s="11" t="str">
        <f>"#D6"</f>
        <v>#D6</v>
      </c>
      <c r="L174" s="11" t="str">
        <f>"#D7"</f>
        <v>#D7</v>
      </c>
      <c r="M174" s="11" t="str">
        <f>"#D8"</f>
        <v>#D8</v>
      </c>
      <c r="N174" s="11" t="str">
        <f>"#D9"</f>
        <v>#D9</v>
      </c>
      <c r="O174" s="11" t="str">
        <f>"#D10"</f>
        <v>#D10</v>
      </c>
      <c r="P174" s="11" t="str">
        <f>"#D11"</f>
        <v>#D11</v>
      </c>
      <c r="Q174" s="11" t="str">
        <f>"#D12"</f>
        <v>#D12</v>
      </c>
      <c r="R174" s="11" t="str">
        <f>"#D13"</f>
        <v>#D13</v>
      </c>
      <c r="S174" s="11" t="str">
        <f>"#D14"</f>
        <v>#D14</v>
      </c>
      <c r="T174" s="11" t="str">
        <f>"#D15"</f>
        <v>#D15</v>
      </c>
      <c r="U174" s="11" t="str">
        <f>"#D16"</f>
        <v>#D16</v>
      </c>
      <c r="V174" s="36" t="str">
        <f>""</f>
        <v/>
      </c>
    </row>
    <row r="175" spans="1:32" x14ac:dyDescent="0.25">
      <c r="A175" s="9"/>
      <c r="B175" s="81" t="s">
        <v>43</v>
      </c>
      <c r="C175" s="80" t="s">
        <v>21</v>
      </c>
      <c r="D175" s="19" t="s">
        <v>30</v>
      </c>
      <c r="E175" s="18"/>
      <c r="F175" s="20" t="s">
        <v>13</v>
      </c>
      <c r="G175" s="20" t="s">
        <v>10</v>
      </c>
      <c r="H175" s="20" t="s">
        <v>8</v>
      </c>
      <c r="I175" s="20" t="s">
        <v>11</v>
      </c>
      <c r="J175" s="20" t="s">
        <v>5</v>
      </c>
      <c r="K175" s="20" t="s">
        <v>4</v>
      </c>
      <c r="L175" s="20" t="s">
        <v>2</v>
      </c>
      <c r="M175" s="20" t="s">
        <v>17</v>
      </c>
      <c r="N175" s="20" t="s">
        <v>17</v>
      </c>
      <c r="O175" s="20" t="s">
        <v>17</v>
      </c>
      <c r="P175" s="20" t="s">
        <v>3</v>
      </c>
      <c r="Q175" s="20" t="s">
        <v>13</v>
      </c>
      <c r="R175" s="20" t="s">
        <v>13</v>
      </c>
      <c r="S175" s="20" t="s">
        <v>14</v>
      </c>
      <c r="T175" s="20" t="s">
        <v>14</v>
      </c>
      <c r="U175" s="20" t="s">
        <v>12</v>
      </c>
      <c r="V175" s="37" t="s">
        <v>18</v>
      </c>
    </row>
    <row r="176" spans="1:32" ht="5.25" customHeight="1" x14ac:dyDescent="0.25">
      <c r="A176" s="16"/>
      <c r="B176" s="17"/>
      <c r="C176" s="17"/>
      <c r="D176" s="17"/>
      <c r="E176" s="23"/>
      <c r="F176" s="17"/>
      <c r="G176" s="17"/>
      <c r="H176" s="17"/>
      <c r="I176" s="17"/>
      <c r="J176" s="17"/>
      <c r="K176" s="17"/>
      <c r="L176" s="17"/>
      <c r="M176" s="17"/>
      <c r="N176" s="17"/>
      <c r="O176" s="17"/>
      <c r="P176" s="17"/>
      <c r="Q176" s="17"/>
      <c r="R176" s="17"/>
      <c r="S176" s="17"/>
      <c r="T176" s="17"/>
      <c r="U176" s="17"/>
      <c r="V176" s="28"/>
    </row>
    <row r="177" spans="1:32" s="1" customFormat="1" ht="19.5" customHeight="1" x14ac:dyDescent="0.25">
      <c r="A177" s="9"/>
      <c r="B177" s="81" t="s">
        <v>44</v>
      </c>
      <c r="C177" s="80" t="s">
        <v>21</v>
      </c>
      <c r="D177" s="12" t="s">
        <v>28</v>
      </c>
      <c r="E177" s="18"/>
      <c r="F177" s="13" t="s">
        <v>87</v>
      </c>
      <c r="G177" s="13" t="s">
        <v>86</v>
      </c>
      <c r="H177" s="13" t="s">
        <v>88</v>
      </c>
      <c r="I177" s="13" t="s">
        <v>89</v>
      </c>
      <c r="J177" s="13" t="s">
        <v>90</v>
      </c>
      <c r="K177" s="13" t="s">
        <v>91</v>
      </c>
      <c r="L177" s="13" t="s">
        <v>92</v>
      </c>
      <c r="M177" s="13" t="s">
        <v>68</v>
      </c>
      <c r="N177" s="13" t="s">
        <v>68</v>
      </c>
      <c r="O177" s="13" t="s">
        <v>68</v>
      </c>
      <c r="P177" s="13" t="s">
        <v>85</v>
      </c>
      <c r="Q177" s="13" t="s">
        <v>93</v>
      </c>
      <c r="R177" s="13" t="s">
        <v>95</v>
      </c>
      <c r="S177" s="13" t="s">
        <v>94</v>
      </c>
      <c r="T177" s="13" t="s">
        <v>96</v>
      </c>
      <c r="U177" s="13" t="s">
        <v>20</v>
      </c>
      <c r="V177" s="27" t="s">
        <v>21</v>
      </c>
    </row>
    <row r="178" spans="1:32" ht="10.5" customHeight="1" thickBot="1" x14ac:dyDescent="0.3">
      <c r="A178" s="40"/>
      <c r="B178" s="41"/>
      <c r="C178" s="41"/>
      <c r="D178" s="41"/>
      <c r="E178" s="42"/>
      <c r="F178" s="43">
        <f>COUNTA(F180:F219)</f>
        <v>9</v>
      </c>
      <c r="G178" s="43">
        <f t="shared" ref="G178:U178" si="35">COUNTA(G180:G219)</f>
        <v>2</v>
      </c>
      <c r="H178" s="43">
        <f t="shared" si="35"/>
        <v>8</v>
      </c>
      <c r="I178" s="43">
        <f t="shared" si="35"/>
        <v>6</v>
      </c>
      <c r="J178" s="43">
        <f t="shared" si="35"/>
        <v>3</v>
      </c>
      <c r="K178" s="43">
        <f t="shared" si="35"/>
        <v>2</v>
      </c>
      <c r="L178" s="43">
        <f t="shared" si="35"/>
        <v>3</v>
      </c>
      <c r="M178" s="43">
        <f t="shared" si="35"/>
        <v>0</v>
      </c>
      <c r="N178" s="43">
        <f t="shared" si="35"/>
        <v>0</v>
      </c>
      <c r="O178" s="43">
        <f t="shared" si="35"/>
        <v>0</v>
      </c>
      <c r="P178" s="43">
        <f t="shared" si="35"/>
        <v>2</v>
      </c>
      <c r="Q178" s="43">
        <f t="shared" si="35"/>
        <v>0</v>
      </c>
      <c r="R178" s="43">
        <f t="shared" si="35"/>
        <v>0</v>
      </c>
      <c r="S178" s="43">
        <f t="shared" si="35"/>
        <v>0</v>
      </c>
      <c r="T178" s="43">
        <f t="shared" si="35"/>
        <v>0</v>
      </c>
      <c r="U178" s="43">
        <f t="shared" si="35"/>
        <v>0</v>
      </c>
      <c r="V178" s="44">
        <f>40-COUNTBLANK(V180:V219)</f>
        <v>5</v>
      </c>
    </row>
    <row r="179" spans="1:32" ht="13.5" customHeight="1" x14ac:dyDescent="0.25">
      <c r="A179" s="96" t="s">
        <v>29</v>
      </c>
      <c r="B179" s="49" t="s">
        <v>97</v>
      </c>
      <c r="C179" s="49" t="s">
        <v>98</v>
      </c>
      <c r="D179" s="49" t="s">
        <v>27</v>
      </c>
      <c r="E179" s="50"/>
      <c r="F179" s="49"/>
      <c r="G179" s="49"/>
      <c r="H179" s="49"/>
      <c r="I179" s="82"/>
      <c r="J179" s="49"/>
      <c r="K179" s="49"/>
      <c r="L179" s="49"/>
      <c r="M179" s="82"/>
      <c r="N179" s="49"/>
      <c r="O179" s="49"/>
      <c r="P179" s="49"/>
      <c r="Q179" s="82"/>
      <c r="R179" s="49"/>
      <c r="S179" s="49"/>
      <c r="T179" s="49"/>
      <c r="U179" s="49"/>
      <c r="V179" s="51"/>
      <c r="W179" s="33" t="s">
        <v>36</v>
      </c>
      <c r="X179" s="38" t="s">
        <v>31</v>
      </c>
      <c r="Y179" s="57" t="s">
        <v>33</v>
      </c>
      <c r="Z179" s="76" t="s">
        <v>35</v>
      </c>
      <c r="AA179" s="73" t="s">
        <v>41</v>
      </c>
      <c r="AB179" s="58" t="s">
        <v>32</v>
      </c>
      <c r="AC179" s="59" t="s">
        <v>34</v>
      </c>
      <c r="AD179" s="59" t="s">
        <v>37</v>
      </c>
      <c r="AE179" s="59" t="s">
        <v>38</v>
      </c>
      <c r="AF179" s="60" t="s">
        <v>39</v>
      </c>
    </row>
    <row r="180" spans="1:32" ht="13.5" customHeight="1" x14ac:dyDescent="0.25">
      <c r="A180" s="97">
        <f>A123</f>
        <v>1</v>
      </c>
      <c r="B180" s="5" t="s">
        <v>21</v>
      </c>
      <c r="C180" s="25" t="s">
        <v>21</v>
      </c>
      <c r="D180" s="84" t="s">
        <v>45</v>
      </c>
      <c r="E180" s="21">
        <f>COUNTA(F180:U180)</f>
        <v>1</v>
      </c>
      <c r="F180" s="6" t="s">
        <v>21</v>
      </c>
      <c r="G180" s="6"/>
      <c r="H180" s="6"/>
      <c r="I180" s="83"/>
      <c r="J180" s="6"/>
      <c r="K180" s="6"/>
      <c r="L180" s="6"/>
      <c r="M180" s="83"/>
      <c r="N180" s="6"/>
      <c r="O180" s="6"/>
      <c r="P180" s="6"/>
      <c r="Q180" s="83"/>
      <c r="R180" s="6"/>
      <c r="S180" s="6"/>
      <c r="T180" s="6"/>
      <c r="U180" s="6"/>
      <c r="V180" s="52" t="str">
        <f>IF(E180=0,"x","")</f>
        <v/>
      </c>
      <c r="W180" s="34">
        <f>_xlfn.XMATCH("x",F180:V180)</f>
        <v>1</v>
      </c>
      <c r="X180" s="9" t="str" cm="1">
        <f t="array" ref="X180">INDEX(F175:V175,W180)</f>
        <v>Gold</v>
      </c>
      <c r="Y180" s="9">
        <f>_xlfn.XLOOKUP(X180,refs!$A$2:$A$19,refs!$B$2:$B$19)</f>
        <v>13</v>
      </c>
      <c r="Z180" s="77" t="str" cm="1">
        <f t="array" ref="Z180">INDEX($F$3:$V$3,W180)</f>
        <v>#D1</v>
      </c>
      <c r="AA180" s="74">
        <f>IF(C180="x",Y180,_xlfn.XLOOKUP(C174,refs!$A$2:$A$19,refs!$B$2:$B$19))</f>
        <v>13</v>
      </c>
      <c r="AB180" s="61" t="str">
        <f>"/ch."&amp;A180&amp;".col="&amp;AA180&amp;",mute="&amp;IF(C180="x",0,1)&amp;","</f>
        <v>/ch.1.col=13,mute=0,</v>
      </c>
      <c r="AC180" s="62" t="str">
        <f>"/ch."&amp;A180&amp;".tags="&amp;Z180&amp;","</f>
        <v>/ch.1.tags=#D1,</v>
      </c>
      <c r="AD180" s="62" t="str">
        <f>"/ch."&amp;A180&amp;".name="&amp;LEFT(D180,16)&amp;","</f>
        <v>/ch.1.name=CAROLINE.ariel,</v>
      </c>
      <c r="AE180" s="62" t="str">
        <f>"/ch."&amp;A180&amp;".postins.on="&amp;IF(B180="x",1,IF(B180="y",1,0))&amp;",mode="&amp;IF(B180="x","AUTO_X",IF(B180="y","AUTO_Y","FX"))&amp;","</f>
        <v>/ch.1.postins.on=1,mode=AUTO_X,</v>
      </c>
      <c r="AF180" s="63" t="str">
        <f>"/dca."&amp;F$2&amp;".col="&amp;_xlfn.XLOOKUP(F$4,refs!$A$2:$A$19,refs!$B$2:$B$19)&amp;",name="&amp;LEFT(F$6,16)&amp;","</f>
        <v>/dca.1.col=7,name=LEADS,</v>
      </c>
    </row>
    <row r="181" spans="1:32" ht="13.5" customHeight="1" x14ac:dyDescent="0.25">
      <c r="A181" s="97">
        <f t="shared" ref="A181:A219" si="36">A124</f>
        <v>2</v>
      </c>
      <c r="B181" s="5" t="s">
        <v>21</v>
      </c>
      <c r="C181" s="25" t="s">
        <v>21</v>
      </c>
      <c r="D181" s="84" t="s">
        <v>46</v>
      </c>
      <c r="E181" s="21">
        <f t="shared" ref="E181:E219" si="37">COUNTA(F181:U181)</f>
        <v>1</v>
      </c>
      <c r="F181" s="6" t="s">
        <v>21</v>
      </c>
      <c r="G181" s="6"/>
      <c r="H181" s="6"/>
      <c r="I181" s="83"/>
      <c r="J181" s="6"/>
      <c r="K181" s="6"/>
      <c r="L181" s="6"/>
      <c r="M181" s="83"/>
      <c r="N181" s="6"/>
      <c r="O181" s="6"/>
      <c r="P181" s="6"/>
      <c r="Q181" s="83"/>
      <c r="R181" s="6"/>
      <c r="S181" s="6"/>
      <c r="T181" s="6"/>
      <c r="U181" s="6"/>
      <c r="V181" s="52" t="str">
        <f t="shared" ref="V181:V219" si="38">IF(E181=0,"x","")</f>
        <v/>
      </c>
      <c r="W181" s="34">
        <f t="shared" ref="W181:W219" si="39">_xlfn.XMATCH("x",F181:V181)</f>
        <v>1</v>
      </c>
      <c r="X181" s="9" t="str" cm="1">
        <f t="array" ref="X181">INDEX(F175:V175,W181)</f>
        <v>Gold</v>
      </c>
      <c r="Y181" s="9">
        <f>_xlfn.XLOOKUP(X181,refs!$A$2:$A$19,refs!$B$2:$B$19)</f>
        <v>13</v>
      </c>
      <c r="Z181" s="77" t="str" cm="1">
        <f t="array" ref="Z181">INDEX($F$3:$V$3,W181)</f>
        <v>#D1</v>
      </c>
      <c r="AA181" s="74">
        <f>IF(C181="x",Y181,_xlfn.XLOOKUP(C174,refs!$A$2:$A$19,refs!$B$2:$B$19))</f>
        <v>13</v>
      </c>
      <c r="AB181" s="61" t="str">
        <f t="shared" ref="AB181:AB219" si="40">"."&amp;A181&amp;".col="&amp;AA181&amp;",mute="&amp;IF(C181="x",0,1)&amp;","</f>
        <v>.2.col=13,mute=0,</v>
      </c>
      <c r="AC181" s="62" t="str">
        <f t="shared" ref="AC181:AC219" si="41">"."&amp;A181&amp;".tags="&amp;Z181&amp;","</f>
        <v>.2.tags=#D1,</v>
      </c>
      <c r="AD181" s="62" t="str">
        <f>"."&amp;A181&amp;".name="&amp;LEFT(D181,166)&amp;","</f>
        <v>.2.name=GABE.eric,</v>
      </c>
      <c r="AE181" s="62" t="str">
        <f t="shared" ref="AE181:AE199" si="42">".."&amp;A181&amp;".postins.on="&amp;IF(B181="x",1,IF(B181="y",1,0))&amp;",mode="&amp;IF(B181="x","AUTO_X",IF(B181="y","AUTO_Y","FX"))&amp;","</f>
        <v>..2.postins.on=1,mode=AUTO_X,</v>
      </c>
      <c r="AF181" s="63" t="str">
        <f>"."&amp;G$2&amp;".col="&amp;_xlfn.XLOOKUP(G$4,refs!$A$2:$A$19,refs!$B$2:$B$19)&amp;",name="&amp;LEFT(G$6,16)&amp;","</f>
        <v>.2.col=1,name=FlotJet,</v>
      </c>
    </row>
    <row r="182" spans="1:32" ht="13.5" customHeight="1" x14ac:dyDescent="0.25">
      <c r="A182" s="97">
        <f t="shared" si="36"/>
        <v>3</v>
      </c>
      <c r="B182" s="5" t="s">
        <v>21</v>
      </c>
      <c r="C182" s="25" t="s">
        <v>21</v>
      </c>
      <c r="D182" s="84" t="s">
        <v>47</v>
      </c>
      <c r="E182" s="21">
        <f t="shared" si="37"/>
        <v>1</v>
      </c>
      <c r="F182" s="6" t="s">
        <v>21</v>
      </c>
      <c r="G182" s="6"/>
      <c r="H182" s="6"/>
      <c r="I182" s="83"/>
      <c r="J182" s="6"/>
      <c r="K182" s="6"/>
      <c r="L182" s="6"/>
      <c r="M182" s="83"/>
      <c r="N182" s="6"/>
      <c r="O182" s="6"/>
      <c r="P182" s="6"/>
      <c r="Q182" s="83"/>
      <c r="R182" s="6"/>
      <c r="S182" s="6"/>
      <c r="T182" s="6"/>
      <c r="U182" s="6"/>
      <c r="V182" s="52" t="str">
        <f t="shared" si="38"/>
        <v/>
      </c>
      <c r="W182" s="34">
        <f t="shared" si="39"/>
        <v>1</v>
      </c>
      <c r="X182" s="9" t="str" cm="1">
        <f t="array" ref="X182">INDEX(F175:V175,W182)</f>
        <v>Gold</v>
      </c>
      <c r="Y182" s="9">
        <f>_xlfn.XLOOKUP(X182,refs!$A$2:$A$19,refs!$B$2:$B$19)</f>
        <v>13</v>
      </c>
      <c r="Z182" s="77" t="str" cm="1">
        <f t="array" ref="Z182">INDEX($F$3:$V$3,W182)</f>
        <v>#D1</v>
      </c>
      <c r="AA182" s="74">
        <f>IF(C182="x",Y182,_xlfn.XLOOKUP(C174,refs!$A$2:$A$19,refs!$B$2:$B$19))</f>
        <v>13</v>
      </c>
      <c r="AB182" s="61" t="str">
        <f t="shared" si="40"/>
        <v>.3.col=13,mute=0,</v>
      </c>
      <c r="AC182" s="62" t="str">
        <f t="shared" si="41"/>
        <v>.3.tags=#D1,</v>
      </c>
      <c r="AD182" s="62" t="str">
        <f t="shared" ref="AD182:AD199" si="43">"."&amp;A182&amp;".name="&amp;LEFT(D182,16)&amp;","</f>
        <v>.3.name=KEITH.grimsby,</v>
      </c>
      <c r="AE182" s="62" t="str">
        <f t="shared" si="42"/>
        <v>..3.postins.on=1,mode=AUTO_X,</v>
      </c>
      <c r="AF182" s="63" t="str">
        <f>"."&amp;H$2&amp;".col="&amp;_xlfn.XLOOKUP(H$4,refs!$A$2:$A$19,refs!$B$2:$B$19)&amp;",name="&amp;LEFT(H$6,16)&amp;","</f>
        <v>.3.col=2,name=Sail,</v>
      </c>
    </row>
    <row r="183" spans="1:32" ht="13.5" customHeight="1" x14ac:dyDescent="0.25">
      <c r="A183" s="97">
        <f t="shared" si="36"/>
        <v>4</v>
      </c>
      <c r="B183" s="5"/>
      <c r="C183" s="25" t="s">
        <v>21</v>
      </c>
      <c r="D183" s="25" t="s">
        <v>48</v>
      </c>
      <c r="E183" s="21">
        <f t="shared" si="37"/>
        <v>1</v>
      </c>
      <c r="F183" s="6" t="s">
        <v>21</v>
      </c>
      <c r="G183" s="6"/>
      <c r="H183" s="6"/>
      <c r="I183" s="83"/>
      <c r="J183" s="6"/>
      <c r="K183" s="6"/>
      <c r="L183" s="6"/>
      <c r="M183" s="83"/>
      <c r="N183" s="6"/>
      <c r="O183" s="6"/>
      <c r="P183" s="6"/>
      <c r="Q183" s="83"/>
      <c r="R183" s="6"/>
      <c r="S183" s="6"/>
      <c r="T183" s="6"/>
      <c r="U183" s="6"/>
      <c r="V183" s="52" t="str">
        <f t="shared" si="38"/>
        <v/>
      </c>
      <c r="W183" s="34">
        <f t="shared" si="39"/>
        <v>1</v>
      </c>
      <c r="X183" s="9" t="str" cm="1">
        <f t="array" ref="X183">INDEX(F175:V175,W183)</f>
        <v>Gold</v>
      </c>
      <c r="Y183" s="9">
        <f>_xlfn.XLOOKUP(X183,refs!$A$2:$A$19,refs!$B$2:$B$19)</f>
        <v>13</v>
      </c>
      <c r="Z183" s="77" t="str" cm="1">
        <f t="array" ref="Z183">INDEX($F$3:$V$3,W183)</f>
        <v>#D1</v>
      </c>
      <c r="AA183" s="74">
        <f>IF(C183="x",Y183,_xlfn.XLOOKUP(C174,refs!$A$2:$A$19,refs!$B$2:$B$19))</f>
        <v>13</v>
      </c>
      <c r="AB183" s="61" t="str">
        <f t="shared" si="40"/>
        <v>.4.col=13,mute=0,</v>
      </c>
      <c r="AC183" s="62" t="str">
        <f t="shared" si="41"/>
        <v>.4.tags=#D1,</v>
      </c>
      <c r="AD183" s="62" t="str">
        <f t="shared" si="43"/>
        <v>.4.name=CHADLEY.sebastia,</v>
      </c>
      <c r="AE183" s="62" t="str">
        <f t="shared" si="42"/>
        <v>..4.postins.on=0,mode=FX,</v>
      </c>
      <c r="AF183" s="63" t="str">
        <f>"."&amp;I$2&amp;".col="&amp;_xlfn.XLOOKUP(I$4,refs!$A$2:$A$19,refs!$B$2:$B$19)&amp;",name="&amp;LEFT(I$6,16)&amp;","</f>
        <v>.4.col=3,name=Sisters,</v>
      </c>
    </row>
    <row r="184" spans="1:32" ht="13.5" customHeight="1" x14ac:dyDescent="0.25">
      <c r="A184" s="97">
        <f t="shared" si="36"/>
        <v>5</v>
      </c>
      <c r="B184" s="5" t="s">
        <v>21</v>
      </c>
      <c r="C184" s="25" t="s">
        <v>21</v>
      </c>
      <c r="D184" s="85" t="s">
        <v>49</v>
      </c>
      <c r="E184" s="21">
        <f t="shared" si="37"/>
        <v>1</v>
      </c>
      <c r="F184" s="6" t="s">
        <v>21</v>
      </c>
      <c r="G184" s="6"/>
      <c r="H184" s="6"/>
      <c r="I184" s="83"/>
      <c r="J184" s="6"/>
      <c r="K184" s="6"/>
      <c r="L184" s="6"/>
      <c r="M184" s="83"/>
      <c r="N184" s="6"/>
      <c r="O184" s="6"/>
      <c r="P184" s="6"/>
      <c r="Q184" s="83"/>
      <c r="R184" s="6"/>
      <c r="S184" s="6"/>
      <c r="T184" s="6"/>
      <c r="U184" s="6"/>
      <c r="V184" s="52" t="str">
        <f t="shared" si="38"/>
        <v/>
      </c>
      <c r="W184" s="34">
        <f t="shared" si="39"/>
        <v>1</v>
      </c>
      <c r="X184" s="9" t="str" cm="1">
        <f t="array" ref="X184">INDEX(F175:V175,W184)</f>
        <v>Gold</v>
      </c>
      <c r="Y184" s="9">
        <f>_xlfn.XLOOKUP(X184,refs!$A$2:$A$19,refs!$B$2:$B$19)</f>
        <v>13</v>
      </c>
      <c r="Z184" s="77" t="str" cm="1">
        <f t="array" ref="Z184">INDEX($F$3:$V$3,W184)</f>
        <v>#D1</v>
      </c>
      <c r="AA184" s="74">
        <f>IF(C184="x",Y184,_xlfn.XLOOKUP(C174,refs!$A$2:$A$19,refs!$B$2:$B$19))</f>
        <v>13</v>
      </c>
      <c r="AB184" s="61" t="str">
        <f t="shared" si="40"/>
        <v>.5.col=13,mute=0,</v>
      </c>
      <c r="AC184" s="62" t="str">
        <f t="shared" si="41"/>
        <v>.5.tags=#D1,</v>
      </c>
      <c r="AD184" s="62" t="str">
        <f t="shared" si="43"/>
        <v>.5.name=ANNA.flounder,</v>
      </c>
      <c r="AE184" s="62" t="str">
        <f t="shared" si="42"/>
        <v>..5.postins.on=1,mode=AUTO_X,</v>
      </c>
      <c r="AF184" s="63" t="str">
        <f>"."&amp;J$2&amp;".col="&amp;_xlfn.XLOOKUP(J$4,refs!$A$2:$A$19,refs!$B$2:$B$19)&amp;",name="&amp;LEFT(J$6,16)&amp;","</f>
        <v>.5.col=4,name=Maids,</v>
      </c>
    </row>
    <row r="185" spans="1:32" ht="13.5" customHeight="1" x14ac:dyDescent="0.25">
      <c r="A185" s="97">
        <f t="shared" si="36"/>
        <v>6</v>
      </c>
      <c r="B185" s="5" t="s">
        <v>21</v>
      </c>
      <c r="C185" s="25" t="s">
        <v>21</v>
      </c>
      <c r="D185" s="86" t="s">
        <v>51</v>
      </c>
      <c r="E185" s="21">
        <f t="shared" si="37"/>
        <v>1</v>
      </c>
      <c r="F185" s="6" t="s">
        <v>21</v>
      </c>
      <c r="G185" s="6"/>
      <c r="H185" s="6"/>
      <c r="I185" s="83"/>
      <c r="J185" s="6"/>
      <c r="K185" s="6"/>
      <c r="L185" s="6"/>
      <c r="M185" s="83"/>
      <c r="N185" s="6"/>
      <c r="O185" s="6"/>
      <c r="P185" s="6"/>
      <c r="Q185" s="83"/>
      <c r="R185" s="6"/>
      <c r="S185" s="6"/>
      <c r="T185" s="6"/>
      <c r="U185" s="6"/>
      <c r="V185" s="52" t="str">
        <f t="shared" si="38"/>
        <v/>
      </c>
      <c r="W185" s="34">
        <f t="shared" si="39"/>
        <v>1</v>
      </c>
      <c r="X185" s="9" t="str" cm="1">
        <f t="array" ref="X185">INDEX(F175:V175,W185)</f>
        <v>Gold</v>
      </c>
      <c r="Y185" s="9">
        <f>_xlfn.XLOOKUP(X185,refs!$A$2:$A$19,refs!$B$2:$B$19)</f>
        <v>13</v>
      </c>
      <c r="Z185" s="77" t="str" cm="1">
        <f t="array" ref="Z185">INDEX($F$3:$V$3,W185)</f>
        <v>#D1</v>
      </c>
      <c r="AA185" s="74">
        <f>IF(C185="x",Y185,_xlfn.XLOOKUP(C174,refs!$A$2:$A$19,refs!$B$2:$B$19))</f>
        <v>13</v>
      </c>
      <c r="AB185" s="61" t="str">
        <f t="shared" si="40"/>
        <v>.6.col=13,mute=0,</v>
      </c>
      <c r="AC185" s="62" t="str">
        <f t="shared" si="41"/>
        <v>.6.tags=#D1,</v>
      </c>
      <c r="AD185" s="62" t="str">
        <f t="shared" si="43"/>
        <v>.6.name=MARGERY.ursula,</v>
      </c>
      <c r="AE185" s="62" t="str">
        <f t="shared" si="42"/>
        <v>..6.postins.on=1,mode=AUTO_X,</v>
      </c>
      <c r="AF185" s="63" t="str">
        <f>"."&amp;K$2&amp;".col="&amp;_xlfn.XLOOKUP(K$4,refs!$A$2:$A$19,refs!$B$2:$B$19)&amp;",name="&amp;LEFT(K$6,16)&amp;","</f>
        <v>.6.col=5,name=LeeWind,</v>
      </c>
    </row>
    <row r="186" spans="1:32" ht="13.5" customHeight="1" x14ac:dyDescent="0.25">
      <c r="A186" s="97">
        <f t="shared" si="36"/>
        <v>7</v>
      </c>
      <c r="B186" s="5" t="s">
        <v>21</v>
      </c>
      <c r="C186" s="25" t="s">
        <v>21</v>
      </c>
      <c r="D186" s="87" t="s">
        <v>52</v>
      </c>
      <c r="E186" s="21">
        <f t="shared" si="37"/>
        <v>1</v>
      </c>
      <c r="F186" s="6" t="s">
        <v>21</v>
      </c>
      <c r="G186" s="6"/>
      <c r="H186" s="6"/>
      <c r="I186" s="83"/>
      <c r="J186" s="6"/>
      <c r="K186" s="6"/>
      <c r="L186" s="6"/>
      <c r="M186" s="83"/>
      <c r="N186" s="6"/>
      <c r="O186" s="6"/>
      <c r="P186" s="6"/>
      <c r="Q186" s="83"/>
      <c r="R186" s="6"/>
      <c r="S186" s="6"/>
      <c r="T186" s="6"/>
      <c r="U186" s="6"/>
      <c r="V186" s="52" t="str">
        <f t="shared" si="38"/>
        <v/>
      </c>
      <c r="W186" s="34">
        <f t="shared" si="39"/>
        <v>1</v>
      </c>
      <c r="X186" s="9" t="str" cm="1">
        <f t="array" ref="X186">INDEX(F175:V175,W186)</f>
        <v>Gold</v>
      </c>
      <c r="Y186" s="9">
        <f>_xlfn.XLOOKUP(X186,refs!$A$2:$A$19,refs!$B$2:$B$19)</f>
        <v>13</v>
      </c>
      <c r="Z186" s="77" t="str" cm="1">
        <f t="array" ref="Z186">INDEX($F$3:$V$3,W186)</f>
        <v>#D1</v>
      </c>
      <c r="AA186" s="74">
        <f>IF(C186="x",Y186,_xlfn.XLOOKUP(C174,refs!$A$2:$A$19,refs!$B$2:$B$19))</f>
        <v>13</v>
      </c>
      <c r="AB186" s="61" t="str">
        <f t="shared" si="40"/>
        <v>.7.col=13,mute=0,</v>
      </c>
      <c r="AC186" s="62" t="str">
        <f t="shared" si="41"/>
        <v>.7.tags=#D1,</v>
      </c>
      <c r="AD186" s="62" t="str">
        <f t="shared" si="43"/>
        <v>.7.name=JOHN.triton,</v>
      </c>
      <c r="AE186" s="62" t="str">
        <f t="shared" si="42"/>
        <v>..7.postins.on=1,mode=AUTO_X,</v>
      </c>
      <c r="AF186" s="63" t="str">
        <f>"."&amp;L$2&amp;".col="&amp;_xlfn.XLOOKUP(L$4,refs!$A$2:$A$19,refs!$B$2:$B$19)&amp;",name="&amp;LEFT(L$6,16)&amp;","</f>
        <v>.7.col=6,name=PrRaJen,</v>
      </c>
    </row>
    <row r="187" spans="1:32" ht="13.5" customHeight="1" x14ac:dyDescent="0.25">
      <c r="A187" s="97">
        <f t="shared" si="36"/>
        <v>8</v>
      </c>
      <c r="B187" s="5" t="s">
        <v>21</v>
      </c>
      <c r="C187" s="25" t="s">
        <v>21</v>
      </c>
      <c r="D187" s="87" t="s">
        <v>53</v>
      </c>
      <c r="E187" s="21">
        <f t="shared" si="37"/>
        <v>1</v>
      </c>
      <c r="F187" s="6" t="s">
        <v>21</v>
      </c>
      <c r="G187" s="6"/>
      <c r="H187" s="6"/>
      <c r="I187" s="83"/>
      <c r="J187" s="6"/>
      <c r="K187" s="6"/>
      <c r="L187" s="6"/>
      <c r="M187" s="83"/>
      <c r="N187" s="6"/>
      <c r="O187" s="6"/>
      <c r="P187" s="6"/>
      <c r="Q187" s="83"/>
      <c r="R187" s="6"/>
      <c r="S187" s="6"/>
      <c r="T187" s="6"/>
      <c r="U187" s="6"/>
      <c r="V187" s="52" t="str">
        <f t="shared" si="38"/>
        <v/>
      </c>
      <c r="W187" s="34">
        <f t="shared" si="39"/>
        <v>1</v>
      </c>
      <c r="X187" s="9" t="str" cm="1">
        <f t="array" ref="X187">INDEX(F175:V175,W187)</f>
        <v>Gold</v>
      </c>
      <c r="Y187" s="9">
        <f>_xlfn.XLOOKUP(X187,refs!$A$2:$A$19,refs!$B$2:$B$19)</f>
        <v>13</v>
      </c>
      <c r="Z187" s="77" t="str" cm="1">
        <f t="array" ref="Z187">INDEX($F$3:$V$3,W187)</f>
        <v>#D1</v>
      </c>
      <c r="AA187" s="74">
        <f>IF(C187="x",Y187,_xlfn.XLOOKUP(C174,refs!$A$2:$A$19,refs!$B$2:$B$19))</f>
        <v>13</v>
      </c>
      <c r="AB187" s="61" t="str">
        <f t="shared" si="40"/>
        <v>.8.col=13,mute=0,</v>
      </c>
      <c r="AC187" s="62" t="str">
        <f t="shared" si="41"/>
        <v>.8.tags=#D1,</v>
      </c>
      <c r="AD187" s="62" t="str">
        <f t="shared" si="43"/>
        <v>.8.name=JUDAH.chefL,</v>
      </c>
      <c r="AE187" s="62" t="str">
        <f t="shared" si="42"/>
        <v>..8.postins.on=1,mode=AUTO_X,</v>
      </c>
      <c r="AF187" s="63" t="str">
        <f>"."&amp;M$2&amp;".col="&amp;_xlfn.XLOOKUP(M$4,refs!$A$2:$A$19,refs!$B$2:$B$19)&amp;",name="&amp;LEFT(M$6,16)&amp;","</f>
        <v>.8.col=7,name=.,</v>
      </c>
    </row>
    <row r="188" spans="1:32" ht="13.5" customHeight="1" x14ac:dyDescent="0.25">
      <c r="A188" s="97">
        <f t="shared" si="36"/>
        <v>9</v>
      </c>
      <c r="B188" s="5" t="s">
        <v>21</v>
      </c>
      <c r="C188" s="25" t="s">
        <v>21</v>
      </c>
      <c r="D188" s="87" t="s">
        <v>54</v>
      </c>
      <c r="E188" s="21">
        <f t="shared" si="37"/>
        <v>1</v>
      </c>
      <c r="F188" s="6" t="s">
        <v>21</v>
      </c>
      <c r="G188" s="6"/>
      <c r="H188" s="6"/>
      <c r="I188" s="83"/>
      <c r="J188" s="6"/>
      <c r="K188" s="6"/>
      <c r="L188" s="6"/>
      <c r="M188" s="83"/>
      <c r="N188" s="6"/>
      <c r="O188" s="6"/>
      <c r="P188" s="6"/>
      <c r="Q188" s="83"/>
      <c r="R188" s="6"/>
      <c r="S188" s="6"/>
      <c r="T188" s="6"/>
      <c r="U188" s="6"/>
      <c r="V188" s="52" t="str">
        <f t="shared" si="38"/>
        <v/>
      </c>
      <c r="W188" s="34">
        <f t="shared" si="39"/>
        <v>1</v>
      </c>
      <c r="X188" s="9" t="str" cm="1">
        <f t="array" ref="X188">INDEX(F175:V175,W188)</f>
        <v>Gold</v>
      </c>
      <c r="Y188" s="9">
        <f>_xlfn.XLOOKUP(X188,refs!$A$2:$A$19,refs!$B$2:$B$19)</f>
        <v>13</v>
      </c>
      <c r="Z188" s="77" t="str" cm="1">
        <f t="array" ref="Z188">INDEX($F$3:$V$3,W188)</f>
        <v>#D1</v>
      </c>
      <c r="AA188" s="74">
        <f>IF(C188="x",Y188,_xlfn.XLOOKUP(C174,refs!$A$2:$A$19,refs!$B$2:$B$19))</f>
        <v>13</v>
      </c>
      <c r="AB188" s="61" t="str">
        <f t="shared" si="40"/>
        <v>.9.col=13,mute=0,</v>
      </c>
      <c r="AC188" s="62" t="str">
        <f t="shared" si="41"/>
        <v>.9.tags=#D1,</v>
      </c>
      <c r="AD188" s="62" t="str">
        <f t="shared" si="43"/>
        <v>.9.name=BRIDGET.scuttle,</v>
      </c>
      <c r="AE188" s="62" t="str">
        <f t="shared" si="42"/>
        <v>..9.postins.on=1,mode=AUTO_X,</v>
      </c>
      <c r="AF188" s="63" t="str">
        <f>"."&amp;N$2&amp;".col="&amp;_xlfn.XLOOKUP(N$4,refs!$A$2:$A$19,refs!$B$2:$B$19)&amp;",name="&amp;LEFT(N$6,16)&amp;","</f>
        <v>.9.col=8,name=.,</v>
      </c>
    </row>
    <row r="189" spans="1:32" ht="13.5" customHeight="1" x14ac:dyDescent="0.25">
      <c r="A189" s="97">
        <f t="shared" si="36"/>
        <v>10</v>
      </c>
      <c r="B189" s="5" t="s">
        <v>21</v>
      </c>
      <c r="C189" s="25" t="s">
        <v>21</v>
      </c>
      <c r="D189" s="88" t="s">
        <v>55</v>
      </c>
      <c r="E189" s="21">
        <f t="shared" si="37"/>
        <v>1</v>
      </c>
      <c r="F189" s="6"/>
      <c r="G189" s="6" t="s">
        <v>21</v>
      </c>
      <c r="H189" s="6"/>
      <c r="I189" s="83"/>
      <c r="J189" s="6"/>
      <c r="K189" s="6"/>
      <c r="L189" s="6"/>
      <c r="M189" s="83"/>
      <c r="N189" s="6"/>
      <c r="O189" s="6"/>
      <c r="P189" s="6"/>
      <c r="Q189" s="83"/>
      <c r="R189" s="6"/>
      <c r="S189" s="6"/>
      <c r="T189" s="6"/>
      <c r="U189" s="6"/>
      <c r="V189" s="52" t="str">
        <f t="shared" si="38"/>
        <v/>
      </c>
      <c r="W189" s="34">
        <f t="shared" si="39"/>
        <v>2</v>
      </c>
      <c r="X189" s="9" t="str" cm="1">
        <f t="array" ref="X189">INDEX(F175:V175,W189)</f>
        <v>Coral</v>
      </c>
      <c r="Y189" s="9">
        <f>_xlfn.XLOOKUP(X189,refs!$A$2:$A$19,refs!$B$2:$B$19)</f>
        <v>10</v>
      </c>
      <c r="Z189" s="77" t="str" cm="1">
        <f t="array" ref="Z189">INDEX($F$3:$V$3,W189)</f>
        <v>#D2</v>
      </c>
      <c r="AA189" s="74">
        <f>IF(C189="x",Y189,_xlfn.XLOOKUP(C174,refs!$A$2:$A$19,refs!$B$2:$B$19))</f>
        <v>10</v>
      </c>
      <c r="AB189" s="61" t="str">
        <f t="shared" si="40"/>
        <v>.10.col=10,mute=0,</v>
      </c>
      <c r="AC189" s="62" t="str">
        <f t="shared" si="41"/>
        <v>.10.tags=#D2,</v>
      </c>
      <c r="AD189" s="62" t="str">
        <f t="shared" si="43"/>
        <v>.10.name=DYLAN.flotsam,</v>
      </c>
      <c r="AE189" s="62" t="str">
        <f t="shared" si="42"/>
        <v>..10.postins.on=1,mode=AUTO_X,</v>
      </c>
      <c r="AF189" s="63" t="str">
        <f>"."&amp;O$2&amp;".col="&amp;_xlfn.XLOOKUP(O$4,refs!$A$2:$A$19,refs!$B$2:$B$19)&amp;",name="&amp;LEFT(O$6,16)&amp;","</f>
        <v>.10.col=9,name=.,</v>
      </c>
    </row>
    <row r="190" spans="1:32" ht="13.5" customHeight="1" x14ac:dyDescent="0.25">
      <c r="A190" s="97">
        <f t="shared" si="36"/>
        <v>11</v>
      </c>
      <c r="B190" s="5" t="s">
        <v>21</v>
      </c>
      <c r="C190" s="25" t="s">
        <v>21</v>
      </c>
      <c r="D190" s="88" t="s">
        <v>56</v>
      </c>
      <c r="E190" s="21">
        <f t="shared" si="37"/>
        <v>1</v>
      </c>
      <c r="F190" s="6"/>
      <c r="G190" s="6" t="s">
        <v>21</v>
      </c>
      <c r="H190" s="6"/>
      <c r="I190" s="83"/>
      <c r="J190" s="6"/>
      <c r="K190" s="6"/>
      <c r="L190" s="6"/>
      <c r="M190" s="83"/>
      <c r="N190" s="6"/>
      <c r="O190" s="6"/>
      <c r="P190" s="6"/>
      <c r="Q190" s="83"/>
      <c r="R190" s="6"/>
      <c r="S190" s="6"/>
      <c r="T190" s="6"/>
      <c r="U190" s="6"/>
      <c r="V190" s="52" t="str">
        <f t="shared" si="38"/>
        <v/>
      </c>
      <c r="W190" s="34">
        <f t="shared" si="39"/>
        <v>2</v>
      </c>
      <c r="X190" s="9" t="str" cm="1">
        <f t="array" ref="X190">INDEX(F175:V175,W190)</f>
        <v>Coral</v>
      </c>
      <c r="Y190" s="9">
        <f>_xlfn.XLOOKUP(X190,refs!$A$2:$A$19,refs!$B$2:$B$19)</f>
        <v>10</v>
      </c>
      <c r="Z190" s="77" t="str" cm="1">
        <f t="array" ref="Z190">INDEX($F$3:$V$3,W190)</f>
        <v>#D2</v>
      </c>
      <c r="AA190" s="74">
        <f>IF(C190="x",Y190,_xlfn.XLOOKUP(C174,refs!$A$2:$A$19,refs!$B$2:$B$19))</f>
        <v>10</v>
      </c>
      <c r="AB190" s="61" t="str">
        <f t="shared" si="40"/>
        <v>.11.col=10,mute=0,</v>
      </c>
      <c r="AC190" s="62" t="str">
        <f t="shared" si="41"/>
        <v>.11.tags=#D2,</v>
      </c>
      <c r="AD190" s="62" t="str">
        <f t="shared" si="43"/>
        <v>.11.name=ELIJAH.jetsam,</v>
      </c>
      <c r="AE190" s="62" t="str">
        <f t="shared" si="42"/>
        <v>..11.postins.on=1,mode=AUTO_X,</v>
      </c>
      <c r="AF190" s="63" t="str">
        <f>"."&amp;P$2&amp;".col="&amp;_xlfn.XLOOKUP(P$4,refs!$A$2:$A$19,refs!$B$2:$B$19)&amp;",name="&amp;LEFT(P$6,16)&amp;","</f>
        <v>.11.col=10,name=OS,</v>
      </c>
    </row>
    <row r="191" spans="1:32" ht="13.5" customHeight="1" x14ac:dyDescent="0.25">
      <c r="A191" s="97">
        <f t="shared" si="36"/>
        <v>12</v>
      </c>
      <c r="B191" s="5" t="s">
        <v>21</v>
      </c>
      <c r="C191" s="25" t="s">
        <v>21</v>
      </c>
      <c r="D191" s="89" t="s">
        <v>50</v>
      </c>
      <c r="E191" s="21">
        <f t="shared" si="37"/>
        <v>1</v>
      </c>
      <c r="F191" s="6"/>
      <c r="G191" s="6"/>
      <c r="H191" s="6" t="s">
        <v>21</v>
      </c>
      <c r="I191" s="83"/>
      <c r="J191" s="6"/>
      <c r="K191" s="6"/>
      <c r="L191" s="6"/>
      <c r="M191" s="83"/>
      <c r="N191" s="6"/>
      <c r="O191" s="6"/>
      <c r="P191" s="6"/>
      <c r="Q191" s="83"/>
      <c r="R191" s="6"/>
      <c r="S191" s="6"/>
      <c r="T191" s="6"/>
      <c r="U191" s="6"/>
      <c r="V191" s="52" t="str">
        <f t="shared" si="38"/>
        <v/>
      </c>
      <c r="W191" s="34">
        <f t="shared" si="39"/>
        <v>3</v>
      </c>
      <c r="X191" s="9" t="str" cm="1">
        <f t="array" ref="X191">INDEX(F175:V175,W191)</f>
        <v>Brown</v>
      </c>
      <c r="Y191" s="9">
        <f>_xlfn.XLOOKUP(X191,refs!$A$2:$A$19,refs!$B$2:$B$19)</f>
        <v>8</v>
      </c>
      <c r="Z191" s="77" t="str" cm="1">
        <f t="array" ref="Z191">INDEX($F$3:$V$3,W191)</f>
        <v>#D3</v>
      </c>
      <c r="AA191" s="74">
        <f>IF(C191="x",Y191,_xlfn.XLOOKUP(C174,refs!$A$2:$A$19,refs!$B$2:$B$19))</f>
        <v>8</v>
      </c>
      <c r="AB191" s="61" t="str">
        <f t="shared" si="40"/>
        <v>.12.col=8,mute=0,</v>
      </c>
      <c r="AC191" s="62" t="str">
        <f t="shared" si="41"/>
        <v>.12.tags=#D3,</v>
      </c>
      <c r="AD191" s="62" t="str">
        <f t="shared" si="43"/>
        <v>.12.name=SYR.pilot,</v>
      </c>
      <c r="AE191" s="62" t="str">
        <f t="shared" si="42"/>
        <v>..12.postins.on=1,mode=AUTO_X,</v>
      </c>
      <c r="AF191" s="63" t="str">
        <f>"."&amp;Q$2&amp;".col="&amp;_xlfn.XLOOKUP(Q$4,refs!$A$2:$A$19,refs!$B$2:$B$19)&amp;",name="&amp;LEFT(Q$6,16)&amp;","</f>
        <v>.12.col=11,name=VOX+.VRB,</v>
      </c>
    </row>
    <row r="192" spans="1:32" ht="13.5" customHeight="1" x14ac:dyDescent="0.25">
      <c r="A192" s="97">
        <f t="shared" si="36"/>
        <v>13</v>
      </c>
      <c r="B192" s="5" t="s">
        <v>26</v>
      </c>
      <c r="C192" s="25" t="s">
        <v>21</v>
      </c>
      <c r="D192" s="90" t="s">
        <v>57</v>
      </c>
      <c r="E192" s="21">
        <f t="shared" si="37"/>
        <v>1</v>
      </c>
      <c r="F192" s="6"/>
      <c r="G192" s="6"/>
      <c r="H192" s="6"/>
      <c r="I192" s="83" t="s">
        <v>21</v>
      </c>
      <c r="J192" s="6"/>
      <c r="K192" s="6"/>
      <c r="L192" s="6"/>
      <c r="M192" s="83"/>
      <c r="N192" s="6"/>
      <c r="O192" s="6"/>
      <c r="P192" s="6"/>
      <c r="Q192" s="83"/>
      <c r="R192" s="6"/>
      <c r="S192" s="6"/>
      <c r="T192" s="6"/>
      <c r="U192" s="6"/>
      <c r="V192" s="52" t="str">
        <f t="shared" si="38"/>
        <v/>
      </c>
      <c r="W192" s="34">
        <f t="shared" si="39"/>
        <v>4</v>
      </c>
      <c r="X192" s="9" t="str" cm="1">
        <f t="array" ref="X192">INDEX(F175:V175,W192)</f>
        <v>Pink</v>
      </c>
      <c r="Y192" s="9">
        <f>_xlfn.XLOOKUP(X192,refs!$A$2:$A$19,refs!$B$2:$B$19)</f>
        <v>11</v>
      </c>
      <c r="Z192" s="77" t="str" cm="1">
        <f t="array" ref="Z192">INDEX($F$3:$V$3,W192)</f>
        <v>#D4</v>
      </c>
      <c r="AA192" s="74">
        <f>IF(C192="x",Y192,_xlfn.XLOOKUP(C174,refs!$A$2:$A$19,refs!$B$2:$B$19))</f>
        <v>11</v>
      </c>
      <c r="AB192" s="61" t="str">
        <f t="shared" si="40"/>
        <v>.13.col=11,mute=0,</v>
      </c>
      <c r="AC192" s="62" t="str">
        <f t="shared" si="41"/>
        <v>.13.tags=#D4,</v>
      </c>
      <c r="AD192" s="62" t="str">
        <f t="shared" si="43"/>
        <v>.13.name=KATELYN.aquata,</v>
      </c>
      <c r="AE192" s="62" t="str">
        <f t="shared" si="42"/>
        <v>..13.postins.on=1,mode=AUTO_Y,</v>
      </c>
      <c r="AF192" s="63" t="str">
        <f>"."&amp;R$2&amp;".col="&amp;_xlfn.XLOOKUP(R$4,refs!$A$2:$A$19,refs!$B$2:$B$19)&amp;",name="&amp;LEFT(R$6,16)&amp;","</f>
        <v>.13.col=12,name=VOX_.VRB,</v>
      </c>
    </row>
    <row r="193" spans="1:32" ht="13.5" customHeight="1" x14ac:dyDescent="0.25">
      <c r="A193" s="97">
        <f t="shared" si="36"/>
        <v>14</v>
      </c>
      <c r="B193" s="5" t="s">
        <v>26</v>
      </c>
      <c r="C193" s="25" t="s">
        <v>21</v>
      </c>
      <c r="D193" s="90" t="s">
        <v>58</v>
      </c>
      <c r="E193" s="21">
        <f t="shared" si="37"/>
        <v>1</v>
      </c>
      <c r="F193" s="6"/>
      <c r="G193" s="6"/>
      <c r="H193" s="6"/>
      <c r="I193" s="83" t="s">
        <v>21</v>
      </c>
      <c r="J193" s="6"/>
      <c r="K193" s="6"/>
      <c r="L193" s="6"/>
      <c r="M193" s="83"/>
      <c r="N193" s="6"/>
      <c r="O193" s="6"/>
      <c r="P193" s="6"/>
      <c r="Q193" s="83"/>
      <c r="R193" s="6"/>
      <c r="S193" s="6"/>
      <c r="T193" s="6"/>
      <c r="U193" s="6"/>
      <c r="V193" s="52" t="str">
        <f t="shared" si="38"/>
        <v/>
      </c>
      <c r="W193" s="34">
        <f t="shared" si="39"/>
        <v>4</v>
      </c>
      <c r="X193" s="9" t="str" cm="1">
        <f t="array" ref="X193">INDEX(F175:V175,W193)</f>
        <v>Pink</v>
      </c>
      <c r="Y193" s="9">
        <f>_xlfn.XLOOKUP(X193,refs!$A$2:$A$19,refs!$B$2:$B$19)</f>
        <v>11</v>
      </c>
      <c r="Z193" s="77" t="str" cm="1">
        <f t="array" ref="Z193">INDEX($F$3:$V$3,W193)</f>
        <v>#D4</v>
      </c>
      <c r="AA193" s="74">
        <f>IF(C193="x",Y193,_xlfn.XLOOKUP(C174,refs!$A$2:$A$19,refs!$B$2:$B$19))</f>
        <v>11</v>
      </c>
      <c r="AB193" s="61" t="str">
        <f t="shared" si="40"/>
        <v>.14.col=11,mute=0,</v>
      </c>
      <c r="AC193" s="62" t="str">
        <f t="shared" si="41"/>
        <v>.14.tags=#D4,</v>
      </c>
      <c r="AD193" s="62" t="str">
        <f t="shared" si="43"/>
        <v>.14.name=NADJA.adrina,</v>
      </c>
      <c r="AE193" s="62" t="str">
        <f t="shared" si="42"/>
        <v>..14.postins.on=1,mode=AUTO_Y,</v>
      </c>
      <c r="AF193" s="63" t="str">
        <f>"."&amp;S$2&amp;".col="&amp;_xlfn.XLOOKUP(S$4,refs!$A$2:$A$19,refs!$B$2:$B$19)&amp;",name="&amp;LEFT(S$6,16)&amp;","</f>
        <v>.14.col=13,name=INST+.VRB,</v>
      </c>
    </row>
    <row r="194" spans="1:32" ht="13.5" customHeight="1" x14ac:dyDescent="0.25">
      <c r="A194" s="97">
        <f t="shared" si="36"/>
        <v>15</v>
      </c>
      <c r="B194" s="5" t="s">
        <v>26</v>
      </c>
      <c r="C194" s="25" t="s">
        <v>21</v>
      </c>
      <c r="D194" s="90" t="s">
        <v>60</v>
      </c>
      <c r="E194" s="21">
        <f t="shared" si="37"/>
        <v>1</v>
      </c>
      <c r="F194" s="6"/>
      <c r="G194" s="6"/>
      <c r="H194" s="6"/>
      <c r="I194" s="83" t="s">
        <v>21</v>
      </c>
      <c r="J194" s="6"/>
      <c r="K194" s="6"/>
      <c r="L194" s="6"/>
      <c r="M194" s="83"/>
      <c r="N194" s="6"/>
      <c r="O194" s="6"/>
      <c r="P194" s="6"/>
      <c r="Q194" s="83"/>
      <c r="R194" s="6"/>
      <c r="S194" s="6"/>
      <c r="T194" s="6"/>
      <c r="U194" s="6"/>
      <c r="V194" s="52" t="str">
        <f t="shared" si="38"/>
        <v/>
      </c>
      <c r="W194" s="34">
        <f t="shared" si="39"/>
        <v>4</v>
      </c>
      <c r="X194" s="9" t="str" cm="1">
        <f t="array" ref="X194">INDEX(F175:V175,W194)</f>
        <v>Pink</v>
      </c>
      <c r="Y194" s="9">
        <f>_xlfn.XLOOKUP(X194,refs!$A$2:$A$19,refs!$B$2:$B$19)</f>
        <v>11</v>
      </c>
      <c r="Z194" s="77" t="str" cm="1">
        <f t="array" ref="Z194">INDEX($F$3:$V$3,W194)</f>
        <v>#D4</v>
      </c>
      <c r="AA194" s="74">
        <f>IF(C194="x",Y194,_xlfn.XLOOKUP(C174,refs!$A$2:$A$19,refs!$B$2:$B$19))</f>
        <v>11</v>
      </c>
      <c r="AB194" s="61" t="str">
        <f t="shared" si="40"/>
        <v>.15.col=11,mute=0,</v>
      </c>
      <c r="AC194" s="62" t="str">
        <f t="shared" si="41"/>
        <v>.15.tags=#D4,</v>
      </c>
      <c r="AD194" s="62" t="str">
        <f t="shared" si="43"/>
        <v>.15.name=RACHELP.arista,</v>
      </c>
      <c r="AE194" s="62" t="str">
        <f t="shared" si="42"/>
        <v>..15.postins.on=1,mode=AUTO_Y,</v>
      </c>
      <c r="AF194" s="63" t="str">
        <f>"."&amp;T$2&amp;".col="&amp;_xlfn.XLOOKUP(T$4,refs!$A$2:$A$19,refs!$B$2:$B$19)&amp;",name="&amp;LEFT(T$6,16)&amp;","</f>
        <v>.15.col=14,name=INST_.VRB,</v>
      </c>
    </row>
    <row r="195" spans="1:32" ht="13.5" customHeight="1" x14ac:dyDescent="0.25">
      <c r="A195" s="97">
        <f t="shared" si="36"/>
        <v>16</v>
      </c>
      <c r="B195" s="5" t="s">
        <v>26</v>
      </c>
      <c r="C195" s="25" t="s">
        <v>21</v>
      </c>
      <c r="D195" s="90" t="s">
        <v>59</v>
      </c>
      <c r="E195" s="21">
        <f t="shared" si="37"/>
        <v>1</v>
      </c>
      <c r="F195" s="6"/>
      <c r="G195" s="6"/>
      <c r="H195" s="6"/>
      <c r="I195" s="83" t="s">
        <v>21</v>
      </c>
      <c r="J195" s="6"/>
      <c r="K195" s="6"/>
      <c r="L195" s="6"/>
      <c r="M195" s="83"/>
      <c r="N195" s="6"/>
      <c r="O195" s="6"/>
      <c r="P195" s="6"/>
      <c r="Q195" s="83"/>
      <c r="R195" s="6"/>
      <c r="S195" s="6"/>
      <c r="T195" s="6"/>
      <c r="U195" s="6"/>
      <c r="V195" s="52" t="str">
        <f t="shared" si="38"/>
        <v/>
      </c>
      <c r="W195" s="34">
        <f t="shared" si="39"/>
        <v>4</v>
      </c>
      <c r="X195" s="9" t="str" cm="1">
        <f t="array" ref="X195">INDEX(F175:V175,W195)</f>
        <v>Pink</v>
      </c>
      <c r="Y195" s="9">
        <f>_xlfn.XLOOKUP(X195,refs!$A$2:$A$19,refs!$B$2:$B$19)</f>
        <v>11</v>
      </c>
      <c r="Z195" s="77" t="str" cm="1">
        <f t="array" ref="Z195">INDEX($F$3:$V$3,W195)</f>
        <v>#D4</v>
      </c>
      <c r="AA195" s="74">
        <f>IF(C195="x",Y195,_xlfn.XLOOKUP(C174,refs!$A$2:$A$19,refs!$B$2:$B$19))</f>
        <v>11</v>
      </c>
      <c r="AB195" s="61" t="str">
        <f t="shared" si="40"/>
        <v>.16.col=11,mute=0,</v>
      </c>
      <c r="AC195" s="62" t="str">
        <f t="shared" si="41"/>
        <v>.16.tags=#D4,</v>
      </c>
      <c r="AD195" s="62" t="str">
        <f t="shared" si="43"/>
        <v>.16.name=MAURA.atina,</v>
      </c>
      <c r="AE195" s="62" t="str">
        <f t="shared" si="42"/>
        <v>..16.postins.on=1,mode=AUTO_Y,</v>
      </c>
      <c r="AF195" s="63" t="str">
        <f>"."&amp;U$2&amp;".col="&amp;_xlfn.XLOOKUP(U$4,refs!$A$2:$A$19,refs!$B$2:$B$19)&amp;",name="&amp;LEFT(U$6,16)&amp;","</f>
        <v>.16.col=15,name=MAINS,</v>
      </c>
    </row>
    <row r="196" spans="1:32" ht="13.5" customHeight="1" x14ac:dyDescent="0.25">
      <c r="A196" s="97">
        <f t="shared" si="36"/>
        <v>17</v>
      </c>
      <c r="B196" s="5"/>
      <c r="C196" s="25" t="s">
        <v>21</v>
      </c>
      <c r="D196" s="90" t="s">
        <v>61</v>
      </c>
      <c r="E196" s="21">
        <f t="shared" si="37"/>
        <v>1</v>
      </c>
      <c r="F196" s="6"/>
      <c r="G196" s="6"/>
      <c r="H196" s="6"/>
      <c r="I196" s="83" t="s">
        <v>21</v>
      </c>
      <c r="J196" s="6"/>
      <c r="K196" s="6"/>
      <c r="L196" s="6"/>
      <c r="M196" s="83"/>
      <c r="N196" s="6"/>
      <c r="O196" s="6"/>
      <c r="P196" s="6"/>
      <c r="Q196" s="83"/>
      <c r="R196" s="6"/>
      <c r="S196" s="6"/>
      <c r="T196" s="6"/>
      <c r="U196" s="6"/>
      <c r="V196" s="52" t="str">
        <f t="shared" si="38"/>
        <v/>
      </c>
      <c r="W196" s="34">
        <f t="shared" si="39"/>
        <v>4</v>
      </c>
      <c r="X196" s="9" t="str" cm="1">
        <f t="array" ref="X196">INDEX(F175:V175,W196)</f>
        <v>Pink</v>
      </c>
      <c r="Y196" s="9">
        <f>_xlfn.XLOOKUP(X196,refs!$A$2:$A$19,refs!$B$2:$B$19)</f>
        <v>11</v>
      </c>
      <c r="Z196" s="77" t="str" cm="1">
        <f t="array" ref="Z196">INDEX($F$3:$V$3,W196)</f>
        <v>#D4</v>
      </c>
      <c r="AA196" s="74">
        <f>IF(C196="x",Y196,_xlfn.XLOOKUP(C174,refs!$A$2:$A$19,refs!$B$2:$B$19))</f>
        <v>11</v>
      </c>
      <c r="AB196" s="61" t="str">
        <f t="shared" si="40"/>
        <v>.17.col=11,mute=0,</v>
      </c>
      <c r="AC196" s="62" t="str">
        <f t="shared" si="41"/>
        <v>.17.tags=#D4,</v>
      </c>
      <c r="AD196" s="62" t="str">
        <f t="shared" si="43"/>
        <v>.17.name=JACKLYN.adella,</v>
      </c>
      <c r="AE196" s="62" t="str">
        <f t="shared" si="42"/>
        <v>..17.postins.on=0,mode=FX,</v>
      </c>
      <c r="AF196" s="63" t="str">
        <f>"/cfg.amix.x="&amp;IF(C175="x",1,0)&amp;",/cfg.amix.y="&amp;IF(C177="x",1,0)&amp;","</f>
        <v>/cfg.amix.x=1,/cfg.amix.y=1,</v>
      </c>
    </row>
    <row r="197" spans="1:32" ht="13.5" customHeight="1" x14ac:dyDescent="0.25">
      <c r="A197" s="97">
        <f t="shared" si="36"/>
        <v>18</v>
      </c>
      <c r="B197" s="5"/>
      <c r="C197" s="25" t="s">
        <v>21</v>
      </c>
      <c r="D197" s="90" t="s">
        <v>62</v>
      </c>
      <c r="E197" s="21">
        <f t="shared" si="37"/>
        <v>1</v>
      </c>
      <c r="F197" s="6"/>
      <c r="G197" s="6"/>
      <c r="H197" s="6"/>
      <c r="I197" s="83" t="s">
        <v>21</v>
      </c>
      <c r="J197" s="6"/>
      <c r="K197" s="6"/>
      <c r="L197" s="6"/>
      <c r="M197" s="83"/>
      <c r="N197" s="6"/>
      <c r="O197" s="6"/>
      <c r="P197" s="6"/>
      <c r="Q197" s="83"/>
      <c r="R197" s="6"/>
      <c r="S197" s="6"/>
      <c r="T197" s="6"/>
      <c r="U197" s="6"/>
      <c r="V197" s="52" t="str">
        <f t="shared" si="38"/>
        <v/>
      </c>
      <c r="W197" s="34">
        <f t="shared" si="39"/>
        <v>4</v>
      </c>
      <c r="X197" s="9" t="str" cm="1">
        <f t="array" ref="X197">INDEX(F175:V175,W197)</f>
        <v>Pink</v>
      </c>
      <c r="Y197" s="9">
        <f>_xlfn.XLOOKUP(X197,refs!$A$2:$A$19,refs!$B$2:$B$19)</f>
        <v>11</v>
      </c>
      <c r="Z197" s="77" t="str" cm="1">
        <f t="array" ref="Z197">INDEX($F$3:$V$3,W197)</f>
        <v>#D4</v>
      </c>
      <c r="AA197" s="74">
        <f>IF(C197="x",Y197,_xlfn.XLOOKUP(C174,refs!$A$2:$A$19,refs!$B$2:$B$19))</f>
        <v>11</v>
      </c>
      <c r="AB197" s="61" t="str">
        <f t="shared" si="40"/>
        <v>.18.col=11,mute=0,</v>
      </c>
      <c r="AC197" s="62" t="str">
        <f t="shared" si="41"/>
        <v>.18.tags=#D4,</v>
      </c>
      <c r="AD197" s="62" t="str">
        <f t="shared" si="43"/>
        <v>.18.name=SARAH.allana,</v>
      </c>
      <c r="AE197" s="62" t="str">
        <f t="shared" si="42"/>
        <v>..18.postins.on=0,mode=FX,</v>
      </c>
      <c r="AF197" s="63"/>
    </row>
    <row r="198" spans="1:32" ht="13.5" customHeight="1" x14ac:dyDescent="0.25">
      <c r="A198" s="97">
        <f t="shared" si="36"/>
        <v>19</v>
      </c>
      <c r="B198" s="5"/>
      <c r="C198" s="25" t="s">
        <v>21</v>
      </c>
      <c r="D198" s="91" t="s">
        <v>63</v>
      </c>
      <c r="E198" s="21">
        <f t="shared" si="37"/>
        <v>1</v>
      </c>
      <c r="F198" s="6"/>
      <c r="G198" s="6"/>
      <c r="H198" s="6"/>
      <c r="I198" s="83"/>
      <c r="J198" s="6" t="s">
        <v>21</v>
      </c>
      <c r="K198" s="6"/>
      <c r="L198" s="6"/>
      <c r="M198" s="83"/>
      <c r="N198" s="6"/>
      <c r="O198" s="6"/>
      <c r="P198" s="6"/>
      <c r="Q198" s="83"/>
      <c r="R198" s="6"/>
      <c r="S198" s="6"/>
      <c r="T198" s="6"/>
      <c r="U198" s="6"/>
      <c r="V198" s="52" t="str">
        <f t="shared" si="38"/>
        <v/>
      </c>
      <c r="W198" s="34">
        <f t="shared" si="39"/>
        <v>5</v>
      </c>
      <c r="X198" s="9" t="str" cm="1">
        <f t="array" ref="X198">INDEX(F175:V175,W198)</f>
        <v>Green</v>
      </c>
      <c r="Y198" s="9">
        <f>_xlfn.XLOOKUP(X198,refs!$A$2:$A$19,refs!$B$2:$B$19)</f>
        <v>5</v>
      </c>
      <c r="Z198" s="77" t="str" cm="1">
        <f t="array" ref="Z198">INDEX($F$3:$V$3,W198)</f>
        <v>#D5</v>
      </c>
      <c r="AA198" s="74">
        <f>IF(C198="x",Y198,_xlfn.XLOOKUP(C174,refs!$A$2:$A$19,refs!$B$2:$B$19))</f>
        <v>5</v>
      </c>
      <c r="AB198" s="61" t="str">
        <f t="shared" si="40"/>
        <v>.19.col=5,mute=0,</v>
      </c>
      <c r="AC198" s="62" t="str">
        <f t="shared" si="41"/>
        <v>.19.tags=#D5,</v>
      </c>
      <c r="AD198" s="62" t="str">
        <f t="shared" si="43"/>
        <v>.19.name=REBECCA.maid,</v>
      </c>
      <c r="AE198" s="62" t="str">
        <f t="shared" si="42"/>
        <v>..19.postins.on=0,mode=FX,</v>
      </c>
      <c r="AF198" s="63"/>
    </row>
    <row r="199" spans="1:32" ht="13.5" customHeight="1" x14ac:dyDescent="0.25">
      <c r="A199" s="97">
        <f t="shared" si="36"/>
        <v>20</v>
      </c>
      <c r="B199" s="5"/>
      <c r="C199" s="25" t="s">
        <v>21</v>
      </c>
      <c r="D199" s="91" t="s">
        <v>64</v>
      </c>
      <c r="E199" s="21">
        <f t="shared" si="37"/>
        <v>1</v>
      </c>
      <c r="F199" s="6"/>
      <c r="G199" s="6"/>
      <c r="H199" s="6"/>
      <c r="I199" s="83"/>
      <c r="J199" s="6" t="s">
        <v>21</v>
      </c>
      <c r="K199" s="6"/>
      <c r="L199" s="6"/>
      <c r="M199" s="83"/>
      <c r="N199" s="6"/>
      <c r="O199" s="6"/>
      <c r="P199" s="6"/>
      <c r="Q199" s="83"/>
      <c r="R199" s="6"/>
      <c r="S199" s="6"/>
      <c r="T199" s="6"/>
      <c r="U199" s="6"/>
      <c r="V199" s="52" t="str">
        <f t="shared" si="38"/>
        <v/>
      </c>
      <c r="W199" s="34">
        <f t="shared" si="39"/>
        <v>5</v>
      </c>
      <c r="X199" s="9" t="str" cm="1">
        <f t="array" ref="X199">INDEX(F175:V175,W199)</f>
        <v>Green</v>
      </c>
      <c r="Y199" s="9">
        <f>_xlfn.XLOOKUP(X199,refs!$A$2:$A$19,refs!$B$2:$B$19)</f>
        <v>5</v>
      </c>
      <c r="Z199" s="77" t="str" cm="1">
        <f t="array" ref="Z199">INDEX($F$3:$V$3,W199)</f>
        <v>#D5</v>
      </c>
      <c r="AA199" s="74">
        <f>IF(C199="x",Y199,_xlfn.XLOOKUP(C174,refs!$A$2:$A$19,refs!$B$2:$B$19))</f>
        <v>5</v>
      </c>
      <c r="AB199" s="61" t="str">
        <f t="shared" si="40"/>
        <v>.20.col=5,mute=0,</v>
      </c>
      <c r="AC199" s="62" t="str">
        <f t="shared" si="41"/>
        <v>.20.tags=#D5,</v>
      </c>
      <c r="AD199" s="62" t="str">
        <f t="shared" si="43"/>
        <v>.20.name=ANNIE.maid,</v>
      </c>
      <c r="AE199" s="62" t="str">
        <f t="shared" si="42"/>
        <v>..20.postins.on=0,mode=FX,</v>
      </c>
      <c r="AF199" s="63"/>
    </row>
    <row r="200" spans="1:32" ht="13.5" customHeight="1" x14ac:dyDescent="0.25">
      <c r="A200" s="97">
        <f t="shared" si="36"/>
        <v>21</v>
      </c>
      <c r="B200" s="5"/>
      <c r="C200" s="25" t="s">
        <v>21</v>
      </c>
      <c r="D200" s="91" t="s">
        <v>65</v>
      </c>
      <c r="E200" s="21">
        <f t="shared" si="37"/>
        <v>1</v>
      </c>
      <c r="F200" s="6"/>
      <c r="G200" s="6"/>
      <c r="H200" s="6"/>
      <c r="I200" s="83"/>
      <c r="J200" s="6" t="s">
        <v>21</v>
      </c>
      <c r="K200" s="6"/>
      <c r="L200" s="6"/>
      <c r="M200" s="83"/>
      <c r="N200" s="6"/>
      <c r="O200" s="6"/>
      <c r="P200" s="6"/>
      <c r="Q200" s="83"/>
      <c r="R200" s="6"/>
      <c r="S200" s="6"/>
      <c r="T200" s="6"/>
      <c r="U200" s="6"/>
      <c r="V200" s="52" t="str">
        <f t="shared" si="38"/>
        <v/>
      </c>
      <c r="W200" s="34">
        <f t="shared" si="39"/>
        <v>5</v>
      </c>
      <c r="X200" s="9" t="str" cm="1">
        <f t="array" ref="X200">INDEX(F175:V175,W200)</f>
        <v>Green</v>
      </c>
      <c r="Y200" s="9">
        <f>_xlfn.XLOOKUP(X200,refs!$A$2:$A$19,refs!$B$2:$B$19)</f>
        <v>5</v>
      </c>
      <c r="Z200" s="77" t="str" cm="1">
        <f t="array" ref="Z200">INDEX($F$3:$V$3,W200)</f>
        <v>#D5</v>
      </c>
      <c r="AA200" s="74">
        <f>IF(C200="x",Y200,_xlfn.XLOOKUP(C174,refs!$A$2:$A$19,refs!$B$2:$B$19))</f>
        <v>5</v>
      </c>
      <c r="AB200" s="61" t="str">
        <f t="shared" si="40"/>
        <v>.21.col=5,mute=0,</v>
      </c>
      <c r="AC200" s="62" t="str">
        <f t="shared" si="41"/>
        <v>.21.tags=#D5,</v>
      </c>
      <c r="AD200" s="62" t="str">
        <f>"/ch."&amp;A200&amp;".name="&amp;LEFT(D200,16)&amp;","</f>
        <v>/ch.21.name=KARA.maid,</v>
      </c>
      <c r="AE200" s="62" t="str">
        <f>"/ch."&amp;A200&amp;".postins.on="&amp;IF(B200="x",1,IF(B200="y",1,0))&amp;",mode="&amp;IF(B200="x","AUTO_X",IF(B200="y","AUTO_Y","FX"))&amp;","</f>
        <v>/ch.21.postins.on=0,mode=FX,</v>
      </c>
      <c r="AF200" s="63"/>
    </row>
    <row r="201" spans="1:32" ht="13.5" customHeight="1" x14ac:dyDescent="0.25">
      <c r="A201" s="97">
        <f t="shared" si="36"/>
        <v>22</v>
      </c>
      <c r="B201" s="5"/>
      <c r="C201" s="25" t="s">
        <v>21</v>
      </c>
      <c r="D201" s="92" t="s">
        <v>66</v>
      </c>
      <c r="E201" s="21">
        <f t="shared" si="37"/>
        <v>1</v>
      </c>
      <c r="F201" s="6"/>
      <c r="G201" s="6"/>
      <c r="H201" s="6"/>
      <c r="I201" s="83"/>
      <c r="J201" s="6"/>
      <c r="K201" s="6" t="s">
        <v>21</v>
      </c>
      <c r="L201" s="6"/>
      <c r="M201" s="83"/>
      <c r="N201" s="6"/>
      <c r="O201" s="6"/>
      <c r="P201" s="6"/>
      <c r="Q201" s="83"/>
      <c r="R201" s="6"/>
      <c r="S201" s="6"/>
      <c r="T201" s="6"/>
      <c r="U201" s="6"/>
      <c r="V201" s="52" t="str">
        <f t="shared" si="38"/>
        <v/>
      </c>
      <c r="W201" s="34">
        <f t="shared" si="39"/>
        <v>6</v>
      </c>
      <c r="X201" s="9" t="str" cm="1">
        <f t="array" ref="X201">INDEX(F175:V175,W201)</f>
        <v>Turquoise</v>
      </c>
      <c r="Y201" s="9">
        <f>_xlfn.XLOOKUP(X201,refs!$A$2:$A$19,refs!$B$2:$B$19)</f>
        <v>4</v>
      </c>
      <c r="Z201" s="77" t="str" cm="1">
        <f t="array" ref="Z201">INDEX($F$3:$V$3,W201)</f>
        <v>#D6</v>
      </c>
      <c r="AA201" s="74">
        <f>IF(C201="x",Y201,_xlfn.XLOOKUP(C174,refs!$A$2:$A$19,refs!$B$2:$B$19))</f>
        <v>4</v>
      </c>
      <c r="AB201" s="61" t="str">
        <f t="shared" si="40"/>
        <v>.22.col=4,mute=0,</v>
      </c>
      <c r="AC201" s="62" t="str">
        <f t="shared" si="41"/>
        <v>.22.tags=#D6,</v>
      </c>
      <c r="AD201" s="62" t="str">
        <f t="shared" ref="AD201:AD219" si="44">"."&amp;A201&amp;".name="&amp;LEFT(D201,16)&amp;","</f>
        <v>.22.name=GENEVIEVE.leewar,</v>
      </c>
      <c r="AE201" s="62" t="str">
        <f t="shared" ref="AE201:AE219" si="45">".."&amp;A201&amp;".postins.on="&amp;IF(B201="x",1,IF(B201="y",1,0))&amp;",mode="&amp;IF(B201="x","AUTO_X",IF(B201="y","AUTO_Y","FX"))&amp;","</f>
        <v>..22.postins.on=0,mode=FX,</v>
      </c>
      <c r="AF201" s="63"/>
    </row>
    <row r="202" spans="1:32" ht="13.5" customHeight="1" x14ac:dyDescent="0.25">
      <c r="A202" s="97">
        <f t="shared" si="36"/>
        <v>23</v>
      </c>
      <c r="B202" s="5"/>
      <c r="C202" s="25" t="s">
        <v>21</v>
      </c>
      <c r="D202" s="92" t="s">
        <v>67</v>
      </c>
      <c r="E202" s="21">
        <f t="shared" si="37"/>
        <v>1</v>
      </c>
      <c r="F202" s="6"/>
      <c r="G202" s="6"/>
      <c r="H202" s="6"/>
      <c r="I202" s="83"/>
      <c r="J202" s="6"/>
      <c r="K202" s="6" t="s">
        <v>21</v>
      </c>
      <c r="L202" s="6"/>
      <c r="M202" s="83"/>
      <c r="N202" s="6"/>
      <c r="O202" s="6"/>
      <c r="P202" s="6"/>
      <c r="Q202" s="83"/>
      <c r="R202" s="6"/>
      <c r="S202" s="6"/>
      <c r="T202" s="6"/>
      <c r="U202" s="6"/>
      <c r="V202" s="52" t="str">
        <f t="shared" si="38"/>
        <v/>
      </c>
      <c r="W202" s="34">
        <f t="shared" si="39"/>
        <v>6</v>
      </c>
      <c r="X202" s="9" t="str" cm="1">
        <f t="array" ref="X202">INDEX(F175:V175,W202)</f>
        <v>Turquoise</v>
      </c>
      <c r="Y202" s="9">
        <f>_xlfn.XLOOKUP(X202,refs!$A$2:$A$19,refs!$B$2:$B$19)</f>
        <v>4</v>
      </c>
      <c r="Z202" s="77" t="str" cm="1">
        <f t="array" ref="Z202">INDEX($F$3:$V$3,W202)</f>
        <v>#D6</v>
      </c>
      <c r="AA202" s="74">
        <f>IF(C202="x",Y202,_xlfn.XLOOKUP(C174,refs!$A$2:$A$19,refs!$B$2:$B$19))</f>
        <v>4</v>
      </c>
      <c r="AB202" s="61" t="str">
        <f t="shared" si="40"/>
        <v>.23.col=4,mute=0,</v>
      </c>
      <c r="AC202" s="62" t="str">
        <f t="shared" si="41"/>
        <v>.23.tags=#D6,</v>
      </c>
      <c r="AD202" s="62" t="str">
        <f t="shared" si="44"/>
        <v>.23.name=JOCELYN.windward,</v>
      </c>
      <c r="AE202" s="62" t="str">
        <f t="shared" si="45"/>
        <v>..23.postins.on=0,mode=FX,</v>
      </c>
      <c r="AF202" s="63"/>
    </row>
    <row r="203" spans="1:32" ht="13.5" customHeight="1" x14ac:dyDescent="0.25">
      <c r="A203" s="97">
        <f t="shared" si="36"/>
        <v>24</v>
      </c>
      <c r="B203" s="5"/>
      <c r="C203" s="25"/>
      <c r="D203" s="93" t="s">
        <v>68</v>
      </c>
      <c r="E203" s="21">
        <f t="shared" si="37"/>
        <v>0</v>
      </c>
      <c r="F203" s="6"/>
      <c r="G203" s="6"/>
      <c r="H203" s="6"/>
      <c r="I203" s="83"/>
      <c r="J203" s="6"/>
      <c r="K203" s="6"/>
      <c r="L203" s="6"/>
      <c r="M203" s="83"/>
      <c r="N203" s="6"/>
      <c r="O203" s="6"/>
      <c r="P203" s="6"/>
      <c r="Q203" s="83"/>
      <c r="R203" s="6"/>
      <c r="S203" s="6"/>
      <c r="T203" s="6"/>
      <c r="U203" s="6"/>
      <c r="V203" s="52" t="str">
        <f t="shared" si="38"/>
        <v>x</v>
      </c>
      <c r="W203" s="34">
        <f t="shared" si="39"/>
        <v>17</v>
      </c>
      <c r="X203" s="9" t="str" cm="1">
        <f t="array" ref="X203">INDEX(F175:V175,W203)</f>
        <v>White</v>
      </c>
      <c r="Y203" s="9">
        <f>_xlfn.XLOOKUP(X203,refs!$A$2:$A$19,refs!$B$2:$B$19)</f>
        <v>18</v>
      </c>
      <c r="Z203" s="77" t="str" cm="1">
        <f t="array" ref="Z203">INDEX($F$3:$V$3,W203)</f>
        <v/>
      </c>
      <c r="AA203" s="74">
        <f>IF(C203="x",Y203,_xlfn.XLOOKUP(C174,refs!$A$2:$A$19,refs!$B$2:$B$19))</f>
        <v>17</v>
      </c>
      <c r="AB203" s="61" t="str">
        <f t="shared" si="40"/>
        <v>.24.col=17,mute=1,</v>
      </c>
      <c r="AC203" s="62" t="str">
        <f t="shared" si="41"/>
        <v>.24.tags=,</v>
      </c>
      <c r="AD203" s="62" t="str">
        <f t="shared" si="44"/>
        <v>.24.name=.,</v>
      </c>
      <c r="AE203" s="62" t="str">
        <f t="shared" si="45"/>
        <v>..24.postins.on=0,mode=FX,</v>
      </c>
      <c r="AF203" s="63"/>
    </row>
    <row r="204" spans="1:32" ht="13.5" customHeight="1" x14ac:dyDescent="0.25">
      <c r="A204" s="97">
        <f t="shared" si="36"/>
        <v>25</v>
      </c>
      <c r="B204" s="5"/>
      <c r="C204" s="25" t="s">
        <v>21</v>
      </c>
      <c r="D204" s="89" t="s">
        <v>69</v>
      </c>
      <c r="E204" s="21">
        <f t="shared" si="37"/>
        <v>1</v>
      </c>
      <c r="F204" s="6"/>
      <c r="G204" s="6"/>
      <c r="H204" s="6" t="s">
        <v>21</v>
      </c>
      <c r="I204" s="83"/>
      <c r="J204" s="6"/>
      <c r="K204" s="6"/>
      <c r="L204" s="6"/>
      <c r="M204" s="83"/>
      <c r="N204" s="6"/>
      <c r="O204" s="6"/>
      <c r="P204" s="6"/>
      <c r="Q204" s="83"/>
      <c r="R204" s="6"/>
      <c r="S204" s="6"/>
      <c r="T204" s="6"/>
      <c r="U204" s="6"/>
      <c r="V204" s="52" t="str">
        <f t="shared" si="38"/>
        <v/>
      </c>
      <c r="W204" s="34">
        <f t="shared" si="39"/>
        <v>3</v>
      </c>
      <c r="X204" s="9" t="str" cm="1">
        <f t="array" ref="X204">INDEX(F175:V175,W204)</f>
        <v>Brown</v>
      </c>
      <c r="Y204" s="9">
        <f>_xlfn.XLOOKUP(X204,refs!$A$2:$A$19,refs!$B$2:$B$19)</f>
        <v>8</v>
      </c>
      <c r="Z204" s="77" t="str" cm="1">
        <f t="array" ref="Z204">INDEX($F$3:$V$3,W204)</f>
        <v>#D3</v>
      </c>
      <c r="AA204" s="74">
        <f>IF(C204="x",Y204,_xlfn.XLOOKUP(C174,refs!$A$2:$A$19,refs!$B$2:$B$19))</f>
        <v>8</v>
      </c>
      <c r="AB204" s="61" t="str">
        <f t="shared" si="40"/>
        <v>.25.col=8,mute=0,</v>
      </c>
      <c r="AC204" s="62" t="str">
        <f t="shared" si="41"/>
        <v>.25.tags=#D3,</v>
      </c>
      <c r="AD204" s="62" t="str">
        <f t="shared" si="44"/>
        <v>.25.name=ROBERT.sail,</v>
      </c>
      <c r="AE204" s="62" t="str">
        <f t="shared" si="45"/>
        <v>..25.postins.on=0,mode=FX,</v>
      </c>
      <c r="AF204" s="63"/>
    </row>
    <row r="205" spans="1:32" ht="13.5" customHeight="1" x14ac:dyDescent="0.25">
      <c r="A205" s="97">
        <f t="shared" si="36"/>
        <v>26</v>
      </c>
      <c r="B205" s="5"/>
      <c r="C205" s="25" t="s">
        <v>21</v>
      </c>
      <c r="D205" s="89" t="s">
        <v>70</v>
      </c>
      <c r="E205" s="21">
        <f t="shared" si="37"/>
        <v>1</v>
      </c>
      <c r="F205" s="6"/>
      <c r="G205" s="6"/>
      <c r="H205" s="6" t="s">
        <v>21</v>
      </c>
      <c r="I205" s="83"/>
      <c r="J205" s="6"/>
      <c r="K205" s="6"/>
      <c r="L205" s="6"/>
      <c r="M205" s="83"/>
      <c r="N205" s="6"/>
      <c r="O205" s="6"/>
      <c r="P205" s="6"/>
      <c r="Q205" s="83"/>
      <c r="R205" s="6"/>
      <c r="S205" s="6"/>
      <c r="T205" s="6"/>
      <c r="U205" s="6"/>
      <c r="V205" s="52" t="str">
        <f t="shared" si="38"/>
        <v/>
      </c>
      <c r="W205" s="34">
        <f t="shared" si="39"/>
        <v>3</v>
      </c>
      <c r="X205" s="9" t="str" cm="1">
        <f t="array" ref="X205">INDEX(F175:V175,W205)</f>
        <v>Brown</v>
      </c>
      <c r="Y205" s="9">
        <f>_xlfn.XLOOKUP(X205,refs!$A$2:$A$19,refs!$B$2:$B$19)</f>
        <v>8</v>
      </c>
      <c r="Z205" s="77" t="str" cm="1">
        <f t="array" ref="Z205">INDEX($F$3:$V$3,W205)</f>
        <v>#D3</v>
      </c>
      <c r="AA205" s="74">
        <f>IF(C205="x",Y205,_xlfn.XLOOKUP(C174,refs!$A$2:$A$19,refs!$B$2:$B$19))</f>
        <v>8</v>
      </c>
      <c r="AB205" s="61" t="str">
        <f t="shared" si="40"/>
        <v>.26.col=8,mute=0,</v>
      </c>
      <c r="AC205" s="62" t="str">
        <f t="shared" si="41"/>
        <v>.26.tags=#D3,</v>
      </c>
      <c r="AD205" s="62" t="str">
        <f t="shared" si="44"/>
        <v>.26.name=TOM.sail,</v>
      </c>
      <c r="AE205" s="62" t="str">
        <f t="shared" si="45"/>
        <v>..26.postins.on=0,mode=FX,</v>
      </c>
      <c r="AF205" s="63"/>
    </row>
    <row r="206" spans="1:32" ht="13.5" customHeight="1" x14ac:dyDescent="0.25">
      <c r="A206" s="97">
        <f t="shared" si="36"/>
        <v>27</v>
      </c>
      <c r="B206" s="5"/>
      <c r="C206" s="25" t="s">
        <v>21</v>
      </c>
      <c r="D206" s="89" t="s">
        <v>71</v>
      </c>
      <c r="E206" s="21">
        <f t="shared" si="37"/>
        <v>1</v>
      </c>
      <c r="F206" s="6"/>
      <c r="G206" s="6"/>
      <c r="H206" s="6" t="s">
        <v>21</v>
      </c>
      <c r="I206" s="83"/>
      <c r="J206" s="6"/>
      <c r="K206" s="6"/>
      <c r="L206" s="6"/>
      <c r="M206" s="83"/>
      <c r="N206" s="6"/>
      <c r="O206" s="6"/>
      <c r="P206" s="6"/>
      <c r="Q206" s="83"/>
      <c r="R206" s="6"/>
      <c r="S206" s="6"/>
      <c r="T206" s="6"/>
      <c r="U206" s="6"/>
      <c r="V206" s="52" t="str">
        <f t="shared" si="38"/>
        <v/>
      </c>
      <c r="W206" s="34">
        <f t="shared" si="39"/>
        <v>3</v>
      </c>
      <c r="X206" s="9" t="str" cm="1">
        <f t="array" ref="X206">INDEX(F175:V175,W206)</f>
        <v>Brown</v>
      </c>
      <c r="Y206" s="9">
        <f>_xlfn.XLOOKUP(X206,refs!$A$2:$A$19,refs!$B$2:$B$19)</f>
        <v>8</v>
      </c>
      <c r="Z206" s="77" t="str" cm="1">
        <f t="array" ref="Z206">INDEX($F$3:$V$3,W206)</f>
        <v>#D3</v>
      </c>
      <c r="AA206" s="74">
        <f>IF(C206="x",Y206,_xlfn.XLOOKUP(C174,refs!$A$2:$A$19,refs!$B$2:$B$19))</f>
        <v>8</v>
      </c>
      <c r="AB206" s="61" t="str">
        <f t="shared" si="40"/>
        <v>.27.col=8,mute=0,</v>
      </c>
      <c r="AC206" s="62" t="str">
        <f t="shared" si="41"/>
        <v>.27.tags=#D3,</v>
      </c>
      <c r="AD206" s="62" t="str">
        <f t="shared" si="44"/>
        <v>.27.name=BILL.sail,</v>
      </c>
      <c r="AE206" s="62" t="str">
        <f t="shared" si="45"/>
        <v>..27.postins.on=0,mode=FX,</v>
      </c>
      <c r="AF206" s="63"/>
    </row>
    <row r="207" spans="1:32" ht="13.5" customHeight="1" x14ac:dyDescent="0.25">
      <c r="A207" s="97">
        <f t="shared" si="36"/>
        <v>28</v>
      </c>
      <c r="B207" s="5"/>
      <c r="C207" s="25" t="s">
        <v>21</v>
      </c>
      <c r="D207" s="89" t="s">
        <v>72</v>
      </c>
      <c r="E207" s="21">
        <f t="shared" si="37"/>
        <v>1</v>
      </c>
      <c r="F207" s="6"/>
      <c r="G207" s="6"/>
      <c r="H207" s="6" t="s">
        <v>21</v>
      </c>
      <c r="I207" s="83"/>
      <c r="J207" s="6"/>
      <c r="K207" s="6"/>
      <c r="L207" s="6"/>
      <c r="M207" s="83"/>
      <c r="N207" s="6"/>
      <c r="O207" s="6"/>
      <c r="P207" s="6"/>
      <c r="Q207" s="83"/>
      <c r="R207" s="6"/>
      <c r="S207" s="6"/>
      <c r="T207" s="6"/>
      <c r="U207" s="6"/>
      <c r="V207" s="52" t="str">
        <f t="shared" si="38"/>
        <v/>
      </c>
      <c r="W207" s="34">
        <f t="shared" si="39"/>
        <v>3</v>
      </c>
      <c r="X207" s="9" t="str" cm="1">
        <f t="array" ref="X207">INDEX(F175:V175,W207)</f>
        <v>Brown</v>
      </c>
      <c r="Y207" s="9">
        <f>_xlfn.XLOOKUP(X207,refs!$A$2:$A$19,refs!$B$2:$B$19)</f>
        <v>8</v>
      </c>
      <c r="Z207" s="77" t="str" cm="1">
        <f t="array" ref="Z207">INDEX($F$3:$V$3,W207)</f>
        <v>#D3</v>
      </c>
      <c r="AA207" s="74">
        <f>IF(C207="x",Y207,_xlfn.XLOOKUP(C174,refs!$A$2:$A$19,refs!$B$2:$B$19))</f>
        <v>8</v>
      </c>
      <c r="AB207" s="61" t="str">
        <f t="shared" si="40"/>
        <v>.28.col=8,mute=0,</v>
      </c>
      <c r="AC207" s="62" t="str">
        <f t="shared" si="41"/>
        <v>.28.tags=#D3,</v>
      </c>
      <c r="AD207" s="62" t="str">
        <f t="shared" si="44"/>
        <v>.28.name=DENNIS.sail,</v>
      </c>
      <c r="AE207" s="62" t="str">
        <f t="shared" si="45"/>
        <v>..28.postins.on=0,mode=FX,</v>
      </c>
      <c r="AF207" s="63"/>
    </row>
    <row r="208" spans="1:32" ht="13.5" customHeight="1" x14ac:dyDescent="0.25">
      <c r="A208" s="97">
        <f t="shared" si="36"/>
        <v>29</v>
      </c>
      <c r="B208" s="5"/>
      <c r="C208" s="25" t="s">
        <v>21</v>
      </c>
      <c r="D208" s="89" t="s">
        <v>73</v>
      </c>
      <c r="E208" s="21">
        <f t="shared" si="37"/>
        <v>1</v>
      </c>
      <c r="F208" s="6"/>
      <c r="G208" s="6"/>
      <c r="H208" s="6" t="s">
        <v>21</v>
      </c>
      <c r="I208" s="83"/>
      <c r="J208" s="6"/>
      <c r="K208" s="6"/>
      <c r="L208" s="6"/>
      <c r="M208" s="83"/>
      <c r="N208" s="6"/>
      <c r="O208" s="6"/>
      <c r="P208" s="6"/>
      <c r="Q208" s="83"/>
      <c r="R208" s="6"/>
      <c r="S208" s="6"/>
      <c r="T208" s="6"/>
      <c r="U208" s="6"/>
      <c r="V208" s="52" t="str">
        <f t="shared" si="38"/>
        <v/>
      </c>
      <c r="W208" s="34">
        <f t="shared" si="39"/>
        <v>3</v>
      </c>
      <c r="X208" s="9" t="str" cm="1">
        <f t="array" ref="X208">INDEX(F175:V175,W208)</f>
        <v>Brown</v>
      </c>
      <c r="Y208" s="9">
        <f>_xlfn.XLOOKUP(X208,refs!$A$2:$A$19,refs!$B$2:$B$19)</f>
        <v>8</v>
      </c>
      <c r="Z208" s="77" t="str" cm="1">
        <f t="array" ref="Z208">INDEX($F$3:$V$3,W208)</f>
        <v>#D3</v>
      </c>
      <c r="AA208" s="74">
        <f>IF(C208="x",Y208,_xlfn.XLOOKUP(C174,refs!$A$2:$A$19,refs!$B$2:$B$19))</f>
        <v>8</v>
      </c>
      <c r="AB208" s="61" t="str">
        <f t="shared" si="40"/>
        <v>.29.col=8,mute=0,</v>
      </c>
      <c r="AC208" s="62" t="str">
        <f t="shared" si="41"/>
        <v>.29.tags=#D3,</v>
      </c>
      <c r="AD208" s="62" t="str">
        <f t="shared" si="44"/>
        <v>.29.name=JOSHUA.sail,</v>
      </c>
      <c r="AE208" s="62" t="str">
        <f t="shared" si="45"/>
        <v>..29.postins.on=0,mode=FX,</v>
      </c>
      <c r="AF208" s="63"/>
    </row>
    <row r="209" spans="1:32" ht="13.5" customHeight="1" x14ac:dyDescent="0.25">
      <c r="A209" s="97">
        <f t="shared" si="36"/>
        <v>30</v>
      </c>
      <c r="B209" s="5"/>
      <c r="C209" s="25" t="s">
        <v>21</v>
      </c>
      <c r="D209" s="89" t="s">
        <v>74</v>
      </c>
      <c r="E209" s="21">
        <f t="shared" si="37"/>
        <v>1</v>
      </c>
      <c r="F209" s="6"/>
      <c r="G209" s="6"/>
      <c r="H209" s="6" t="s">
        <v>21</v>
      </c>
      <c r="I209" s="83"/>
      <c r="J209" s="6"/>
      <c r="K209" s="6"/>
      <c r="L209" s="6"/>
      <c r="M209" s="83"/>
      <c r="N209" s="6"/>
      <c r="O209" s="6"/>
      <c r="P209" s="6"/>
      <c r="Q209" s="83"/>
      <c r="R209" s="6"/>
      <c r="S209" s="6"/>
      <c r="T209" s="6"/>
      <c r="U209" s="6"/>
      <c r="V209" s="52" t="str">
        <f t="shared" si="38"/>
        <v/>
      </c>
      <c r="W209" s="34">
        <f t="shared" si="39"/>
        <v>3</v>
      </c>
      <c r="X209" s="9" t="str" cm="1">
        <f t="array" ref="X209">INDEX(F175:V175,W209)</f>
        <v>Brown</v>
      </c>
      <c r="Y209" s="9">
        <f>_xlfn.XLOOKUP(X209,refs!$A$2:$A$19,refs!$B$2:$B$19)</f>
        <v>8</v>
      </c>
      <c r="Z209" s="77" t="str" cm="1">
        <f t="array" ref="Z209">INDEX($F$3:$V$3,W209)</f>
        <v>#D3</v>
      </c>
      <c r="AA209" s="74">
        <f>IF(C209="x",Y209,_xlfn.XLOOKUP(C174,refs!$A$2:$A$19,refs!$B$2:$B$19))</f>
        <v>8</v>
      </c>
      <c r="AB209" s="61" t="str">
        <f t="shared" si="40"/>
        <v>.30.col=8,mute=0,</v>
      </c>
      <c r="AC209" s="62" t="str">
        <f t="shared" si="41"/>
        <v>.30.tags=#D3,</v>
      </c>
      <c r="AD209" s="62" t="str">
        <f t="shared" si="44"/>
        <v>.30.name=RAY.sail,</v>
      </c>
      <c r="AE209" s="62" t="str">
        <f t="shared" si="45"/>
        <v>..30.postins.on=0,mode=FX,</v>
      </c>
      <c r="AF209" s="63"/>
    </row>
    <row r="210" spans="1:32" ht="13.5" customHeight="1" x14ac:dyDescent="0.25">
      <c r="A210" s="97">
        <f t="shared" si="36"/>
        <v>31</v>
      </c>
      <c r="B210" s="5"/>
      <c r="C210" s="25" t="s">
        <v>21</v>
      </c>
      <c r="D210" s="89" t="s">
        <v>75</v>
      </c>
      <c r="E210" s="21">
        <f t="shared" si="37"/>
        <v>1</v>
      </c>
      <c r="F210" s="6"/>
      <c r="G210" s="6"/>
      <c r="H210" s="6" t="s">
        <v>21</v>
      </c>
      <c r="I210" s="83"/>
      <c r="J210" s="6"/>
      <c r="K210" s="6"/>
      <c r="L210" s="6"/>
      <c r="M210" s="83"/>
      <c r="N210" s="6"/>
      <c r="O210" s="6"/>
      <c r="P210" s="6"/>
      <c r="Q210" s="83"/>
      <c r="R210" s="6"/>
      <c r="S210" s="6"/>
      <c r="T210" s="6"/>
      <c r="U210" s="6"/>
      <c r="V210" s="52" t="str">
        <f t="shared" si="38"/>
        <v/>
      </c>
      <c r="W210" s="34">
        <f t="shared" si="39"/>
        <v>3</v>
      </c>
      <c r="X210" s="9" t="str" cm="1">
        <f t="array" ref="X210">INDEX(F175:V175,W210)</f>
        <v>Brown</v>
      </c>
      <c r="Y210" s="9">
        <f>_xlfn.XLOOKUP(X210,refs!$A$2:$A$19,refs!$B$2:$B$19)</f>
        <v>8</v>
      </c>
      <c r="Z210" s="77" t="str" cm="1">
        <f t="array" ref="Z210">INDEX($F$3:$V$3,W210)</f>
        <v>#D3</v>
      </c>
      <c r="AA210" s="74">
        <f>IF(C210="x",Y210,_xlfn.XLOOKUP(C174,refs!$A$2:$A$19,refs!$B$2:$B$19))</f>
        <v>8</v>
      </c>
      <c r="AB210" s="61" t="str">
        <f t="shared" si="40"/>
        <v>.31.col=8,mute=0,</v>
      </c>
      <c r="AC210" s="62" t="str">
        <f t="shared" si="41"/>
        <v>.31.tags=#D3,</v>
      </c>
      <c r="AD210" s="62" t="str">
        <f t="shared" si="44"/>
        <v>.31.name=WILL.sail,</v>
      </c>
      <c r="AE210" s="62" t="str">
        <f t="shared" si="45"/>
        <v>..31.postins.on=0,mode=FX,</v>
      </c>
      <c r="AF210" s="63"/>
    </row>
    <row r="211" spans="1:32" ht="13.5" customHeight="1" x14ac:dyDescent="0.25">
      <c r="A211" s="97">
        <f t="shared" si="36"/>
        <v>32</v>
      </c>
      <c r="B211" s="5"/>
      <c r="C211" s="25" t="s">
        <v>21</v>
      </c>
      <c r="D211" s="87" t="s">
        <v>76</v>
      </c>
      <c r="E211" s="21">
        <f t="shared" si="37"/>
        <v>1</v>
      </c>
      <c r="F211" s="6"/>
      <c r="G211" s="6"/>
      <c r="H211" s="6"/>
      <c r="I211" s="83"/>
      <c r="J211" s="6"/>
      <c r="K211" s="6"/>
      <c r="L211" s="6" t="s">
        <v>21</v>
      </c>
      <c r="M211" s="83"/>
      <c r="N211" s="6"/>
      <c r="O211" s="6"/>
      <c r="P211" s="6"/>
      <c r="Q211" s="83"/>
      <c r="R211" s="6"/>
      <c r="S211" s="6"/>
      <c r="T211" s="6"/>
      <c r="U211" s="6"/>
      <c r="V211" s="52" t="str">
        <f t="shared" si="38"/>
        <v/>
      </c>
      <c r="W211" s="34">
        <f t="shared" si="39"/>
        <v>7</v>
      </c>
      <c r="X211" s="9" t="str" cm="1">
        <f t="array" ref="X211">INDEX(F175:V175,W211)</f>
        <v>BrightB</v>
      </c>
      <c r="Y211" s="9">
        <f>_xlfn.XLOOKUP(X211,refs!$A$2:$A$19,refs!$B$2:$B$19)</f>
        <v>2</v>
      </c>
      <c r="Z211" s="77" t="str" cm="1">
        <f t="array" ref="Z211">INDEX($F$3:$V$3,W211)</f>
        <v>#D7</v>
      </c>
      <c r="AA211" s="74">
        <f>IF(C211="x",Y211,_xlfn.XLOOKUP(C174,refs!$A$2:$A$19,refs!$B$2:$B$19))</f>
        <v>2</v>
      </c>
      <c r="AB211" s="61" t="str">
        <f t="shared" si="40"/>
        <v>.32.col=2,mute=0,</v>
      </c>
      <c r="AC211" s="62" t="str">
        <f t="shared" si="41"/>
        <v>.32.tags=#D7,</v>
      </c>
      <c r="AD211" s="62" t="str">
        <f t="shared" si="44"/>
        <v>.32.name=PRISCILLA,</v>
      </c>
      <c r="AE211" s="62" t="str">
        <f t="shared" si="45"/>
        <v>..32.postins.on=0,mode=FX,</v>
      </c>
      <c r="AF211" s="63"/>
    </row>
    <row r="212" spans="1:32" ht="13.5" customHeight="1" x14ac:dyDescent="0.25">
      <c r="A212" s="97">
        <f t="shared" si="36"/>
        <v>33</v>
      </c>
      <c r="B212" s="5"/>
      <c r="C212" s="25" t="s">
        <v>21</v>
      </c>
      <c r="D212" s="87" t="s">
        <v>77</v>
      </c>
      <c r="E212" s="21">
        <f t="shared" si="37"/>
        <v>1</v>
      </c>
      <c r="F212" s="6"/>
      <c r="G212" s="6"/>
      <c r="H212" s="6"/>
      <c r="I212" s="83"/>
      <c r="J212" s="6"/>
      <c r="K212" s="6"/>
      <c r="L212" s="6" t="s">
        <v>21</v>
      </c>
      <c r="M212" s="83"/>
      <c r="N212" s="6"/>
      <c r="O212" s="6"/>
      <c r="P212" s="6"/>
      <c r="Q212" s="83"/>
      <c r="R212" s="6"/>
      <c r="S212" s="6"/>
      <c r="T212" s="6"/>
      <c r="U212" s="6"/>
      <c r="V212" s="52" t="str">
        <f t="shared" si="38"/>
        <v/>
      </c>
      <c r="W212" s="34">
        <f t="shared" si="39"/>
        <v>7</v>
      </c>
      <c r="X212" s="9" t="str" cm="1">
        <f t="array" ref="X212">INDEX(F175:V175,W212)</f>
        <v>BrightB</v>
      </c>
      <c r="Y212" s="9">
        <f>_xlfn.XLOOKUP(X212,refs!$A$2:$A$19,refs!$B$2:$B$19)</f>
        <v>2</v>
      </c>
      <c r="Z212" s="77" t="str" cm="1">
        <f t="array" ref="Z212">INDEX($F$3:$V$3,W212)</f>
        <v>#D7</v>
      </c>
      <c r="AA212" s="74">
        <f>IF(C212="x",Y212,_xlfn.XLOOKUP(C174,refs!$A$2:$A$19,refs!$B$2:$B$19))</f>
        <v>2</v>
      </c>
      <c r="AB212" s="61" t="str">
        <f t="shared" si="40"/>
        <v>.33.col=2,mute=0,</v>
      </c>
      <c r="AC212" s="62" t="str">
        <f t="shared" si="41"/>
        <v>.33.tags=#D7,</v>
      </c>
      <c r="AD212" s="62" t="str">
        <f t="shared" si="44"/>
        <v>.33.name=RACHELS,</v>
      </c>
      <c r="AE212" s="62" t="str">
        <f t="shared" si="45"/>
        <v>..33.postins.on=0,mode=FX,</v>
      </c>
      <c r="AF212" s="63"/>
    </row>
    <row r="213" spans="1:32" ht="13.5" customHeight="1" x14ac:dyDescent="0.25">
      <c r="A213" s="97">
        <f t="shared" si="36"/>
        <v>34</v>
      </c>
      <c r="B213" s="5"/>
      <c r="C213" s="25" t="s">
        <v>21</v>
      </c>
      <c r="D213" s="87" t="s">
        <v>78</v>
      </c>
      <c r="E213" s="21">
        <f t="shared" si="37"/>
        <v>1</v>
      </c>
      <c r="F213" s="6"/>
      <c r="G213" s="6"/>
      <c r="H213" s="6"/>
      <c r="I213" s="83"/>
      <c r="J213" s="6"/>
      <c r="K213" s="6"/>
      <c r="L213" s="6" t="s">
        <v>21</v>
      </c>
      <c r="M213" s="83"/>
      <c r="N213" s="6"/>
      <c r="O213" s="6"/>
      <c r="P213" s="6"/>
      <c r="Q213" s="83"/>
      <c r="R213" s="6"/>
      <c r="S213" s="6"/>
      <c r="T213" s="6"/>
      <c r="U213" s="6"/>
      <c r="V213" s="52" t="str">
        <f t="shared" si="38"/>
        <v/>
      </c>
      <c r="W213" s="34">
        <f t="shared" si="39"/>
        <v>7</v>
      </c>
      <c r="X213" s="9" t="str" cm="1">
        <f t="array" ref="X213">INDEX(F175:V175,W213)</f>
        <v>BrightB</v>
      </c>
      <c r="Y213" s="9">
        <f>_xlfn.XLOOKUP(X213,refs!$A$2:$A$19,refs!$B$2:$B$19)</f>
        <v>2</v>
      </c>
      <c r="Z213" s="77" t="str" cm="1">
        <f t="array" ref="Z213">INDEX($F$3:$V$3,W213)</f>
        <v>#D7</v>
      </c>
      <c r="AA213" s="74">
        <f>IF(C213="x",Y213,_xlfn.XLOOKUP(C174,refs!$A$2:$A$19,refs!$B$2:$B$19))</f>
        <v>2</v>
      </c>
      <c r="AB213" s="61" t="str">
        <f t="shared" si="40"/>
        <v>.34.col=2,mute=0,</v>
      </c>
      <c r="AC213" s="62" t="str">
        <f t="shared" si="41"/>
        <v>.34.tags=#D7,</v>
      </c>
      <c r="AD213" s="62" t="str">
        <f t="shared" si="44"/>
        <v>.34.name=JEN,</v>
      </c>
      <c r="AE213" s="62" t="str">
        <f t="shared" si="45"/>
        <v>..34.postins.on=0,mode=FX,</v>
      </c>
      <c r="AF213" s="63"/>
    </row>
    <row r="214" spans="1:32" ht="13.5" customHeight="1" x14ac:dyDescent="0.25">
      <c r="A214" s="97">
        <f t="shared" si="36"/>
        <v>35</v>
      </c>
      <c r="B214" s="5"/>
      <c r="C214" s="25" t="s">
        <v>21</v>
      </c>
      <c r="D214" s="94" t="s">
        <v>79</v>
      </c>
      <c r="E214" s="21">
        <f t="shared" si="37"/>
        <v>1</v>
      </c>
      <c r="F214" s="6"/>
      <c r="G214" s="6"/>
      <c r="H214" s="6"/>
      <c r="I214" s="83"/>
      <c r="J214" s="6"/>
      <c r="K214" s="6"/>
      <c r="L214" s="6"/>
      <c r="M214" s="83"/>
      <c r="N214" s="6"/>
      <c r="O214" s="6"/>
      <c r="P214" s="6" t="s">
        <v>21</v>
      </c>
      <c r="Q214" s="83"/>
      <c r="R214" s="6"/>
      <c r="S214" s="6"/>
      <c r="T214" s="6"/>
      <c r="U214" s="6"/>
      <c r="V214" s="52" t="str">
        <f t="shared" si="38"/>
        <v/>
      </c>
      <c r="W214" s="34">
        <f t="shared" si="39"/>
        <v>11</v>
      </c>
      <c r="X214" s="9" t="str" cm="1">
        <f t="array" ref="X214">INDEX(F175:V175,W214)</f>
        <v>Violet</v>
      </c>
      <c r="Y214" s="9">
        <f>_xlfn.XLOOKUP(X214,refs!$A$2:$A$19,refs!$B$2:$B$19)</f>
        <v>3</v>
      </c>
      <c r="Z214" s="77" t="str" cm="1">
        <f t="array" ref="Z214">INDEX($F$3:$V$3,W214)</f>
        <v>#D11</v>
      </c>
      <c r="AA214" s="74">
        <f>IF(C214="x",Y214,_xlfn.XLOOKUP(C174,refs!$A$2:$A$19,refs!$B$2:$B$19))</f>
        <v>3</v>
      </c>
      <c r="AB214" s="61" t="str">
        <f t="shared" si="40"/>
        <v>.35.col=3,mute=0,</v>
      </c>
      <c r="AC214" s="62" t="str">
        <f t="shared" si="41"/>
        <v>.35.tags=#D11,</v>
      </c>
      <c r="AD214" s="62" t="str">
        <f t="shared" si="44"/>
        <v>.35.name=OS1,</v>
      </c>
      <c r="AE214" s="62" t="str">
        <f t="shared" si="45"/>
        <v>..35.postins.on=0,mode=FX,</v>
      </c>
      <c r="AF214" s="63"/>
    </row>
    <row r="215" spans="1:32" ht="13.5" customHeight="1" x14ac:dyDescent="0.25">
      <c r="A215" s="97">
        <f t="shared" si="36"/>
        <v>36</v>
      </c>
      <c r="B215" s="5"/>
      <c r="C215" s="25" t="s">
        <v>21</v>
      </c>
      <c r="D215" s="94" t="s">
        <v>80</v>
      </c>
      <c r="E215" s="21">
        <f t="shared" si="37"/>
        <v>1</v>
      </c>
      <c r="F215" s="6"/>
      <c r="G215" s="6"/>
      <c r="H215" s="6"/>
      <c r="I215" s="83"/>
      <c r="J215" s="6"/>
      <c r="K215" s="6"/>
      <c r="L215" s="6"/>
      <c r="M215" s="83"/>
      <c r="N215" s="6"/>
      <c r="O215" s="6"/>
      <c r="P215" s="6" t="s">
        <v>21</v>
      </c>
      <c r="Q215" s="83"/>
      <c r="R215" s="6"/>
      <c r="S215" s="6"/>
      <c r="T215" s="6"/>
      <c r="U215" s="6"/>
      <c r="V215" s="52" t="str">
        <f t="shared" si="38"/>
        <v/>
      </c>
      <c r="W215" s="34">
        <f t="shared" si="39"/>
        <v>11</v>
      </c>
      <c r="X215" s="9" t="str" cm="1">
        <f t="array" ref="X215">INDEX(F175:V175,W215)</f>
        <v>Violet</v>
      </c>
      <c r="Y215" s="9">
        <f>_xlfn.XLOOKUP(X215,refs!$A$2:$A$19,refs!$B$2:$B$19)</f>
        <v>3</v>
      </c>
      <c r="Z215" s="77" t="str" cm="1">
        <f t="array" ref="Z215">INDEX($F$3:$V$3,W215)</f>
        <v>#D11</v>
      </c>
      <c r="AA215" s="74">
        <f>IF(C215="x",Y215,_xlfn.XLOOKUP(C174,refs!$A$2:$A$19,refs!$B$2:$B$19))</f>
        <v>3</v>
      </c>
      <c r="AB215" s="61" t="str">
        <f t="shared" si="40"/>
        <v>.36.col=3,mute=0,</v>
      </c>
      <c r="AC215" s="62" t="str">
        <f t="shared" si="41"/>
        <v>.36.tags=#D11,</v>
      </c>
      <c r="AD215" s="62" t="str">
        <f t="shared" si="44"/>
        <v>.36.name=OS2,</v>
      </c>
      <c r="AE215" s="62" t="str">
        <f t="shared" si="45"/>
        <v>..36.postins.on=0,mode=FX,</v>
      </c>
      <c r="AF215" s="63"/>
    </row>
    <row r="216" spans="1:32" ht="13.5" customHeight="1" x14ac:dyDescent="0.25">
      <c r="A216" s="97">
        <f t="shared" si="36"/>
        <v>37</v>
      </c>
      <c r="B216" s="5"/>
      <c r="C216" s="25"/>
      <c r="D216" s="93" t="s">
        <v>81</v>
      </c>
      <c r="E216" s="21">
        <f t="shared" si="37"/>
        <v>0</v>
      </c>
      <c r="F216" s="6"/>
      <c r="G216" s="6"/>
      <c r="H216" s="6"/>
      <c r="I216" s="83"/>
      <c r="J216" s="6"/>
      <c r="K216" s="6"/>
      <c r="L216" s="6"/>
      <c r="M216" s="83"/>
      <c r="N216" s="6"/>
      <c r="O216" s="6"/>
      <c r="P216" s="6"/>
      <c r="Q216" s="83"/>
      <c r="R216" s="6"/>
      <c r="S216" s="6"/>
      <c r="T216" s="6"/>
      <c r="U216" s="6"/>
      <c r="V216" s="52" t="str">
        <f t="shared" si="38"/>
        <v>x</v>
      </c>
      <c r="W216" s="34">
        <f t="shared" si="39"/>
        <v>17</v>
      </c>
      <c r="X216" s="9" t="str" cm="1">
        <f t="array" ref="X216">INDEX(F175:V175,W216)</f>
        <v>White</v>
      </c>
      <c r="Y216" s="9">
        <f>_xlfn.XLOOKUP(X216,refs!$A$2:$A$19,refs!$B$2:$B$19)</f>
        <v>18</v>
      </c>
      <c r="Z216" s="77" t="str" cm="1">
        <f t="array" ref="Z216">INDEX($F$3:$V$3,W216)</f>
        <v/>
      </c>
      <c r="AA216" s="74">
        <f>IF(C216="x",Y216,_xlfn.XLOOKUP(C174,refs!$A$2:$A$19,refs!$B$2:$B$19))</f>
        <v>17</v>
      </c>
      <c r="AB216" s="61" t="str">
        <f t="shared" si="40"/>
        <v>.37.col=17,mute=1,</v>
      </c>
      <c r="AC216" s="62" t="str">
        <f t="shared" si="41"/>
        <v>.37.tags=,</v>
      </c>
      <c r="AD216" s="62" t="str">
        <f t="shared" si="44"/>
        <v>.37.name=unusedos,</v>
      </c>
      <c r="AE216" s="62" t="str">
        <f t="shared" si="45"/>
        <v>..37.postins.on=0,mode=FX,</v>
      </c>
      <c r="AF216" s="63"/>
    </row>
    <row r="217" spans="1:32" ht="13.5" customHeight="1" x14ac:dyDescent="0.25">
      <c r="A217" s="97">
        <f t="shared" si="36"/>
        <v>38</v>
      </c>
      <c r="B217" s="5"/>
      <c r="C217" s="25" t="s">
        <v>21</v>
      </c>
      <c r="D217" s="95" t="s">
        <v>83</v>
      </c>
      <c r="E217" s="21">
        <f t="shared" si="37"/>
        <v>0</v>
      </c>
      <c r="F217" s="6"/>
      <c r="G217" s="6"/>
      <c r="H217" s="6"/>
      <c r="I217" s="83"/>
      <c r="J217" s="6"/>
      <c r="K217" s="6"/>
      <c r="L217" s="6"/>
      <c r="M217" s="83"/>
      <c r="N217" s="6"/>
      <c r="O217" s="6"/>
      <c r="P217" s="6"/>
      <c r="Q217" s="83"/>
      <c r="R217" s="6"/>
      <c r="S217" s="6"/>
      <c r="T217" s="6"/>
      <c r="U217" s="6"/>
      <c r="V217" s="52" t="str">
        <f t="shared" si="38"/>
        <v>x</v>
      </c>
      <c r="W217" s="34">
        <f t="shared" si="39"/>
        <v>17</v>
      </c>
      <c r="X217" s="9" t="str" cm="1">
        <f t="array" ref="X217">INDEX(F175:V175,W217)</f>
        <v>White</v>
      </c>
      <c r="Y217" s="9">
        <f>_xlfn.XLOOKUP(X217,refs!$A$2:$A$19,refs!$B$2:$B$19)</f>
        <v>18</v>
      </c>
      <c r="Z217" s="77" t="str" cm="1">
        <f t="array" ref="Z217">INDEX($F$3:$V$3,W217)</f>
        <v/>
      </c>
      <c r="AA217" s="74">
        <f>IF(C217="x",Y217,_xlfn.XLOOKUP(C174,refs!$A$2:$A$19,refs!$B$2:$B$19))</f>
        <v>18</v>
      </c>
      <c r="AB217" s="61" t="str">
        <f t="shared" si="40"/>
        <v>.38.col=18,mute=0,</v>
      </c>
      <c r="AC217" s="62" t="str">
        <f t="shared" si="41"/>
        <v>.38.tags=,</v>
      </c>
      <c r="AD217" s="62" t="str">
        <f t="shared" si="44"/>
        <v>.38.name=VOX.fr.ext,</v>
      </c>
      <c r="AE217" s="62" t="str">
        <f t="shared" si="45"/>
        <v>..38.postins.on=0,mode=FX,</v>
      </c>
      <c r="AF217" s="63"/>
    </row>
    <row r="218" spans="1:32" ht="13.5" customHeight="1" x14ac:dyDescent="0.25">
      <c r="A218" s="97">
        <f t="shared" si="36"/>
        <v>39</v>
      </c>
      <c r="B218" s="5"/>
      <c r="C218" s="25" t="s">
        <v>21</v>
      </c>
      <c r="D218" s="95" t="s">
        <v>82</v>
      </c>
      <c r="E218" s="21">
        <f t="shared" si="37"/>
        <v>0</v>
      </c>
      <c r="F218" s="6"/>
      <c r="G218" s="6"/>
      <c r="H218" s="6"/>
      <c r="I218" s="83"/>
      <c r="J218" s="6"/>
      <c r="K218" s="6"/>
      <c r="L218" s="6"/>
      <c r="M218" s="83"/>
      <c r="N218" s="6"/>
      <c r="O218" s="6"/>
      <c r="P218" s="6"/>
      <c r="Q218" s="83"/>
      <c r="R218" s="6"/>
      <c r="S218" s="6"/>
      <c r="T218" s="6"/>
      <c r="U218" s="6"/>
      <c r="V218" s="52" t="str">
        <f t="shared" si="38"/>
        <v>x</v>
      </c>
      <c r="W218" s="34">
        <f t="shared" si="39"/>
        <v>17</v>
      </c>
      <c r="X218" s="9" t="str" cm="1">
        <f t="array" ref="X218">INDEX(F175:V175,W218)</f>
        <v>White</v>
      </c>
      <c r="Y218" s="9">
        <f>_xlfn.XLOOKUP(X218,refs!$A$2:$A$19,refs!$B$2:$B$19)</f>
        <v>18</v>
      </c>
      <c r="Z218" s="77" t="str" cm="1">
        <f t="array" ref="Z218">INDEX($F$3:$V$3,W218)</f>
        <v/>
      </c>
      <c r="AA218" s="74">
        <f>IF(C218="x",Y218,_xlfn.XLOOKUP(C174,refs!$A$2:$A$19,refs!$B$2:$B$19))</f>
        <v>18</v>
      </c>
      <c r="AB218" s="61" t="str">
        <f t="shared" si="40"/>
        <v>.39.col=18,mute=0,</v>
      </c>
      <c r="AC218" s="62" t="str">
        <f t="shared" si="41"/>
        <v>.39.tags=,</v>
      </c>
      <c r="AD218" s="62" t="str">
        <f t="shared" si="44"/>
        <v>.39.name=INS.fr.ext,</v>
      </c>
      <c r="AE218" s="62" t="str">
        <f t="shared" si="45"/>
        <v>..39.postins.on=0,mode=FX,</v>
      </c>
      <c r="AF218" s="63"/>
    </row>
    <row r="219" spans="1:32" ht="13.5" customHeight="1" thickBot="1" x14ac:dyDescent="0.3">
      <c r="A219" s="97">
        <f t="shared" si="36"/>
        <v>40</v>
      </c>
      <c r="B219" s="5"/>
      <c r="C219" s="25" t="s">
        <v>21</v>
      </c>
      <c r="D219" s="95" t="s">
        <v>84</v>
      </c>
      <c r="E219" s="21">
        <f t="shared" si="37"/>
        <v>0</v>
      </c>
      <c r="F219" s="6"/>
      <c r="G219" s="6"/>
      <c r="H219" s="6"/>
      <c r="I219" s="83"/>
      <c r="J219" s="6"/>
      <c r="K219" s="6"/>
      <c r="L219" s="6"/>
      <c r="M219" s="83"/>
      <c r="N219" s="6"/>
      <c r="O219" s="6"/>
      <c r="P219" s="6"/>
      <c r="Q219" s="83"/>
      <c r="R219" s="6"/>
      <c r="S219" s="6"/>
      <c r="T219" s="6"/>
      <c r="U219" s="6"/>
      <c r="V219" s="52" t="str">
        <f t="shared" si="38"/>
        <v>x</v>
      </c>
      <c r="W219" s="35">
        <f t="shared" si="39"/>
        <v>17</v>
      </c>
      <c r="X219" s="39" t="str" cm="1">
        <f t="array" ref="X219">INDEX(F175:V175,W219)</f>
        <v>White</v>
      </c>
      <c r="Y219" s="39">
        <f>_xlfn.XLOOKUP(X219,refs!$A$2:$A$19,refs!$B$2:$B$19)</f>
        <v>18</v>
      </c>
      <c r="Z219" s="78" t="str" cm="1">
        <f t="array" ref="Z219">INDEX($F$3:$V$3,W219)</f>
        <v/>
      </c>
      <c r="AA219" s="75">
        <f>IF(C219="x",Y219,_xlfn.XLOOKUP(C174,refs!$A$2:$A$19,refs!$B$2:$B$19))</f>
        <v>18</v>
      </c>
      <c r="AB219" s="64" t="str">
        <f t="shared" si="40"/>
        <v>.40.col=18,mute=0,</v>
      </c>
      <c r="AC219" s="65" t="str">
        <f t="shared" si="41"/>
        <v>.40.tags=,</v>
      </c>
      <c r="AD219" s="62" t="str">
        <f t="shared" si="44"/>
        <v>.40.name=pass.fr.w2,</v>
      </c>
      <c r="AE219" s="65" t="str">
        <f t="shared" si="45"/>
        <v>..40.postins.on=0,mode=FX,</v>
      </c>
      <c r="AF219" s="66"/>
    </row>
    <row r="220" spans="1:32" s="2" customFormat="1" ht="22.5" customHeight="1" thickBot="1" x14ac:dyDescent="0.25">
      <c r="A220" s="53"/>
      <c r="B220" s="54"/>
      <c r="C220" s="54"/>
      <c r="D220" s="54"/>
      <c r="E220" s="54"/>
      <c r="F220" s="55" t="str">
        <f t="shared" ref="F220:U220" si="46">F177</f>
        <v>LEADS</v>
      </c>
      <c r="G220" s="55" t="str">
        <f t="shared" si="46"/>
        <v>FlotJet</v>
      </c>
      <c r="H220" s="55" t="str">
        <f t="shared" si="46"/>
        <v>Sail</v>
      </c>
      <c r="I220" s="55" t="str">
        <f t="shared" si="46"/>
        <v>Sisters</v>
      </c>
      <c r="J220" s="55" t="str">
        <f t="shared" si="46"/>
        <v>Maids</v>
      </c>
      <c r="K220" s="55" t="str">
        <f t="shared" si="46"/>
        <v>LeeWind</v>
      </c>
      <c r="L220" s="55" t="str">
        <f t="shared" si="46"/>
        <v>PrRaJen</v>
      </c>
      <c r="M220" s="55" t="str">
        <f t="shared" si="46"/>
        <v>.</v>
      </c>
      <c r="N220" s="55" t="str">
        <f t="shared" si="46"/>
        <v>.</v>
      </c>
      <c r="O220" s="55" t="str">
        <f t="shared" si="46"/>
        <v>.</v>
      </c>
      <c r="P220" s="55" t="str">
        <f t="shared" si="46"/>
        <v>OS</v>
      </c>
      <c r="Q220" s="55" t="str">
        <f t="shared" si="46"/>
        <v>VOX+.VRB</v>
      </c>
      <c r="R220" s="55" t="str">
        <f t="shared" si="46"/>
        <v>VOX_.VRB</v>
      </c>
      <c r="S220" s="55" t="str">
        <f t="shared" si="46"/>
        <v>INST+.VRB</v>
      </c>
      <c r="T220" s="55" t="str">
        <f t="shared" si="46"/>
        <v>INST_.VRB</v>
      </c>
      <c r="U220" s="55" t="str">
        <f t="shared" si="46"/>
        <v>MAINS</v>
      </c>
      <c r="V220" s="56"/>
    </row>
    <row r="221" spans="1:32" s="2" customFormat="1" ht="12" hidden="1" x14ac:dyDescent="0.2">
      <c r="A221" s="67" t="str">
        <f>D173&amp;"_ch_col_mute"</f>
        <v>w1_0004_ch_col_mute</v>
      </c>
      <c r="B221" s="68" t="str">
        <f>_xlfn.CONCAT(AB180:AB219)</f>
        <v>/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c r="C221" s="68"/>
      <c r="D221" s="68"/>
      <c r="E221" s="68"/>
      <c r="F221" s="69"/>
      <c r="G221" s="69"/>
      <c r="H221" s="69"/>
      <c r="I221" s="69"/>
      <c r="J221" s="69"/>
      <c r="K221" s="69"/>
      <c r="L221" s="69"/>
      <c r="M221" s="69"/>
      <c r="N221" s="69"/>
      <c r="O221" s="69"/>
      <c r="P221" s="69"/>
      <c r="Q221" s="69"/>
      <c r="R221" s="69"/>
      <c r="S221" s="69"/>
      <c r="T221" s="69"/>
      <c r="U221" s="69"/>
      <c r="V221" s="70"/>
    </row>
    <row r="222" spans="1:32" s="2" customFormat="1" ht="12" hidden="1" x14ac:dyDescent="0.2">
      <c r="A222" s="67" t="str">
        <f>D173&amp;"_ch_tags"</f>
        <v>w1_0004_ch_tags</v>
      </c>
      <c r="B222" s="68" t="str">
        <f>_xlfn.CONCAT(AC180:AC219)</f>
        <v>/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c r="C222" s="68"/>
      <c r="D222" s="68"/>
      <c r="E222" s="68"/>
      <c r="F222" s="69"/>
      <c r="G222" s="69"/>
      <c r="H222" s="69"/>
      <c r="I222" s="69"/>
      <c r="J222" s="69"/>
      <c r="K222" s="69"/>
      <c r="L222" s="69"/>
      <c r="M222" s="69"/>
      <c r="N222" s="69"/>
      <c r="O222" s="69"/>
      <c r="P222" s="69"/>
      <c r="Q222" s="69"/>
      <c r="R222" s="69"/>
      <c r="S222" s="69"/>
      <c r="T222" s="69"/>
      <c r="U222" s="69"/>
      <c r="V222" s="70"/>
    </row>
    <row r="223" spans="1:32" s="2" customFormat="1" ht="12" hidden="1" x14ac:dyDescent="0.2">
      <c r="A223" s="67" t="str">
        <f>D173&amp;"_ch_names_a"</f>
        <v>w1_0004_ch_names_a</v>
      </c>
      <c r="B223" s="68" t="str">
        <f>_xlfn.CONCAT(AD180:AD199)</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c r="C223" s="68"/>
      <c r="D223" s="68"/>
      <c r="E223" s="68"/>
      <c r="F223" s="69"/>
      <c r="G223" s="69"/>
      <c r="H223" s="69"/>
      <c r="I223" s="69"/>
      <c r="J223" s="69"/>
      <c r="K223" s="69"/>
      <c r="L223" s="69"/>
      <c r="M223" s="69"/>
      <c r="N223" s="69"/>
      <c r="O223" s="69"/>
      <c r="P223" s="69"/>
      <c r="Q223" s="69"/>
      <c r="R223" s="69"/>
      <c r="S223" s="69"/>
      <c r="T223" s="69"/>
      <c r="U223" s="69"/>
      <c r="V223" s="70"/>
    </row>
    <row r="224" spans="1:32" s="2" customFormat="1" ht="12" hidden="1" x14ac:dyDescent="0.2">
      <c r="A224" s="67" t="str">
        <f>D173&amp;"_ch_names_b"</f>
        <v>w1_0004_ch_names_b</v>
      </c>
      <c r="B224" s="68" t="str">
        <f>_xlfn.CONCAT(AD200:AD219)</f>
        <v>/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224" s="68"/>
      <c r="D224" s="68"/>
      <c r="E224" s="68"/>
      <c r="F224" s="69"/>
      <c r="G224" s="69"/>
      <c r="H224" s="69"/>
      <c r="I224" s="69"/>
      <c r="J224" s="69"/>
      <c r="K224" s="69"/>
      <c r="L224" s="69"/>
      <c r="M224" s="69"/>
      <c r="N224" s="69"/>
      <c r="O224" s="69"/>
      <c r="P224" s="69"/>
      <c r="Q224" s="69"/>
      <c r="R224" s="69"/>
      <c r="S224" s="69"/>
      <c r="T224" s="69"/>
      <c r="U224" s="69"/>
      <c r="V224" s="70"/>
    </row>
    <row r="225" spans="1:32" s="2" customFormat="1" ht="12" hidden="1" x14ac:dyDescent="0.2">
      <c r="A225" s="67" t="str">
        <f>D173&amp;"_ch_postins_a"</f>
        <v>w1_0004_ch_postins_a</v>
      </c>
      <c r="B225" s="68" t="str">
        <f>_xlfn.CONCAT(AE180:AE199)</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225" s="68"/>
      <c r="D225" s="68"/>
      <c r="E225" s="68"/>
      <c r="F225" s="69"/>
      <c r="G225" s="69"/>
      <c r="H225" s="69"/>
      <c r="I225" s="69"/>
      <c r="J225" s="69"/>
      <c r="K225" s="69"/>
      <c r="L225" s="69"/>
      <c r="M225" s="69"/>
      <c r="N225" s="69"/>
      <c r="O225" s="69"/>
      <c r="P225" s="69"/>
      <c r="Q225" s="69"/>
      <c r="R225" s="69"/>
      <c r="S225" s="69"/>
      <c r="T225" s="69"/>
      <c r="U225" s="69"/>
      <c r="V225" s="70"/>
    </row>
    <row r="226" spans="1:32" s="2" customFormat="1" ht="12" hidden="1" x14ac:dyDescent="0.2">
      <c r="A226" s="67" t="str">
        <f>D173&amp;"_ch_postins_b"</f>
        <v>w1_0004_ch_postins_b</v>
      </c>
      <c r="B226" s="68" t="str">
        <f>_xlfn.CONCAT(AE200:AE219)</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226" s="68"/>
      <c r="D226" s="68"/>
      <c r="E226" s="68"/>
      <c r="F226" s="69"/>
      <c r="G226" s="69"/>
      <c r="H226" s="69"/>
      <c r="I226" s="69"/>
      <c r="J226" s="69"/>
      <c r="K226" s="69"/>
      <c r="L226" s="69"/>
      <c r="M226" s="69"/>
      <c r="N226" s="69"/>
      <c r="O226" s="69"/>
      <c r="P226" s="69"/>
      <c r="Q226" s="69"/>
      <c r="R226" s="69"/>
      <c r="S226" s="69"/>
      <c r="T226" s="69"/>
      <c r="U226" s="69"/>
      <c r="V226" s="70"/>
    </row>
    <row r="227" spans="1:32" s="2" customFormat="1" ht="12" hidden="1" x14ac:dyDescent="0.2">
      <c r="A227" s="67" t="str">
        <f>D173&amp;"_dcas_amix"</f>
        <v>w1_0004_dcas_amix</v>
      </c>
      <c r="B227" s="68" t="str">
        <f>_xlfn.CONCAT(AF180:AF196)</f>
        <v>/dca.1.col=7,name=LEADS,.2.col=1,name=FlotJet,.3.col=2,name=Sail,.4.col=3,name=Sisters,.5.col=4,name=Maids,.6.col=5,name=LeeWind,.7.col=6,name=PrRaJen,.8.col=7,name=.,.9.col=8,name=.,.10.col=9,name=.,.11.col=10,name=OS,.12.col=11,name=VOX+.VRB,.13.col=12,name=VOX_.VRB,.14.col=13,name=INST+.VRB,.15.col=14,name=INST_.VRB,.16.col=15,name=MAINS,/cfg.amix.x=1,/cfg.amix.y=1,</v>
      </c>
      <c r="C227" s="68"/>
      <c r="D227" s="68"/>
      <c r="E227" s="68"/>
      <c r="F227" s="69"/>
      <c r="G227" s="69"/>
      <c r="H227" s="69"/>
      <c r="I227" s="69"/>
      <c r="J227" s="69"/>
      <c r="K227" s="69"/>
      <c r="L227" s="69"/>
      <c r="M227" s="69"/>
      <c r="N227" s="69"/>
      <c r="O227" s="69"/>
      <c r="P227" s="69"/>
      <c r="Q227" s="69"/>
      <c r="R227" s="69"/>
      <c r="S227" s="69"/>
      <c r="T227" s="69"/>
      <c r="U227" s="69"/>
      <c r="V227" s="70"/>
    </row>
    <row r="228" spans="1:32" ht="9" customHeight="1" x14ac:dyDescent="0.25">
      <c r="A228" s="45"/>
      <c r="B228" s="46"/>
      <c r="C228" s="46"/>
      <c r="D228" s="46"/>
      <c r="E228" s="47"/>
      <c r="F228" s="46"/>
      <c r="G228" s="46"/>
      <c r="H228" s="46"/>
      <c r="I228" s="46"/>
      <c r="J228" s="46"/>
      <c r="K228" s="46"/>
      <c r="L228" s="46"/>
      <c r="M228" s="46"/>
      <c r="N228" s="46"/>
      <c r="O228" s="46"/>
      <c r="P228" s="46"/>
      <c r="Q228" s="46"/>
      <c r="R228" s="46"/>
      <c r="S228" s="46"/>
      <c r="T228" s="46"/>
      <c r="U228" s="46"/>
      <c r="V228" s="48"/>
    </row>
    <row r="229" spans="1:32" ht="5.25" customHeight="1" x14ac:dyDescent="0.25">
      <c r="A229" s="7"/>
      <c r="B229" s="8"/>
      <c r="C229" s="8"/>
      <c r="D229" s="8"/>
      <c r="E229" s="22"/>
      <c r="F229" s="8"/>
      <c r="G229" s="8"/>
      <c r="H229" s="8"/>
      <c r="I229" s="8"/>
      <c r="J229" s="8"/>
      <c r="K229" s="8"/>
      <c r="L229" s="8"/>
      <c r="M229" s="8"/>
      <c r="N229" s="8"/>
      <c r="O229" s="8"/>
      <c r="P229" s="8"/>
      <c r="Q229" s="8"/>
      <c r="R229" s="8"/>
      <c r="S229" s="8"/>
      <c r="T229" s="8"/>
      <c r="U229" s="8"/>
      <c r="V229" s="26"/>
    </row>
    <row r="230" spans="1:32" ht="20.25" customHeight="1" x14ac:dyDescent="0.25">
      <c r="A230" s="14"/>
      <c r="B230" s="15">
        <f>INT(ROW()/56)+1</f>
        <v>5</v>
      </c>
      <c r="C230" s="71" t="s">
        <v>40</v>
      </c>
      <c r="D230" s="72" t="str">
        <f>"w1_"&amp;TEXT(B230,"0000")</f>
        <v>w1_0005</v>
      </c>
      <c r="E230" s="30"/>
      <c r="F230" s="31">
        <v>1</v>
      </c>
      <c r="G230" s="31">
        <v>2</v>
      </c>
      <c r="H230" s="31">
        <v>3</v>
      </c>
      <c r="I230" s="31">
        <v>4</v>
      </c>
      <c r="J230" s="31">
        <v>5</v>
      </c>
      <c r="K230" s="31">
        <v>6</v>
      </c>
      <c r="L230" s="31">
        <v>7</v>
      </c>
      <c r="M230" s="31">
        <v>8</v>
      </c>
      <c r="N230" s="31">
        <v>9</v>
      </c>
      <c r="O230" s="31">
        <v>10</v>
      </c>
      <c r="P230" s="31">
        <v>11</v>
      </c>
      <c r="Q230" s="31">
        <v>12</v>
      </c>
      <c r="R230" s="31">
        <v>13</v>
      </c>
      <c r="S230" s="31">
        <v>14</v>
      </c>
      <c r="T230" s="31">
        <v>15</v>
      </c>
      <c r="U230" s="31">
        <v>16</v>
      </c>
      <c r="V230" s="32">
        <v>17</v>
      </c>
    </row>
    <row r="231" spans="1:32" ht="13.5" customHeight="1" x14ac:dyDescent="0.25">
      <c r="A231" s="9"/>
      <c r="B231" s="79" t="s">
        <v>42</v>
      </c>
      <c r="C231" s="20" t="s">
        <v>17</v>
      </c>
      <c r="D231" s="10" t="s">
        <v>0</v>
      </c>
      <c r="E231" s="18"/>
      <c r="F231" s="11" t="str">
        <f>"#D1"</f>
        <v>#D1</v>
      </c>
      <c r="G231" s="11" t="str">
        <f>"#D2"</f>
        <v>#D2</v>
      </c>
      <c r="H231" s="11" t="str">
        <f>"#D3"</f>
        <v>#D3</v>
      </c>
      <c r="I231" s="11" t="str">
        <f>"#D4"</f>
        <v>#D4</v>
      </c>
      <c r="J231" s="11" t="str">
        <f>"#D5"</f>
        <v>#D5</v>
      </c>
      <c r="K231" s="11" t="str">
        <f>"#D6"</f>
        <v>#D6</v>
      </c>
      <c r="L231" s="11" t="str">
        <f>"#D7"</f>
        <v>#D7</v>
      </c>
      <c r="M231" s="11" t="str">
        <f>"#D8"</f>
        <v>#D8</v>
      </c>
      <c r="N231" s="11" t="str">
        <f>"#D9"</f>
        <v>#D9</v>
      </c>
      <c r="O231" s="11" t="str">
        <f>"#D10"</f>
        <v>#D10</v>
      </c>
      <c r="P231" s="11" t="str">
        <f>"#D11"</f>
        <v>#D11</v>
      </c>
      <c r="Q231" s="11" t="str">
        <f>"#D12"</f>
        <v>#D12</v>
      </c>
      <c r="R231" s="11" t="str">
        <f>"#D13"</f>
        <v>#D13</v>
      </c>
      <c r="S231" s="11" t="str">
        <f>"#D14"</f>
        <v>#D14</v>
      </c>
      <c r="T231" s="11" t="str">
        <f>"#D15"</f>
        <v>#D15</v>
      </c>
      <c r="U231" s="11" t="str">
        <f>"#D16"</f>
        <v>#D16</v>
      </c>
      <c r="V231" s="36" t="str">
        <f>""</f>
        <v/>
      </c>
    </row>
    <row r="232" spans="1:32" x14ac:dyDescent="0.25">
      <c r="A232" s="9"/>
      <c r="B232" s="81" t="s">
        <v>43</v>
      </c>
      <c r="C232" s="80" t="s">
        <v>21</v>
      </c>
      <c r="D232" s="19" t="s">
        <v>30</v>
      </c>
      <c r="E232" s="18"/>
      <c r="F232" s="20" t="s">
        <v>13</v>
      </c>
      <c r="G232" s="20" t="s">
        <v>10</v>
      </c>
      <c r="H232" s="20" t="s">
        <v>8</v>
      </c>
      <c r="I232" s="20" t="s">
        <v>11</v>
      </c>
      <c r="J232" s="20" t="s">
        <v>5</v>
      </c>
      <c r="K232" s="20" t="s">
        <v>4</v>
      </c>
      <c r="L232" s="20" t="s">
        <v>2</v>
      </c>
      <c r="M232" s="20" t="s">
        <v>17</v>
      </c>
      <c r="N232" s="20" t="s">
        <v>17</v>
      </c>
      <c r="O232" s="20" t="s">
        <v>17</v>
      </c>
      <c r="P232" s="20" t="s">
        <v>3</v>
      </c>
      <c r="Q232" s="20" t="s">
        <v>13</v>
      </c>
      <c r="R232" s="20" t="s">
        <v>13</v>
      </c>
      <c r="S232" s="20" t="s">
        <v>14</v>
      </c>
      <c r="T232" s="20" t="s">
        <v>14</v>
      </c>
      <c r="U232" s="20" t="s">
        <v>12</v>
      </c>
      <c r="V232" s="37" t="s">
        <v>18</v>
      </c>
    </row>
    <row r="233" spans="1:32" ht="5.25" customHeight="1" x14ac:dyDescent="0.25">
      <c r="A233" s="16"/>
      <c r="B233" s="17"/>
      <c r="C233" s="17"/>
      <c r="D233" s="17"/>
      <c r="E233" s="23"/>
      <c r="F233" s="17"/>
      <c r="G233" s="17"/>
      <c r="H233" s="17"/>
      <c r="I233" s="17"/>
      <c r="J233" s="17"/>
      <c r="K233" s="17"/>
      <c r="L233" s="17"/>
      <c r="M233" s="17"/>
      <c r="N233" s="17"/>
      <c r="O233" s="17"/>
      <c r="P233" s="17"/>
      <c r="Q233" s="17"/>
      <c r="R233" s="17"/>
      <c r="S233" s="17"/>
      <c r="T233" s="17"/>
      <c r="U233" s="17"/>
      <c r="V233" s="28"/>
    </row>
    <row r="234" spans="1:32" s="1" customFormat="1" ht="19.5" customHeight="1" x14ac:dyDescent="0.25">
      <c r="A234" s="9"/>
      <c r="B234" s="81" t="s">
        <v>44</v>
      </c>
      <c r="C234" s="80" t="s">
        <v>21</v>
      </c>
      <c r="D234" s="12" t="s">
        <v>28</v>
      </c>
      <c r="E234" s="18"/>
      <c r="F234" s="13" t="s">
        <v>87</v>
      </c>
      <c r="G234" s="13" t="s">
        <v>86</v>
      </c>
      <c r="H234" s="13" t="s">
        <v>88</v>
      </c>
      <c r="I234" s="13" t="s">
        <v>89</v>
      </c>
      <c r="J234" s="13" t="s">
        <v>90</v>
      </c>
      <c r="K234" s="13" t="s">
        <v>91</v>
      </c>
      <c r="L234" s="13" t="s">
        <v>92</v>
      </c>
      <c r="M234" s="13" t="s">
        <v>68</v>
      </c>
      <c r="N234" s="13" t="s">
        <v>68</v>
      </c>
      <c r="O234" s="13" t="s">
        <v>68</v>
      </c>
      <c r="P234" s="13" t="s">
        <v>85</v>
      </c>
      <c r="Q234" s="13" t="s">
        <v>93</v>
      </c>
      <c r="R234" s="13" t="s">
        <v>95</v>
      </c>
      <c r="S234" s="13" t="s">
        <v>94</v>
      </c>
      <c r="T234" s="13" t="s">
        <v>96</v>
      </c>
      <c r="U234" s="13" t="s">
        <v>20</v>
      </c>
      <c r="V234" s="27" t="s">
        <v>21</v>
      </c>
    </row>
    <row r="235" spans="1:32" ht="10.5" customHeight="1" thickBot="1" x14ac:dyDescent="0.3">
      <c r="A235" s="40"/>
      <c r="B235" s="41"/>
      <c r="C235" s="41"/>
      <c r="D235" s="41"/>
      <c r="E235" s="42"/>
      <c r="F235" s="43">
        <f>COUNTA(F237:F276)</f>
        <v>9</v>
      </c>
      <c r="G235" s="43">
        <f t="shared" ref="G235:U235" si="47">COUNTA(G237:G276)</f>
        <v>2</v>
      </c>
      <c r="H235" s="43">
        <f t="shared" si="47"/>
        <v>8</v>
      </c>
      <c r="I235" s="43">
        <f t="shared" si="47"/>
        <v>6</v>
      </c>
      <c r="J235" s="43">
        <f t="shared" si="47"/>
        <v>3</v>
      </c>
      <c r="K235" s="43">
        <f t="shared" si="47"/>
        <v>2</v>
      </c>
      <c r="L235" s="43">
        <f t="shared" si="47"/>
        <v>3</v>
      </c>
      <c r="M235" s="43">
        <f t="shared" si="47"/>
        <v>0</v>
      </c>
      <c r="N235" s="43">
        <f t="shared" si="47"/>
        <v>0</v>
      </c>
      <c r="O235" s="43">
        <f t="shared" si="47"/>
        <v>0</v>
      </c>
      <c r="P235" s="43">
        <f t="shared" si="47"/>
        <v>2</v>
      </c>
      <c r="Q235" s="43">
        <f t="shared" si="47"/>
        <v>0</v>
      </c>
      <c r="R235" s="43">
        <f t="shared" si="47"/>
        <v>0</v>
      </c>
      <c r="S235" s="43">
        <f t="shared" si="47"/>
        <v>0</v>
      </c>
      <c r="T235" s="43">
        <f t="shared" si="47"/>
        <v>0</v>
      </c>
      <c r="U235" s="43">
        <f t="shared" si="47"/>
        <v>0</v>
      </c>
      <c r="V235" s="44">
        <f>40-COUNTBLANK(V237:V276)</f>
        <v>5</v>
      </c>
    </row>
    <row r="236" spans="1:32" ht="13.5" customHeight="1" x14ac:dyDescent="0.25">
      <c r="A236" s="96" t="s">
        <v>29</v>
      </c>
      <c r="B236" s="49" t="s">
        <v>97</v>
      </c>
      <c r="C236" s="49" t="s">
        <v>98</v>
      </c>
      <c r="D236" s="49" t="s">
        <v>27</v>
      </c>
      <c r="E236" s="50"/>
      <c r="F236" s="49"/>
      <c r="G236" s="49"/>
      <c r="H236" s="49"/>
      <c r="I236" s="82"/>
      <c r="J236" s="49"/>
      <c r="K236" s="49"/>
      <c r="L236" s="49"/>
      <c r="M236" s="82"/>
      <c r="N236" s="49"/>
      <c r="O236" s="49"/>
      <c r="P236" s="49"/>
      <c r="Q236" s="82"/>
      <c r="R236" s="49"/>
      <c r="S236" s="49"/>
      <c r="T236" s="49"/>
      <c r="U236" s="49"/>
      <c r="V236" s="51"/>
      <c r="W236" s="33" t="s">
        <v>36</v>
      </c>
      <c r="X236" s="38" t="s">
        <v>31</v>
      </c>
      <c r="Y236" s="57" t="s">
        <v>33</v>
      </c>
      <c r="Z236" s="76" t="s">
        <v>35</v>
      </c>
      <c r="AA236" s="73" t="s">
        <v>41</v>
      </c>
      <c r="AB236" s="58" t="s">
        <v>32</v>
      </c>
      <c r="AC236" s="59" t="s">
        <v>34</v>
      </c>
      <c r="AD236" s="59" t="s">
        <v>37</v>
      </c>
      <c r="AE236" s="59" t="s">
        <v>38</v>
      </c>
      <c r="AF236" s="60" t="s">
        <v>39</v>
      </c>
    </row>
    <row r="237" spans="1:32" ht="13.5" customHeight="1" x14ac:dyDescent="0.25">
      <c r="A237" s="97">
        <f>A180</f>
        <v>1</v>
      </c>
      <c r="B237" s="5" t="s">
        <v>21</v>
      </c>
      <c r="C237" s="25" t="s">
        <v>21</v>
      </c>
      <c r="D237" s="84" t="s">
        <v>45</v>
      </c>
      <c r="E237" s="21">
        <f>COUNTA(F237:U237)</f>
        <v>1</v>
      </c>
      <c r="F237" s="6" t="s">
        <v>21</v>
      </c>
      <c r="G237" s="6"/>
      <c r="H237" s="6"/>
      <c r="I237" s="83"/>
      <c r="J237" s="6"/>
      <c r="K237" s="6"/>
      <c r="L237" s="6"/>
      <c r="M237" s="83"/>
      <c r="N237" s="6"/>
      <c r="O237" s="6"/>
      <c r="P237" s="6"/>
      <c r="Q237" s="83"/>
      <c r="R237" s="6"/>
      <c r="S237" s="6"/>
      <c r="T237" s="6"/>
      <c r="U237" s="6"/>
      <c r="V237" s="52" t="str">
        <f>IF(E237=0,"x","")</f>
        <v/>
      </c>
      <c r="W237" s="34">
        <f>_xlfn.XMATCH("x",F237:V237)</f>
        <v>1</v>
      </c>
      <c r="X237" s="9" t="str" cm="1">
        <f t="array" ref="X237">INDEX(F232:V232,W237)</f>
        <v>Gold</v>
      </c>
      <c r="Y237" s="9">
        <f>_xlfn.XLOOKUP(X237,refs!$A$2:$A$19,refs!$B$2:$B$19)</f>
        <v>13</v>
      </c>
      <c r="Z237" s="77" t="str" cm="1">
        <f t="array" ref="Z237">INDEX($F$3:$V$3,W237)</f>
        <v>#D1</v>
      </c>
      <c r="AA237" s="74">
        <f>IF(C237="x",Y237,_xlfn.XLOOKUP(C231,refs!$A$2:$A$19,refs!$B$2:$B$19))</f>
        <v>13</v>
      </c>
      <c r="AB237" s="61" t="str">
        <f>"/ch."&amp;A237&amp;".col="&amp;AA237&amp;",mute="&amp;IF(C237="x",0,1)&amp;","</f>
        <v>/ch.1.col=13,mute=0,</v>
      </c>
      <c r="AC237" s="62" t="str">
        <f>"/ch."&amp;A237&amp;".tags="&amp;Z237&amp;","</f>
        <v>/ch.1.tags=#D1,</v>
      </c>
      <c r="AD237" s="62" t="str">
        <f>"/ch."&amp;A237&amp;".name="&amp;LEFT(D237,16)&amp;","</f>
        <v>/ch.1.name=CAROLINE.ariel,</v>
      </c>
      <c r="AE237" s="62" t="str">
        <f>"/ch."&amp;A237&amp;".postins.on="&amp;IF(B237="x",1,IF(B237="y",1,0))&amp;",mode="&amp;IF(B237="x","AUTO_X",IF(B237="y","AUTO_Y","FX"))&amp;","</f>
        <v>/ch.1.postins.on=1,mode=AUTO_X,</v>
      </c>
      <c r="AF237" s="63" t="str">
        <f>"/dca."&amp;F$2&amp;".col="&amp;_xlfn.XLOOKUP(F$4,refs!$A$2:$A$19,refs!$B$2:$B$19)&amp;",name="&amp;LEFT(F$6,16)&amp;","</f>
        <v>/dca.1.col=7,name=LEADS,</v>
      </c>
    </row>
    <row r="238" spans="1:32" ht="13.5" customHeight="1" x14ac:dyDescent="0.25">
      <c r="A238" s="97">
        <f t="shared" ref="A238:A276" si="48">A181</f>
        <v>2</v>
      </c>
      <c r="B238" s="5" t="s">
        <v>21</v>
      </c>
      <c r="C238" s="25" t="s">
        <v>21</v>
      </c>
      <c r="D238" s="84" t="s">
        <v>46</v>
      </c>
      <c r="E238" s="21">
        <f t="shared" ref="E238:E276" si="49">COUNTA(F238:U238)</f>
        <v>1</v>
      </c>
      <c r="F238" s="6" t="s">
        <v>21</v>
      </c>
      <c r="G238" s="6"/>
      <c r="H238" s="6"/>
      <c r="I238" s="83"/>
      <c r="J238" s="6"/>
      <c r="K238" s="6"/>
      <c r="L238" s="6"/>
      <c r="M238" s="83"/>
      <c r="N238" s="6"/>
      <c r="O238" s="6"/>
      <c r="P238" s="6"/>
      <c r="Q238" s="83"/>
      <c r="R238" s="6"/>
      <c r="S238" s="6"/>
      <c r="T238" s="6"/>
      <c r="U238" s="6"/>
      <c r="V238" s="52" t="str">
        <f t="shared" ref="V238:V276" si="50">IF(E238=0,"x","")</f>
        <v/>
      </c>
      <c r="W238" s="34">
        <f t="shared" ref="W238:W276" si="51">_xlfn.XMATCH("x",F238:V238)</f>
        <v>1</v>
      </c>
      <c r="X238" s="9" t="str" cm="1">
        <f t="array" ref="X238">INDEX(F232:V232,W238)</f>
        <v>Gold</v>
      </c>
      <c r="Y238" s="9">
        <f>_xlfn.XLOOKUP(X238,refs!$A$2:$A$19,refs!$B$2:$B$19)</f>
        <v>13</v>
      </c>
      <c r="Z238" s="77" t="str" cm="1">
        <f t="array" ref="Z238">INDEX($F$3:$V$3,W238)</f>
        <v>#D1</v>
      </c>
      <c r="AA238" s="74">
        <f>IF(C238="x",Y238,_xlfn.XLOOKUP(C231,refs!$A$2:$A$19,refs!$B$2:$B$19))</f>
        <v>13</v>
      </c>
      <c r="AB238" s="61" t="str">
        <f t="shared" ref="AB238:AB276" si="52">"."&amp;A238&amp;".col="&amp;AA238&amp;",mute="&amp;IF(C238="x",0,1)&amp;","</f>
        <v>.2.col=13,mute=0,</v>
      </c>
      <c r="AC238" s="62" t="str">
        <f t="shared" ref="AC238:AC276" si="53">"."&amp;A238&amp;".tags="&amp;Z238&amp;","</f>
        <v>.2.tags=#D1,</v>
      </c>
      <c r="AD238" s="62" t="str">
        <f>"."&amp;A238&amp;".name="&amp;LEFT(D238,166)&amp;","</f>
        <v>.2.name=GABE.eric,</v>
      </c>
      <c r="AE238" s="62" t="str">
        <f t="shared" ref="AE238:AE256" si="54">".."&amp;A238&amp;".postins.on="&amp;IF(B238="x",1,IF(B238="y",1,0))&amp;",mode="&amp;IF(B238="x","AUTO_X",IF(B238="y","AUTO_Y","FX"))&amp;","</f>
        <v>..2.postins.on=1,mode=AUTO_X,</v>
      </c>
      <c r="AF238" s="63" t="str">
        <f>"."&amp;G$2&amp;".col="&amp;_xlfn.XLOOKUP(G$4,refs!$A$2:$A$19,refs!$B$2:$B$19)&amp;",name="&amp;LEFT(G$6,16)&amp;","</f>
        <v>.2.col=1,name=FlotJet,</v>
      </c>
    </row>
    <row r="239" spans="1:32" ht="13.5" customHeight="1" x14ac:dyDescent="0.25">
      <c r="A239" s="97">
        <f t="shared" si="48"/>
        <v>3</v>
      </c>
      <c r="B239" s="5" t="s">
        <v>21</v>
      </c>
      <c r="C239" s="25" t="s">
        <v>21</v>
      </c>
      <c r="D239" s="84" t="s">
        <v>47</v>
      </c>
      <c r="E239" s="21">
        <f t="shared" si="49"/>
        <v>1</v>
      </c>
      <c r="F239" s="6" t="s">
        <v>21</v>
      </c>
      <c r="G239" s="6"/>
      <c r="H239" s="6"/>
      <c r="I239" s="83"/>
      <c r="J239" s="6"/>
      <c r="K239" s="6"/>
      <c r="L239" s="6"/>
      <c r="M239" s="83"/>
      <c r="N239" s="6"/>
      <c r="O239" s="6"/>
      <c r="P239" s="6"/>
      <c r="Q239" s="83"/>
      <c r="R239" s="6"/>
      <c r="S239" s="6"/>
      <c r="T239" s="6"/>
      <c r="U239" s="6"/>
      <c r="V239" s="52" t="str">
        <f t="shared" si="50"/>
        <v/>
      </c>
      <c r="W239" s="34">
        <f t="shared" si="51"/>
        <v>1</v>
      </c>
      <c r="X239" s="9" t="str" cm="1">
        <f t="array" ref="X239">INDEX(F232:V232,W239)</f>
        <v>Gold</v>
      </c>
      <c r="Y239" s="9">
        <f>_xlfn.XLOOKUP(X239,refs!$A$2:$A$19,refs!$B$2:$B$19)</f>
        <v>13</v>
      </c>
      <c r="Z239" s="77" t="str" cm="1">
        <f t="array" ref="Z239">INDEX($F$3:$V$3,W239)</f>
        <v>#D1</v>
      </c>
      <c r="AA239" s="74">
        <f>IF(C239="x",Y239,_xlfn.XLOOKUP(C231,refs!$A$2:$A$19,refs!$B$2:$B$19))</f>
        <v>13</v>
      </c>
      <c r="AB239" s="61" t="str">
        <f t="shared" si="52"/>
        <v>.3.col=13,mute=0,</v>
      </c>
      <c r="AC239" s="62" t="str">
        <f t="shared" si="53"/>
        <v>.3.tags=#D1,</v>
      </c>
      <c r="AD239" s="62" t="str">
        <f t="shared" ref="AD239:AD256" si="55">"."&amp;A239&amp;".name="&amp;LEFT(D239,16)&amp;","</f>
        <v>.3.name=KEITH.grimsby,</v>
      </c>
      <c r="AE239" s="62" t="str">
        <f t="shared" si="54"/>
        <v>..3.postins.on=1,mode=AUTO_X,</v>
      </c>
      <c r="AF239" s="63" t="str">
        <f>"."&amp;H$2&amp;".col="&amp;_xlfn.XLOOKUP(H$4,refs!$A$2:$A$19,refs!$B$2:$B$19)&amp;",name="&amp;LEFT(H$6,16)&amp;","</f>
        <v>.3.col=2,name=Sail,</v>
      </c>
    </row>
    <row r="240" spans="1:32" ht="13.5" customHeight="1" x14ac:dyDescent="0.25">
      <c r="A240" s="97">
        <f t="shared" si="48"/>
        <v>4</v>
      </c>
      <c r="B240" s="5"/>
      <c r="C240" s="25" t="s">
        <v>21</v>
      </c>
      <c r="D240" s="25" t="s">
        <v>48</v>
      </c>
      <c r="E240" s="21">
        <f t="shared" si="49"/>
        <v>1</v>
      </c>
      <c r="F240" s="6" t="s">
        <v>21</v>
      </c>
      <c r="G240" s="6"/>
      <c r="H240" s="6"/>
      <c r="I240" s="83"/>
      <c r="J240" s="6"/>
      <c r="K240" s="6"/>
      <c r="L240" s="6"/>
      <c r="M240" s="83"/>
      <c r="N240" s="6"/>
      <c r="O240" s="6"/>
      <c r="P240" s="6"/>
      <c r="Q240" s="83"/>
      <c r="R240" s="6"/>
      <c r="S240" s="6"/>
      <c r="T240" s="6"/>
      <c r="U240" s="6"/>
      <c r="V240" s="52" t="str">
        <f t="shared" si="50"/>
        <v/>
      </c>
      <c r="W240" s="34">
        <f t="shared" si="51"/>
        <v>1</v>
      </c>
      <c r="X240" s="9" t="str" cm="1">
        <f t="array" ref="X240">INDEX(F232:V232,W240)</f>
        <v>Gold</v>
      </c>
      <c r="Y240" s="9">
        <f>_xlfn.XLOOKUP(X240,refs!$A$2:$A$19,refs!$B$2:$B$19)</f>
        <v>13</v>
      </c>
      <c r="Z240" s="77" t="str" cm="1">
        <f t="array" ref="Z240">INDEX($F$3:$V$3,W240)</f>
        <v>#D1</v>
      </c>
      <c r="AA240" s="74">
        <f>IF(C240="x",Y240,_xlfn.XLOOKUP(C231,refs!$A$2:$A$19,refs!$B$2:$B$19))</f>
        <v>13</v>
      </c>
      <c r="AB240" s="61" t="str">
        <f t="shared" si="52"/>
        <v>.4.col=13,mute=0,</v>
      </c>
      <c r="AC240" s="62" t="str">
        <f t="shared" si="53"/>
        <v>.4.tags=#D1,</v>
      </c>
      <c r="AD240" s="62" t="str">
        <f t="shared" si="55"/>
        <v>.4.name=CHADLEY.sebastia,</v>
      </c>
      <c r="AE240" s="62" t="str">
        <f t="shared" si="54"/>
        <v>..4.postins.on=0,mode=FX,</v>
      </c>
      <c r="AF240" s="63" t="str">
        <f>"."&amp;I$2&amp;".col="&amp;_xlfn.XLOOKUP(I$4,refs!$A$2:$A$19,refs!$B$2:$B$19)&amp;",name="&amp;LEFT(I$6,16)&amp;","</f>
        <v>.4.col=3,name=Sisters,</v>
      </c>
    </row>
    <row r="241" spans="1:32" ht="13.5" customHeight="1" x14ac:dyDescent="0.25">
      <c r="A241" s="97">
        <f t="shared" si="48"/>
        <v>5</v>
      </c>
      <c r="B241" s="5" t="s">
        <v>21</v>
      </c>
      <c r="C241" s="25" t="s">
        <v>21</v>
      </c>
      <c r="D241" s="85" t="s">
        <v>49</v>
      </c>
      <c r="E241" s="21">
        <f t="shared" si="49"/>
        <v>1</v>
      </c>
      <c r="F241" s="6" t="s">
        <v>21</v>
      </c>
      <c r="G241" s="6"/>
      <c r="H241" s="6"/>
      <c r="I241" s="83"/>
      <c r="J241" s="6"/>
      <c r="K241" s="6"/>
      <c r="L241" s="6"/>
      <c r="M241" s="83"/>
      <c r="N241" s="6"/>
      <c r="O241" s="6"/>
      <c r="P241" s="6"/>
      <c r="Q241" s="83"/>
      <c r="R241" s="6"/>
      <c r="S241" s="6"/>
      <c r="T241" s="6"/>
      <c r="U241" s="6"/>
      <c r="V241" s="52" t="str">
        <f t="shared" si="50"/>
        <v/>
      </c>
      <c r="W241" s="34">
        <f t="shared" si="51"/>
        <v>1</v>
      </c>
      <c r="X241" s="9" t="str" cm="1">
        <f t="array" ref="X241">INDEX(F232:V232,W241)</f>
        <v>Gold</v>
      </c>
      <c r="Y241" s="9">
        <f>_xlfn.XLOOKUP(X241,refs!$A$2:$A$19,refs!$B$2:$B$19)</f>
        <v>13</v>
      </c>
      <c r="Z241" s="77" t="str" cm="1">
        <f t="array" ref="Z241">INDEX($F$3:$V$3,W241)</f>
        <v>#D1</v>
      </c>
      <c r="AA241" s="74">
        <f>IF(C241="x",Y241,_xlfn.XLOOKUP(C231,refs!$A$2:$A$19,refs!$B$2:$B$19))</f>
        <v>13</v>
      </c>
      <c r="AB241" s="61" t="str">
        <f t="shared" si="52"/>
        <v>.5.col=13,mute=0,</v>
      </c>
      <c r="AC241" s="62" t="str">
        <f t="shared" si="53"/>
        <v>.5.tags=#D1,</v>
      </c>
      <c r="AD241" s="62" t="str">
        <f t="shared" si="55"/>
        <v>.5.name=ANNA.flounder,</v>
      </c>
      <c r="AE241" s="62" t="str">
        <f t="shared" si="54"/>
        <v>..5.postins.on=1,mode=AUTO_X,</v>
      </c>
      <c r="AF241" s="63" t="str">
        <f>"."&amp;J$2&amp;".col="&amp;_xlfn.XLOOKUP(J$4,refs!$A$2:$A$19,refs!$B$2:$B$19)&amp;",name="&amp;LEFT(J$6,16)&amp;","</f>
        <v>.5.col=4,name=Maids,</v>
      </c>
    </row>
    <row r="242" spans="1:32" ht="13.5" customHeight="1" x14ac:dyDescent="0.25">
      <c r="A242" s="97">
        <f t="shared" si="48"/>
        <v>6</v>
      </c>
      <c r="B242" s="5" t="s">
        <v>21</v>
      </c>
      <c r="C242" s="25" t="s">
        <v>21</v>
      </c>
      <c r="D242" s="86" t="s">
        <v>51</v>
      </c>
      <c r="E242" s="21">
        <f t="shared" si="49"/>
        <v>1</v>
      </c>
      <c r="F242" s="6" t="s">
        <v>21</v>
      </c>
      <c r="G242" s="6"/>
      <c r="H242" s="6"/>
      <c r="I242" s="83"/>
      <c r="J242" s="6"/>
      <c r="K242" s="6"/>
      <c r="L242" s="6"/>
      <c r="M242" s="83"/>
      <c r="N242" s="6"/>
      <c r="O242" s="6"/>
      <c r="P242" s="6"/>
      <c r="Q242" s="83"/>
      <c r="R242" s="6"/>
      <c r="S242" s="6"/>
      <c r="T242" s="6"/>
      <c r="U242" s="6"/>
      <c r="V242" s="52" t="str">
        <f t="shared" si="50"/>
        <v/>
      </c>
      <c r="W242" s="34">
        <f t="shared" si="51"/>
        <v>1</v>
      </c>
      <c r="X242" s="9" t="str" cm="1">
        <f t="array" ref="X242">INDEX(F232:V232,W242)</f>
        <v>Gold</v>
      </c>
      <c r="Y242" s="9">
        <f>_xlfn.XLOOKUP(X242,refs!$A$2:$A$19,refs!$B$2:$B$19)</f>
        <v>13</v>
      </c>
      <c r="Z242" s="77" t="str" cm="1">
        <f t="array" ref="Z242">INDEX($F$3:$V$3,W242)</f>
        <v>#D1</v>
      </c>
      <c r="AA242" s="74">
        <f>IF(C242="x",Y242,_xlfn.XLOOKUP(C231,refs!$A$2:$A$19,refs!$B$2:$B$19))</f>
        <v>13</v>
      </c>
      <c r="AB242" s="61" t="str">
        <f t="shared" si="52"/>
        <v>.6.col=13,mute=0,</v>
      </c>
      <c r="AC242" s="62" t="str">
        <f t="shared" si="53"/>
        <v>.6.tags=#D1,</v>
      </c>
      <c r="AD242" s="62" t="str">
        <f t="shared" si="55"/>
        <v>.6.name=MARGERY.ursula,</v>
      </c>
      <c r="AE242" s="62" t="str">
        <f t="shared" si="54"/>
        <v>..6.postins.on=1,mode=AUTO_X,</v>
      </c>
      <c r="AF242" s="63" t="str">
        <f>"."&amp;K$2&amp;".col="&amp;_xlfn.XLOOKUP(K$4,refs!$A$2:$A$19,refs!$B$2:$B$19)&amp;",name="&amp;LEFT(K$6,16)&amp;","</f>
        <v>.6.col=5,name=LeeWind,</v>
      </c>
    </row>
    <row r="243" spans="1:32" ht="13.5" customHeight="1" x14ac:dyDescent="0.25">
      <c r="A243" s="97">
        <f t="shared" si="48"/>
        <v>7</v>
      </c>
      <c r="B243" s="5" t="s">
        <v>21</v>
      </c>
      <c r="C243" s="25" t="s">
        <v>21</v>
      </c>
      <c r="D243" s="87" t="s">
        <v>52</v>
      </c>
      <c r="E243" s="21">
        <f t="shared" si="49"/>
        <v>1</v>
      </c>
      <c r="F243" s="6" t="s">
        <v>21</v>
      </c>
      <c r="G243" s="6"/>
      <c r="H243" s="6"/>
      <c r="I243" s="83"/>
      <c r="J243" s="6"/>
      <c r="K243" s="6"/>
      <c r="L243" s="6"/>
      <c r="M243" s="83"/>
      <c r="N243" s="6"/>
      <c r="O243" s="6"/>
      <c r="P243" s="6"/>
      <c r="Q243" s="83"/>
      <c r="R243" s="6"/>
      <c r="S243" s="6"/>
      <c r="T243" s="6"/>
      <c r="U243" s="6"/>
      <c r="V243" s="52" t="str">
        <f t="shared" si="50"/>
        <v/>
      </c>
      <c r="W243" s="34">
        <f t="shared" si="51"/>
        <v>1</v>
      </c>
      <c r="X243" s="9" t="str" cm="1">
        <f t="array" ref="X243">INDEX(F232:V232,W243)</f>
        <v>Gold</v>
      </c>
      <c r="Y243" s="9">
        <f>_xlfn.XLOOKUP(X243,refs!$A$2:$A$19,refs!$B$2:$B$19)</f>
        <v>13</v>
      </c>
      <c r="Z243" s="77" t="str" cm="1">
        <f t="array" ref="Z243">INDEX($F$3:$V$3,W243)</f>
        <v>#D1</v>
      </c>
      <c r="AA243" s="74">
        <f>IF(C243="x",Y243,_xlfn.XLOOKUP(C231,refs!$A$2:$A$19,refs!$B$2:$B$19))</f>
        <v>13</v>
      </c>
      <c r="AB243" s="61" t="str">
        <f t="shared" si="52"/>
        <v>.7.col=13,mute=0,</v>
      </c>
      <c r="AC243" s="62" t="str">
        <f t="shared" si="53"/>
        <v>.7.tags=#D1,</v>
      </c>
      <c r="AD243" s="62" t="str">
        <f t="shared" si="55"/>
        <v>.7.name=JOHN.triton,</v>
      </c>
      <c r="AE243" s="62" t="str">
        <f t="shared" si="54"/>
        <v>..7.postins.on=1,mode=AUTO_X,</v>
      </c>
      <c r="AF243" s="63" t="str">
        <f>"."&amp;L$2&amp;".col="&amp;_xlfn.XLOOKUP(L$4,refs!$A$2:$A$19,refs!$B$2:$B$19)&amp;",name="&amp;LEFT(L$6,16)&amp;","</f>
        <v>.7.col=6,name=PrRaJen,</v>
      </c>
    </row>
    <row r="244" spans="1:32" ht="13.5" customHeight="1" x14ac:dyDescent="0.25">
      <c r="A244" s="97">
        <f t="shared" si="48"/>
        <v>8</v>
      </c>
      <c r="B244" s="5" t="s">
        <v>21</v>
      </c>
      <c r="C244" s="25" t="s">
        <v>21</v>
      </c>
      <c r="D244" s="87" t="s">
        <v>53</v>
      </c>
      <c r="E244" s="21">
        <f t="shared" si="49"/>
        <v>1</v>
      </c>
      <c r="F244" s="6" t="s">
        <v>21</v>
      </c>
      <c r="G244" s="6"/>
      <c r="H244" s="6"/>
      <c r="I244" s="83"/>
      <c r="J244" s="6"/>
      <c r="K244" s="6"/>
      <c r="L244" s="6"/>
      <c r="M244" s="83"/>
      <c r="N244" s="6"/>
      <c r="O244" s="6"/>
      <c r="P244" s="6"/>
      <c r="Q244" s="83"/>
      <c r="R244" s="6"/>
      <c r="S244" s="6"/>
      <c r="T244" s="6"/>
      <c r="U244" s="6"/>
      <c r="V244" s="52" t="str">
        <f t="shared" si="50"/>
        <v/>
      </c>
      <c r="W244" s="34">
        <f t="shared" si="51"/>
        <v>1</v>
      </c>
      <c r="X244" s="9" t="str" cm="1">
        <f t="array" ref="X244">INDEX(F232:V232,W244)</f>
        <v>Gold</v>
      </c>
      <c r="Y244" s="9">
        <f>_xlfn.XLOOKUP(X244,refs!$A$2:$A$19,refs!$B$2:$B$19)</f>
        <v>13</v>
      </c>
      <c r="Z244" s="77" t="str" cm="1">
        <f t="array" ref="Z244">INDEX($F$3:$V$3,W244)</f>
        <v>#D1</v>
      </c>
      <c r="AA244" s="74">
        <f>IF(C244="x",Y244,_xlfn.XLOOKUP(C231,refs!$A$2:$A$19,refs!$B$2:$B$19))</f>
        <v>13</v>
      </c>
      <c r="AB244" s="61" t="str">
        <f t="shared" si="52"/>
        <v>.8.col=13,mute=0,</v>
      </c>
      <c r="AC244" s="62" t="str">
        <f t="shared" si="53"/>
        <v>.8.tags=#D1,</v>
      </c>
      <c r="AD244" s="62" t="str">
        <f t="shared" si="55"/>
        <v>.8.name=JUDAH.chefL,</v>
      </c>
      <c r="AE244" s="62" t="str">
        <f t="shared" si="54"/>
        <v>..8.postins.on=1,mode=AUTO_X,</v>
      </c>
      <c r="AF244" s="63" t="str">
        <f>"."&amp;M$2&amp;".col="&amp;_xlfn.XLOOKUP(M$4,refs!$A$2:$A$19,refs!$B$2:$B$19)&amp;",name="&amp;LEFT(M$6,16)&amp;","</f>
        <v>.8.col=7,name=.,</v>
      </c>
    </row>
    <row r="245" spans="1:32" ht="13.5" customHeight="1" x14ac:dyDescent="0.25">
      <c r="A245" s="97">
        <f t="shared" si="48"/>
        <v>9</v>
      </c>
      <c r="B245" s="5" t="s">
        <v>21</v>
      </c>
      <c r="C245" s="25" t="s">
        <v>21</v>
      </c>
      <c r="D245" s="87" t="s">
        <v>54</v>
      </c>
      <c r="E245" s="21">
        <f t="shared" si="49"/>
        <v>1</v>
      </c>
      <c r="F245" s="6" t="s">
        <v>21</v>
      </c>
      <c r="G245" s="6"/>
      <c r="H245" s="6"/>
      <c r="I245" s="83"/>
      <c r="J245" s="6"/>
      <c r="K245" s="6"/>
      <c r="L245" s="6"/>
      <c r="M245" s="83"/>
      <c r="N245" s="6"/>
      <c r="O245" s="6"/>
      <c r="P245" s="6"/>
      <c r="Q245" s="83"/>
      <c r="R245" s="6"/>
      <c r="S245" s="6"/>
      <c r="T245" s="6"/>
      <c r="U245" s="6"/>
      <c r="V245" s="52" t="str">
        <f t="shared" si="50"/>
        <v/>
      </c>
      <c r="W245" s="34">
        <f t="shared" si="51"/>
        <v>1</v>
      </c>
      <c r="X245" s="9" t="str" cm="1">
        <f t="array" ref="X245">INDEX(F232:V232,W245)</f>
        <v>Gold</v>
      </c>
      <c r="Y245" s="9">
        <f>_xlfn.XLOOKUP(X245,refs!$A$2:$A$19,refs!$B$2:$B$19)</f>
        <v>13</v>
      </c>
      <c r="Z245" s="77" t="str" cm="1">
        <f t="array" ref="Z245">INDEX($F$3:$V$3,W245)</f>
        <v>#D1</v>
      </c>
      <c r="AA245" s="74">
        <f>IF(C245="x",Y245,_xlfn.XLOOKUP(C231,refs!$A$2:$A$19,refs!$B$2:$B$19))</f>
        <v>13</v>
      </c>
      <c r="AB245" s="61" t="str">
        <f t="shared" si="52"/>
        <v>.9.col=13,mute=0,</v>
      </c>
      <c r="AC245" s="62" t="str">
        <f t="shared" si="53"/>
        <v>.9.tags=#D1,</v>
      </c>
      <c r="AD245" s="62" t="str">
        <f t="shared" si="55"/>
        <v>.9.name=BRIDGET.scuttle,</v>
      </c>
      <c r="AE245" s="62" t="str">
        <f t="shared" si="54"/>
        <v>..9.postins.on=1,mode=AUTO_X,</v>
      </c>
      <c r="AF245" s="63" t="str">
        <f>"."&amp;N$2&amp;".col="&amp;_xlfn.XLOOKUP(N$4,refs!$A$2:$A$19,refs!$B$2:$B$19)&amp;",name="&amp;LEFT(N$6,16)&amp;","</f>
        <v>.9.col=8,name=.,</v>
      </c>
    </row>
    <row r="246" spans="1:32" ht="13.5" customHeight="1" x14ac:dyDescent="0.25">
      <c r="A246" s="97">
        <f t="shared" si="48"/>
        <v>10</v>
      </c>
      <c r="B246" s="5" t="s">
        <v>21</v>
      </c>
      <c r="C246" s="25" t="s">
        <v>21</v>
      </c>
      <c r="D246" s="88" t="s">
        <v>55</v>
      </c>
      <c r="E246" s="21">
        <f t="shared" si="49"/>
        <v>1</v>
      </c>
      <c r="F246" s="6"/>
      <c r="G246" s="6" t="s">
        <v>21</v>
      </c>
      <c r="H246" s="6"/>
      <c r="I246" s="83"/>
      <c r="J246" s="6"/>
      <c r="K246" s="6"/>
      <c r="L246" s="6"/>
      <c r="M246" s="83"/>
      <c r="N246" s="6"/>
      <c r="O246" s="6"/>
      <c r="P246" s="6"/>
      <c r="Q246" s="83"/>
      <c r="R246" s="6"/>
      <c r="S246" s="6"/>
      <c r="T246" s="6"/>
      <c r="U246" s="6"/>
      <c r="V246" s="52" t="str">
        <f t="shared" si="50"/>
        <v/>
      </c>
      <c r="W246" s="34">
        <f t="shared" si="51"/>
        <v>2</v>
      </c>
      <c r="X246" s="9" t="str" cm="1">
        <f t="array" ref="X246">INDEX(F232:V232,W246)</f>
        <v>Coral</v>
      </c>
      <c r="Y246" s="9">
        <f>_xlfn.XLOOKUP(X246,refs!$A$2:$A$19,refs!$B$2:$B$19)</f>
        <v>10</v>
      </c>
      <c r="Z246" s="77" t="str" cm="1">
        <f t="array" ref="Z246">INDEX($F$3:$V$3,W246)</f>
        <v>#D2</v>
      </c>
      <c r="AA246" s="74">
        <f>IF(C246="x",Y246,_xlfn.XLOOKUP(C231,refs!$A$2:$A$19,refs!$B$2:$B$19))</f>
        <v>10</v>
      </c>
      <c r="AB246" s="61" t="str">
        <f t="shared" si="52"/>
        <v>.10.col=10,mute=0,</v>
      </c>
      <c r="AC246" s="62" t="str">
        <f t="shared" si="53"/>
        <v>.10.tags=#D2,</v>
      </c>
      <c r="AD246" s="62" t="str">
        <f t="shared" si="55"/>
        <v>.10.name=DYLAN.flotsam,</v>
      </c>
      <c r="AE246" s="62" t="str">
        <f t="shared" si="54"/>
        <v>..10.postins.on=1,mode=AUTO_X,</v>
      </c>
      <c r="AF246" s="63" t="str">
        <f>"."&amp;O$2&amp;".col="&amp;_xlfn.XLOOKUP(O$4,refs!$A$2:$A$19,refs!$B$2:$B$19)&amp;",name="&amp;LEFT(O$6,16)&amp;","</f>
        <v>.10.col=9,name=.,</v>
      </c>
    </row>
    <row r="247" spans="1:32" ht="13.5" customHeight="1" x14ac:dyDescent="0.25">
      <c r="A247" s="97">
        <f t="shared" si="48"/>
        <v>11</v>
      </c>
      <c r="B247" s="5" t="s">
        <v>21</v>
      </c>
      <c r="C247" s="25" t="s">
        <v>21</v>
      </c>
      <c r="D247" s="88" t="s">
        <v>56</v>
      </c>
      <c r="E247" s="21">
        <f t="shared" si="49"/>
        <v>1</v>
      </c>
      <c r="F247" s="6"/>
      <c r="G247" s="6" t="s">
        <v>21</v>
      </c>
      <c r="H247" s="6"/>
      <c r="I247" s="83"/>
      <c r="J247" s="6"/>
      <c r="K247" s="6"/>
      <c r="L247" s="6"/>
      <c r="M247" s="83"/>
      <c r="N247" s="6"/>
      <c r="O247" s="6"/>
      <c r="P247" s="6"/>
      <c r="Q247" s="83"/>
      <c r="R247" s="6"/>
      <c r="S247" s="6"/>
      <c r="T247" s="6"/>
      <c r="U247" s="6"/>
      <c r="V247" s="52" t="str">
        <f t="shared" si="50"/>
        <v/>
      </c>
      <c r="W247" s="34">
        <f t="shared" si="51"/>
        <v>2</v>
      </c>
      <c r="X247" s="9" t="str" cm="1">
        <f t="array" ref="X247">INDEX(F232:V232,W247)</f>
        <v>Coral</v>
      </c>
      <c r="Y247" s="9">
        <f>_xlfn.XLOOKUP(X247,refs!$A$2:$A$19,refs!$B$2:$B$19)</f>
        <v>10</v>
      </c>
      <c r="Z247" s="77" t="str" cm="1">
        <f t="array" ref="Z247">INDEX($F$3:$V$3,W247)</f>
        <v>#D2</v>
      </c>
      <c r="AA247" s="74">
        <f>IF(C247="x",Y247,_xlfn.XLOOKUP(C231,refs!$A$2:$A$19,refs!$B$2:$B$19))</f>
        <v>10</v>
      </c>
      <c r="AB247" s="61" t="str">
        <f t="shared" si="52"/>
        <v>.11.col=10,mute=0,</v>
      </c>
      <c r="AC247" s="62" t="str">
        <f t="shared" si="53"/>
        <v>.11.tags=#D2,</v>
      </c>
      <c r="AD247" s="62" t="str">
        <f t="shared" si="55"/>
        <v>.11.name=ELIJAH.jetsam,</v>
      </c>
      <c r="AE247" s="62" t="str">
        <f t="shared" si="54"/>
        <v>..11.postins.on=1,mode=AUTO_X,</v>
      </c>
      <c r="AF247" s="63" t="str">
        <f>"."&amp;P$2&amp;".col="&amp;_xlfn.XLOOKUP(P$4,refs!$A$2:$A$19,refs!$B$2:$B$19)&amp;",name="&amp;LEFT(P$6,16)&amp;","</f>
        <v>.11.col=10,name=OS,</v>
      </c>
    </row>
    <row r="248" spans="1:32" ht="13.5" customHeight="1" x14ac:dyDescent="0.25">
      <c r="A248" s="97">
        <f t="shared" si="48"/>
        <v>12</v>
      </c>
      <c r="B248" s="5" t="s">
        <v>21</v>
      </c>
      <c r="C248" s="25" t="s">
        <v>21</v>
      </c>
      <c r="D248" s="89" t="s">
        <v>50</v>
      </c>
      <c r="E248" s="21">
        <f t="shared" si="49"/>
        <v>1</v>
      </c>
      <c r="F248" s="6"/>
      <c r="G248" s="6"/>
      <c r="H248" s="6" t="s">
        <v>21</v>
      </c>
      <c r="I248" s="83"/>
      <c r="J248" s="6"/>
      <c r="K248" s="6"/>
      <c r="L248" s="6"/>
      <c r="M248" s="83"/>
      <c r="N248" s="6"/>
      <c r="O248" s="6"/>
      <c r="P248" s="6"/>
      <c r="Q248" s="83"/>
      <c r="R248" s="6"/>
      <c r="S248" s="6"/>
      <c r="T248" s="6"/>
      <c r="U248" s="6"/>
      <c r="V248" s="52" t="str">
        <f t="shared" si="50"/>
        <v/>
      </c>
      <c r="W248" s="34">
        <f t="shared" si="51"/>
        <v>3</v>
      </c>
      <c r="X248" s="9" t="str" cm="1">
        <f t="array" ref="X248">INDEX(F232:V232,W248)</f>
        <v>Brown</v>
      </c>
      <c r="Y248" s="9">
        <f>_xlfn.XLOOKUP(X248,refs!$A$2:$A$19,refs!$B$2:$B$19)</f>
        <v>8</v>
      </c>
      <c r="Z248" s="77" t="str" cm="1">
        <f t="array" ref="Z248">INDEX($F$3:$V$3,W248)</f>
        <v>#D3</v>
      </c>
      <c r="AA248" s="74">
        <f>IF(C248="x",Y248,_xlfn.XLOOKUP(C231,refs!$A$2:$A$19,refs!$B$2:$B$19))</f>
        <v>8</v>
      </c>
      <c r="AB248" s="61" t="str">
        <f t="shared" si="52"/>
        <v>.12.col=8,mute=0,</v>
      </c>
      <c r="AC248" s="62" t="str">
        <f t="shared" si="53"/>
        <v>.12.tags=#D3,</v>
      </c>
      <c r="AD248" s="62" t="str">
        <f t="shared" si="55"/>
        <v>.12.name=SYR.pilot,</v>
      </c>
      <c r="AE248" s="62" t="str">
        <f t="shared" si="54"/>
        <v>..12.postins.on=1,mode=AUTO_X,</v>
      </c>
      <c r="AF248" s="63" t="str">
        <f>"."&amp;Q$2&amp;".col="&amp;_xlfn.XLOOKUP(Q$4,refs!$A$2:$A$19,refs!$B$2:$B$19)&amp;",name="&amp;LEFT(Q$6,16)&amp;","</f>
        <v>.12.col=11,name=VOX+.VRB,</v>
      </c>
    </row>
    <row r="249" spans="1:32" ht="13.5" customHeight="1" x14ac:dyDescent="0.25">
      <c r="A249" s="97">
        <f t="shared" si="48"/>
        <v>13</v>
      </c>
      <c r="B249" s="5" t="s">
        <v>26</v>
      </c>
      <c r="C249" s="25" t="s">
        <v>21</v>
      </c>
      <c r="D249" s="90" t="s">
        <v>57</v>
      </c>
      <c r="E249" s="21">
        <f t="shared" si="49"/>
        <v>1</v>
      </c>
      <c r="F249" s="6"/>
      <c r="G249" s="6"/>
      <c r="H249" s="6"/>
      <c r="I249" s="83" t="s">
        <v>21</v>
      </c>
      <c r="J249" s="6"/>
      <c r="K249" s="6"/>
      <c r="L249" s="6"/>
      <c r="M249" s="83"/>
      <c r="N249" s="6"/>
      <c r="O249" s="6"/>
      <c r="P249" s="6"/>
      <c r="Q249" s="83"/>
      <c r="R249" s="6"/>
      <c r="S249" s="6"/>
      <c r="T249" s="6"/>
      <c r="U249" s="6"/>
      <c r="V249" s="52" t="str">
        <f t="shared" si="50"/>
        <v/>
      </c>
      <c r="W249" s="34">
        <f t="shared" si="51"/>
        <v>4</v>
      </c>
      <c r="X249" s="9" t="str" cm="1">
        <f t="array" ref="X249">INDEX(F232:V232,W249)</f>
        <v>Pink</v>
      </c>
      <c r="Y249" s="9">
        <f>_xlfn.XLOOKUP(X249,refs!$A$2:$A$19,refs!$B$2:$B$19)</f>
        <v>11</v>
      </c>
      <c r="Z249" s="77" t="str" cm="1">
        <f t="array" ref="Z249">INDEX($F$3:$V$3,W249)</f>
        <v>#D4</v>
      </c>
      <c r="AA249" s="74">
        <f>IF(C249="x",Y249,_xlfn.XLOOKUP(C231,refs!$A$2:$A$19,refs!$B$2:$B$19))</f>
        <v>11</v>
      </c>
      <c r="AB249" s="61" t="str">
        <f t="shared" si="52"/>
        <v>.13.col=11,mute=0,</v>
      </c>
      <c r="AC249" s="62" t="str">
        <f t="shared" si="53"/>
        <v>.13.tags=#D4,</v>
      </c>
      <c r="AD249" s="62" t="str">
        <f t="shared" si="55"/>
        <v>.13.name=KATELYN.aquata,</v>
      </c>
      <c r="AE249" s="62" t="str">
        <f t="shared" si="54"/>
        <v>..13.postins.on=1,mode=AUTO_Y,</v>
      </c>
      <c r="AF249" s="63" t="str">
        <f>"."&amp;R$2&amp;".col="&amp;_xlfn.XLOOKUP(R$4,refs!$A$2:$A$19,refs!$B$2:$B$19)&amp;",name="&amp;LEFT(R$6,16)&amp;","</f>
        <v>.13.col=12,name=VOX_.VRB,</v>
      </c>
    </row>
    <row r="250" spans="1:32" ht="13.5" customHeight="1" x14ac:dyDescent="0.25">
      <c r="A250" s="97">
        <f t="shared" si="48"/>
        <v>14</v>
      </c>
      <c r="B250" s="5" t="s">
        <v>26</v>
      </c>
      <c r="C250" s="25" t="s">
        <v>21</v>
      </c>
      <c r="D250" s="90" t="s">
        <v>58</v>
      </c>
      <c r="E250" s="21">
        <f t="shared" si="49"/>
        <v>1</v>
      </c>
      <c r="F250" s="6"/>
      <c r="G250" s="6"/>
      <c r="H250" s="6"/>
      <c r="I250" s="83" t="s">
        <v>21</v>
      </c>
      <c r="J250" s="6"/>
      <c r="K250" s="6"/>
      <c r="L250" s="6"/>
      <c r="M250" s="83"/>
      <c r="N250" s="6"/>
      <c r="O250" s="6"/>
      <c r="P250" s="6"/>
      <c r="Q250" s="83"/>
      <c r="R250" s="6"/>
      <c r="S250" s="6"/>
      <c r="T250" s="6"/>
      <c r="U250" s="6"/>
      <c r="V250" s="52" t="str">
        <f t="shared" si="50"/>
        <v/>
      </c>
      <c r="W250" s="34">
        <f t="shared" si="51"/>
        <v>4</v>
      </c>
      <c r="X250" s="9" t="str" cm="1">
        <f t="array" ref="X250">INDEX(F232:V232,W250)</f>
        <v>Pink</v>
      </c>
      <c r="Y250" s="9">
        <f>_xlfn.XLOOKUP(X250,refs!$A$2:$A$19,refs!$B$2:$B$19)</f>
        <v>11</v>
      </c>
      <c r="Z250" s="77" t="str" cm="1">
        <f t="array" ref="Z250">INDEX($F$3:$V$3,W250)</f>
        <v>#D4</v>
      </c>
      <c r="AA250" s="74">
        <f>IF(C250="x",Y250,_xlfn.XLOOKUP(C231,refs!$A$2:$A$19,refs!$B$2:$B$19))</f>
        <v>11</v>
      </c>
      <c r="AB250" s="61" t="str">
        <f t="shared" si="52"/>
        <v>.14.col=11,mute=0,</v>
      </c>
      <c r="AC250" s="62" t="str">
        <f t="shared" si="53"/>
        <v>.14.tags=#D4,</v>
      </c>
      <c r="AD250" s="62" t="str">
        <f t="shared" si="55"/>
        <v>.14.name=NADJA.adrina,</v>
      </c>
      <c r="AE250" s="62" t="str">
        <f t="shared" si="54"/>
        <v>..14.postins.on=1,mode=AUTO_Y,</v>
      </c>
      <c r="AF250" s="63" t="str">
        <f>"."&amp;S$2&amp;".col="&amp;_xlfn.XLOOKUP(S$4,refs!$A$2:$A$19,refs!$B$2:$B$19)&amp;",name="&amp;LEFT(S$6,16)&amp;","</f>
        <v>.14.col=13,name=INST+.VRB,</v>
      </c>
    </row>
    <row r="251" spans="1:32" ht="13.5" customHeight="1" x14ac:dyDescent="0.25">
      <c r="A251" s="97">
        <f t="shared" si="48"/>
        <v>15</v>
      </c>
      <c r="B251" s="5" t="s">
        <v>26</v>
      </c>
      <c r="C251" s="25" t="s">
        <v>21</v>
      </c>
      <c r="D251" s="90" t="s">
        <v>60</v>
      </c>
      <c r="E251" s="21">
        <f t="shared" si="49"/>
        <v>1</v>
      </c>
      <c r="F251" s="6"/>
      <c r="G251" s="6"/>
      <c r="H251" s="6"/>
      <c r="I251" s="83" t="s">
        <v>21</v>
      </c>
      <c r="J251" s="6"/>
      <c r="K251" s="6"/>
      <c r="L251" s="6"/>
      <c r="M251" s="83"/>
      <c r="N251" s="6"/>
      <c r="O251" s="6"/>
      <c r="P251" s="6"/>
      <c r="Q251" s="83"/>
      <c r="R251" s="6"/>
      <c r="S251" s="6"/>
      <c r="T251" s="6"/>
      <c r="U251" s="6"/>
      <c r="V251" s="52" t="str">
        <f t="shared" si="50"/>
        <v/>
      </c>
      <c r="W251" s="34">
        <f t="shared" si="51"/>
        <v>4</v>
      </c>
      <c r="X251" s="9" t="str" cm="1">
        <f t="array" ref="X251">INDEX(F232:V232,W251)</f>
        <v>Pink</v>
      </c>
      <c r="Y251" s="9">
        <f>_xlfn.XLOOKUP(X251,refs!$A$2:$A$19,refs!$B$2:$B$19)</f>
        <v>11</v>
      </c>
      <c r="Z251" s="77" t="str" cm="1">
        <f t="array" ref="Z251">INDEX($F$3:$V$3,W251)</f>
        <v>#D4</v>
      </c>
      <c r="AA251" s="74">
        <f>IF(C251="x",Y251,_xlfn.XLOOKUP(C231,refs!$A$2:$A$19,refs!$B$2:$B$19))</f>
        <v>11</v>
      </c>
      <c r="AB251" s="61" t="str">
        <f t="shared" si="52"/>
        <v>.15.col=11,mute=0,</v>
      </c>
      <c r="AC251" s="62" t="str">
        <f t="shared" si="53"/>
        <v>.15.tags=#D4,</v>
      </c>
      <c r="AD251" s="62" t="str">
        <f t="shared" si="55"/>
        <v>.15.name=RACHELP.arista,</v>
      </c>
      <c r="AE251" s="62" t="str">
        <f t="shared" si="54"/>
        <v>..15.postins.on=1,mode=AUTO_Y,</v>
      </c>
      <c r="AF251" s="63" t="str">
        <f>"."&amp;T$2&amp;".col="&amp;_xlfn.XLOOKUP(T$4,refs!$A$2:$A$19,refs!$B$2:$B$19)&amp;",name="&amp;LEFT(T$6,16)&amp;","</f>
        <v>.15.col=14,name=INST_.VRB,</v>
      </c>
    </row>
    <row r="252" spans="1:32" ht="13.5" customHeight="1" x14ac:dyDescent="0.25">
      <c r="A252" s="97">
        <f t="shared" si="48"/>
        <v>16</v>
      </c>
      <c r="B252" s="5" t="s">
        <v>26</v>
      </c>
      <c r="C252" s="25" t="s">
        <v>21</v>
      </c>
      <c r="D252" s="90" t="s">
        <v>59</v>
      </c>
      <c r="E252" s="21">
        <f t="shared" si="49"/>
        <v>1</v>
      </c>
      <c r="F252" s="6"/>
      <c r="G252" s="6"/>
      <c r="H252" s="6"/>
      <c r="I252" s="83" t="s">
        <v>21</v>
      </c>
      <c r="J252" s="6"/>
      <c r="K252" s="6"/>
      <c r="L252" s="6"/>
      <c r="M252" s="83"/>
      <c r="N252" s="6"/>
      <c r="O252" s="6"/>
      <c r="P252" s="6"/>
      <c r="Q252" s="83"/>
      <c r="R252" s="6"/>
      <c r="S252" s="6"/>
      <c r="T252" s="6"/>
      <c r="U252" s="6"/>
      <c r="V252" s="52" t="str">
        <f t="shared" si="50"/>
        <v/>
      </c>
      <c r="W252" s="34">
        <f t="shared" si="51"/>
        <v>4</v>
      </c>
      <c r="X252" s="9" t="str" cm="1">
        <f t="array" ref="X252">INDEX(F232:V232,W252)</f>
        <v>Pink</v>
      </c>
      <c r="Y252" s="9">
        <f>_xlfn.XLOOKUP(X252,refs!$A$2:$A$19,refs!$B$2:$B$19)</f>
        <v>11</v>
      </c>
      <c r="Z252" s="77" t="str" cm="1">
        <f t="array" ref="Z252">INDEX($F$3:$V$3,W252)</f>
        <v>#D4</v>
      </c>
      <c r="AA252" s="74">
        <f>IF(C252="x",Y252,_xlfn.XLOOKUP(C231,refs!$A$2:$A$19,refs!$B$2:$B$19))</f>
        <v>11</v>
      </c>
      <c r="AB252" s="61" t="str">
        <f t="shared" si="52"/>
        <v>.16.col=11,mute=0,</v>
      </c>
      <c r="AC252" s="62" t="str">
        <f t="shared" si="53"/>
        <v>.16.tags=#D4,</v>
      </c>
      <c r="AD252" s="62" t="str">
        <f t="shared" si="55"/>
        <v>.16.name=MAURA.atina,</v>
      </c>
      <c r="AE252" s="62" t="str">
        <f t="shared" si="54"/>
        <v>..16.postins.on=1,mode=AUTO_Y,</v>
      </c>
      <c r="AF252" s="63" t="str">
        <f>"."&amp;U$2&amp;".col="&amp;_xlfn.XLOOKUP(U$4,refs!$A$2:$A$19,refs!$B$2:$B$19)&amp;",name="&amp;LEFT(U$6,16)&amp;","</f>
        <v>.16.col=15,name=MAINS,</v>
      </c>
    </row>
    <row r="253" spans="1:32" ht="13.5" customHeight="1" x14ac:dyDescent="0.25">
      <c r="A253" s="97">
        <f t="shared" si="48"/>
        <v>17</v>
      </c>
      <c r="B253" s="5"/>
      <c r="C253" s="25" t="s">
        <v>21</v>
      </c>
      <c r="D253" s="90" t="s">
        <v>61</v>
      </c>
      <c r="E253" s="21">
        <f t="shared" si="49"/>
        <v>1</v>
      </c>
      <c r="F253" s="6"/>
      <c r="G253" s="6"/>
      <c r="H253" s="6"/>
      <c r="I253" s="83" t="s">
        <v>21</v>
      </c>
      <c r="J253" s="6"/>
      <c r="K253" s="6"/>
      <c r="L253" s="6"/>
      <c r="M253" s="83"/>
      <c r="N253" s="6"/>
      <c r="O253" s="6"/>
      <c r="P253" s="6"/>
      <c r="Q253" s="83"/>
      <c r="R253" s="6"/>
      <c r="S253" s="6"/>
      <c r="T253" s="6"/>
      <c r="U253" s="6"/>
      <c r="V253" s="52" t="str">
        <f t="shared" si="50"/>
        <v/>
      </c>
      <c r="W253" s="34">
        <f t="shared" si="51"/>
        <v>4</v>
      </c>
      <c r="X253" s="9" t="str" cm="1">
        <f t="array" ref="X253">INDEX(F232:V232,W253)</f>
        <v>Pink</v>
      </c>
      <c r="Y253" s="9">
        <f>_xlfn.XLOOKUP(X253,refs!$A$2:$A$19,refs!$B$2:$B$19)</f>
        <v>11</v>
      </c>
      <c r="Z253" s="77" t="str" cm="1">
        <f t="array" ref="Z253">INDEX($F$3:$V$3,W253)</f>
        <v>#D4</v>
      </c>
      <c r="AA253" s="74">
        <f>IF(C253="x",Y253,_xlfn.XLOOKUP(C231,refs!$A$2:$A$19,refs!$B$2:$B$19))</f>
        <v>11</v>
      </c>
      <c r="AB253" s="61" t="str">
        <f t="shared" si="52"/>
        <v>.17.col=11,mute=0,</v>
      </c>
      <c r="AC253" s="62" t="str">
        <f t="shared" si="53"/>
        <v>.17.tags=#D4,</v>
      </c>
      <c r="AD253" s="62" t="str">
        <f t="shared" si="55"/>
        <v>.17.name=JACKLYN.adella,</v>
      </c>
      <c r="AE253" s="62" t="str">
        <f t="shared" si="54"/>
        <v>..17.postins.on=0,mode=FX,</v>
      </c>
      <c r="AF253" s="63" t="str">
        <f>"/cfg.amix.x="&amp;IF(C232="x",1,0)&amp;",/cfg.amix.y="&amp;IF(C234="x",1,0)&amp;","</f>
        <v>/cfg.amix.x=1,/cfg.amix.y=1,</v>
      </c>
    </row>
    <row r="254" spans="1:32" ht="13.5" customHeight="1" x14ac:dyDescent="0.25">
      <c r="A254" s="97">
        <f t="shared" si="48"/>
        <v>18</v>
      </c>
      <c r="B254" s="5"/>
      <c r="C254" s="25" t="s">
        <v>21</v>
      </c>
      <c r="D254" s="90" t="s">
        <v>62</v>
      </c>
      <c r="E254" s="21">
        <f t="shared" si="49"/>
        <v>1</v>
      </c>
      <c r="F254" s="6"/>
      <c r="G254" s="6"/>
      <c r="H254" s="6"/>
      <c r="I254" s="83" t="s">
        <v>21</v>
      </c>
      <c r="J254" s="6"/>
      <c r="K254" s="6"/>
      <c r="L254" s="6"/>
      <c r="M254" s="83"/>
      <c r="N254" s="6"/>
      <c r="O254" s="6"/>
      <c r="P254" s="6"/>
      <c r="Q254" s="83"/>
      <c r="R254" s="6"/>
      <c r="S254" s="6"/>
      <c r="T254" s="6"/>
      <c r="U254" s="6"/>
      <c r="V254" s="52" t="str">
        <f t="shared" si="50"/>
        <v/>
      </c>
      <c r="W254" s="34">
        <f t="shared" si="51"/>
        <v>4</v>
      </c>
      <c r="X254" s="9" t="str" cm="1">
        <f t="array" ref="X254">INDEX(F232:V232,W254)</f>
        <v>Pink</v>
      </c>
      <c r="Y254" s="9">
        <f>_xlfn.XLOOKUP(X254,refs!$A$2:$A$19,refs!$B$2:$B$19)</f>
        <v>11</v>
      </c>
      <c r="Z254" s="77" t="str" cm="1">
        <f t="array" ref="Z254">INDEX($F$3:$V$3,W254)</f>
        <v>#D4</v>
      </c>
      <c r="AA254" s="74">
        <f>IF(C254="x",Y254,_xlfn.XLOOKUP(C231,refs!$A$2:$A$19,refs!$B$2:$B$19))</f>
        <v>11</v>
      </c>
      <c r="AB254" s="61" t="str">
        <f t="shared" si="52"/>
        <v>.18.col=11,mute=0,</v>
      </c>
      <c r="AC254" s="62" t="str">
        <f t="shared" si="53"/>
        <v>.18.tags=#D4,</v>
      </c>
      <c r="AD254" s="62" t="str">
        <f t="shared" si="55"/>
        <v>.18.name=SARAH.allana,</v>
      </c>
      <c r="AE254" s="62" t="str">
        <f t="shared" si="54"/>
        <v>..18.postins.on=0,mode=FX,</v>
      </c>
      <c r="AF254" s="63"/>
    </row>
    <row r="255" spans="1:32" ht="13.5" customHeight="1" x14ac:dyDescent="0.25">
      <c r="A255" s="97">
        <f t="shared" si="48"/>
        <v>19</v>
      </c>
      <c r="B255" s="5"/>
      <c r="C255" s="25" t="s">
        <v>21</v>
      </c>
      <c r="D255" s="91" t="s">
        <v>63</v>
      </c>
      <c r="E255" s="21">
        <f t="shared" si="49"/>
        <v>1</v>
      </c>
      <c r="F255" s="6"/>
      <c r="G255" s="6"/>
      <c r="H255" s="6"/>
      <c r="I255" s="83"/>
      <c r="J255" s="6" t="s">
        <v>21</v>
      </c>
      <c r="K255" s="6"/>
      <c r="L255" s="6"/>
      <c r="M255" s="83"/>
      <c r="N255" s="6"/>
      <c r="O255" s="6"/>
      <c r="P255" s="6"/>
      <c r="Q255" s="83"/>
      <c r="R255" s="6"/>
      <c r="S255" s="6"/>
      <c r="T255" s="6"/>
      <c r="U255" s="6"/>
      <c r="V255" s="52" t="str">
        <f t="shared" si="50"/>
        <v/>
      </c>
      <c r="W255" s="34">
        <f t="shared" si="51"/>
        <v>5</v>
      </c>
      <c r="X255" s="9" t="str" cm="1">
        <f t="array" ref="X255">INDEX(F232:V232,W255)</f>
        <v>Green</v>
      </c>
      <c r="Y255" s="9">
        <f>_xlfn.XLOOKUP(X255,refs!$A$2:$A$19,refs!$B$2:$B$19)</f>
        <v>5</v>
      </c>
      <c r="Z255" s="77" t="str" cm="1">
        <f t="array" ref="Z255">INDEX($F$3:$V$3,W255)</f>
        <v>#D5</v>
      </c>
      <c r="AA255" s="74">
        <f>IF(C255="x",Y255,_xlfn.XLOOKUP(C231,refs!$A$2:$A$19,refs!$B$2:$B$19))</f>
        <v>5</v>
      </c>
      <c r="AB255" s="61" t="str">
        <f t="shared" si="52"/>
        <v>.19.col=5,mute=0,</v>
      </c>
      <c r="AC255" s="62" t="str">
        <f t="shared" si="53"/>
        <v>.19.tags=#D5,</v>
      </c>
      <c r="AD255" s="62" t="str">
        <f t="shared" si="55"/>
        <v>.19.name=REBECCA.maid,</v>
      </c>
      <c r="AE255" s="62" t="str">
        <f t="shared" si="54"/>
        <v>..19.postins.on=0,mode=FX,</v>
      </c>
      <c r="AF255" s="63"/>
    </row>
    <row r="256" spans="1:32" ht="13.5" customHeight="1" x14ac:dyDescent="0.25">
      <c r="A256" s="97">
        <f t="shared" si="48"/>
        <v>20</v>
      </c>
      <c r="B256" s="5"/>
      <c r="C256" s="25" t="s">
        <v>21</v>
      </c>
      <c r="D256" s="91" t="s">
        <v>64</v>
      </c>
      <c r="E256" s="21">
        <f t="shared" si="49"/>
        <v>1</v>
      </c>
      <c r="F256" s="6"/>
      <c r="G256" s="6"/>
      <c r="H256" s="6"/>
      <c r="I256" s="83"/>
      <c r="J256" s="6" t="s">
        <v>21</v>
      </c>
      <c r="K256" s="6"/>
      <c r="L256" s="6"/>
      <c r="M256" s="83"/>
      <c r="N256" s="6"/>
      <c r="O256" s="6"/>
      <c r="P256" s="6"/>
      <c r="Q256" s="83"/>
      <c r="R256" s="6"/>
      <c r="S256" s="6"/>
      <c r="T256" s="6"/>
      <c r="U256" s="6"/>
      <c r="V256" s="52" t="str">
        <f t="shared" si="50"/>
        <v/>
      </c>
      <c r="W256" s="34">
        <f t="shared" si="51"/>
        <v>5</v>
      </c>
      <c r="X256" s="9" t="str" cm="1">
        <f t="array" ref="X256">INDEX(F232:V232,W256)</f>
        <v>Green</v>
      </c>
      <c r="Y256" s="9">
        <f>_xlfn.XLOOKUP(X256,refs!$A$2:$A$19,refs!$B$2:$B$19)</f>
        <v>5</v>
      </c>
      <c r="Z256" s="77" t="str" cm="1">
        <f t="array" ref="Z256">INDEX($F$3:$V$3,W256)</f>
        <v>#D5</v>
      </c>
      <c r="AA256" s="74">
        <f>IF(C256="x",Y256,_xlfn.XLOOKUP(C231,refs!$A$2:$A$19,refs!$B$2:$B$19))</f>
        <v>5</v>
      </c>
      <c r="AB256" s="61" t="str">
        <f t="shared" si="52"/>
        <v>.20.col=5,mute=0,</v>
      </c>
      <c r="AC256" s="62" t="str">
        <f t="shared" si="53"/>
        <v>.20.tags=#D5,</v>
      </c>
      <c r="AD256" s="62" t="str">
        <f t="shared" si="55"/>
        <v>.20.name=ANNIE.maid,</v>
      </c>
      <c r="AE256" s="62" t="str">
        <f t="shared" si="54"/>
        <v>..20.postins.on=0,mode=FX,</v>
      </c>
      <c r="AF256" s="63"/>
    </row>
    <row r="257" spans="1:32" ht="13.5" customHeight="1" x14ac:dyDescent="0.25">
      <c r="A257" s="97">
        <f t="shared" si="48"/>
        <v>21</v>
      </c>
      <c r="B257" s="5"/>
      <c r="C257" s="25" t="s">
        <v>21</v>
      </c>
      <c r="D257" s="91" t="s">
        <v>65</v>
      </c>
      <c r="E257" s="21">
        <f t="shared" si="49"/>
        <v>1</v>
      </c>
      <c r="F257" s="6"/>
      <c r="G257" s="6"/>
      <c r="H257" s="6"/>
      <c r="I257" s="83"/>
      <c r="J257" s="6" t="s">
        <v>21</v>
      </c>
      <c r="K257" s="6"/>
      <c r="L257" s="6"/>
      <c r="M257" s="83"/>
      <c r="N257" s="6"/>
      <c r="O257" s="6"/>
      <c r="P257" s="6"/>
      <c r="Q257" s="83"/>
      <c r="R257" s="6"/>
      <c r="S257" s="6"/>
      <c r="T257" s="6"/>
      <c r="U257" s="6"/>
      <c r="V257" s="52" t="str">
        <f t="shared" si="50"/>
        <v/>
      </c>
      <c r="W257" s="34">
        <f t="shared" si="51"/>
        <v>5</v>
      </c>
      <c r="X257" s="9" t="str" cm="1">
        <f t="array" ref="X257">INDEX(F232:V232,W257)</f>
        <v>Green</v>
      </c>
      <c r="Y257" s="9">
        <f>_xlfn.XLOOKUP(X257,refs!$A$2:$A$19,refs!$B$2:$B$19)</f>
        <v>5</v>
      </c>
      <c r="Z257" s="77" t="str" cm="1">
        <f t="array" ref="Z257">INDEX($F$3:$V$3,W257)</f>
        <v>#D5</v>
      </c>
      <c r="AA257" s="74">
        <f>IF(C257="x",Y257,_xlfn.XLOOKUP(C231,refs!$A$2:$A$19,refs!$B$2:$B$19))</f>
        <v>5</v>
      </c>
      <c r="AB257" s="61" t="str">
        <f t="shared" si="52"/>
        <v>.21.col=5,mute=0,</v>
      </c>
      <c r="AC257" s="62" t="str">
        <f t="shared" si="53"/>
        <v>.21.tags=#D5,</v>
      </c>
      <c r="AD257" s="62" t="str">
        <f>"/ch."&amp;A257&amp;".name="&amp;LEFT(D257,16)&amp;","</f>
        <v>/ch.21.name=KARA.maid,</v>
      </c>
      <c r="AE257" s="62" t="str">
        <f>"/ch."&amp;A257&amp;".postins.on="&amp;IF(B257="x",1,IF(B257="y",1,0))&amp;",mode="&amp;IF(B257="x","AUTO_X",IF(B257="y","AUTO_Y","FX"))&amp;","</f>
        <v>/ch.21.postins.on=0,mode=FX,</v>
      </c>
      <c r="AF257" s="63"/>
    </row>
    <row r="258" spans="1:32" ht="13.5" customHeight="1" x14ac:dyDescent="0.25">
      <c r="A258" s="97">
        <f t="shared" si="48"/>
        <v>22</v>
      </c>
      <c r="B258" s="5"/>
      <c r="C258" s="25" t="s">
        <v>21</v>
      </c>
      <c r="D258" s="92" t="s">
        <v>66</v>
      </c>
      <c r="E258" s="21">
        <f t="shared" si="49"/>
        <v>1</v>
      </c>
      <c r="F258" s="6"/>
      <c r="G258" s="6"/>
      <c r="H258" s="6"/>
      <c r="I258" s="83"/>
      <c r="J258" s="6"/>
      <c r="K258" s="6" t="s">
        <v>21</v>
      </c>
      <c r="L258" s="6"/>
      <c r="M258" s="83"/>
      <c r="N258" s="6"/>
      <c r="O258" s="6"/>
      <c r="P258" s="6"/>
      <c r="Q258" s="83"/>
      <c r="R258" s="6"/>
      <c r="S258" s="6"/>
      <c r="T258" s="6"/>
      <c r="U258" s="6"/>
      <c r="V258" s="52" t="str">
        <f t="shared" si="50"/>
        <v/>
      </c>
      <c r="W258" s="34">
        <f t="shared" si="51"/>
        <v>6</v>
      </c>
      <c r="X258" s="9" t="str" cm="1">
        <f t="array" ref="X258">INDEX(F232:V232,W258)</f>
        <v>Turquoise</v>
      </c>
      <c r="Y258" s="9">
        <f>_xlfn.XLOOKUP(X258,refs!$A$2:$A$19,refs!$B$2:$B$19)</f>
        <v>4</v>
      </c>
      <c r="Z258" s="77" t="str" cm="1">
        <f t="array" ref="Z258">INDEX($F$3:$V$3,W258)</f>
        <v>#D6</v>
      </c>
      <c r="AA258" s="74">
        <f>IF(C258="x",Y258,_xlfn.XLOOKUP(C231,refs!$A$2:$A$19,refs!$B$2:$B$19))</f>
        <v>4</v>
      </c>
      <c r="AB258" s="61" t="str">
        <f t="shared" si="52"/>
        <v>.22.col=4,mute=0,</v>
      </c>
      <c r="AC258" s="62" t="str">
        <f t="shared" si="53"/>
        <v>.22.tags=#D6,</v>
      </c>
      <c r="AD258" s="62" t="str">
        <f t="shared" ref="AD258:AD276" si="56">"."&amp;A258&amp;".name="&amp;LEFT(D258,16)&amp;","</f>
        <v>.22.name=GENEVIEVE.leewar,</v>
      </c>
      <c r="AE258" s="62" t="str">
        <f t="shared" ref="AE258:AE276" si="57">".."&amp;A258&amp;".postins.on="&amp;IF(B258="x",1,IF(B258="y",1,0))&amp;",mode="&amp;IF(B258="x","AUTO_X",IF(B258="y","AUTO_Y","FX"))&amp;","</f>
        <v>..22.postins.on=0,mode=FX,</v>
      </c>
      <c r="AF258" s="63"/>
    </row>
    <row r="259" spans="1:32" ht="13.5" customHeight="1" x14ac:dyDescent="0.25">
      <c r="A259" s="97">
        <f t="shared" si="48"/>
        <v>23</v>
      </c>
      <c r="B259" s="5"/>
      <c r="C259" s="25" t="s">
        <v>21</v>
      </c>
      <c r="D259" s="92" t="s">
        <v>67</v>
      </c>
      <c r="E259" s="21">
        <f t="shared" si="49"/>
        <v>1</v>
      </c>
      <c r="F259" s="6"/>
      <c r="G259" s="6"/>
      <c r="H259" s="6"/>
      <c r="I259" s="83"/>
      <c r="J259" s="6"/>
      <c r="K259" s="6" t="s">
        <v>21</v>
      </c>
      <c r="L259" s="6"/>
      <c r="M259" s="83"/>
      <c r="N259" s="6"/>
      <c r="O259" s="6"/>
      <c r="P259" s="6"/>
      <c r="Q259" s="83"/>
      <c r="R259" s="6"/>
      <c r="S259" s="6"/>
      <c r="T259" s="6"/>
      <c r="U259" s="6"/>
      <c r="V259" s="52" t="str">
        <f t="shared" si="50"/>
        <v/>
      </c>
      <c r="W259" s="34">
        <f t="shared" si="51"/>
        <v>6</v>
      </c>
      <c r="X259" s="9" t="str" cm="1">
        <f t="array" ref="X259">INDEX(F232:V232,W259)</f>
        <v>Turquoise</v>
      </c>
      <c r="Y259" s="9">
        <f>_xlfn.XLOOKUP(X259,refs!$A$2:$A$19,refs!$B$2:$B$19)</f>
        <v>4</v>
      </c>
      <c r="Z259" s="77" t="str" cm="1">
        <f t="array" ref="Z259">INDEX($F$3:$V$3,W259)</f>
        <v>#D6</v>
      </c>
      <c r="AA259" s="74">
        <f>IF(C259="x",Y259,_xlfn.XLOOKUP(C231,refs!$A$2:$A$19,refs!$B$2:$B$19))</f>
        <v>4</v>
      </c>
      <c r="AB259" s="61" t="str">
        <f t="shared" si="52"/>
        <v>.23.col=4,mute=0,</v>
      </c>
      <c r="AC259" s="62" t="str">
        <f t="shared" si="53"/>
        <v>.23.tags=#D6,</v>
      </c>
      <c r="AD259" s="62" t="str">
        <f t="shared" si="56"/>
        <v>.23.name=JOCELYN.windward,</v>
      </c>
      <c r="AE259" s="62" t="str">
        <f t="shared" si="57"/>
        <v>..23.postins.on=0,mode=FX,</v>
      </c>
      <c r="AF259" s="63"/>
    </row>
    <row r="260" spans="1:32" ht="13.5" customHeight="1" x14ac:dyDescent="0.25">
      <c r="A260" s="97">
        <f t="shared" si="48"/>
        <v>24</v>
      </c>
      <c r="B260" s="5"/>
      <c r="C260" s="25"/>
      <c r="D260" s="93" t="s">
        <v>68</v>
      </c>
      <c r="E260" s="21">
        <f t="shared" si="49"/>
        <v>0</v>
      </c>
      <c r="F260" s="6"/>
      <c r="G260" s="6"/>
      <c r="H260" s="6"/>
      <c r="I260" s="83"/>
      <c r="J260" s="6"/>
      <c r="K260" s="6"/>
      <c r="L260" s="6"/>
      <c r="M260" s="83"/>
      <c r="N260" s="6"/>
      <c r="O260" s="6"/>
      <c r="P260" s="6"/>
      <c r="Q260" s="83"/>
      <c r="R260" s="6"/>
      <c r="S260" s="6"/>
      <c r="T260" s="6"/>
      <c r="U260" s="6"/>
      <c r="V260" s="52" t="str">
        <f t="shared" si="50"/>
        <v>x</v>
      </c>
      <c r="W260" s="34">
        <f t="shared" si="51"/>
        <v>17</v>
      </c>
      <c r="X260" s="9" t="str" cm="1">
        <f t="array" ref="X260">INDEX(F232:V232,W260)</f>
        <v>White</v>
      </c>
      <c r="Y260" s="9">
        <f>_xlfn.XLOOKUP(X260,refs!$A$2:$A$19,refs!$B$2:$B$19)</f>
        <v>18</v>
      </c>
      <c r="Z260" s="77" t="str" cm="1">
        <f t="array" ref="Z260">INDEX($F$3:$V$3,W260)</f>
        <v/>
      </c>
      <c r="AA260" s="74">
        <f>IF(C260="x",Y260,_xlfn.XLOOKUP(C231,refs!$A$2:$A$19,refs!$B$2:$B$19))</f>
        <v>17</v>
      </c>
      <c r="AB260" s="61" t="str">
        <f t="shared" si="52"/>
        <v>.24.col=17,mute=1,</v>
      </c>
      <c r="AC260" s="62" t="str">
        <f t="shared" si="53"/>
        <v>.24.tags=,</v>
      </c>
      <c r="AD260" s="62" t="str">
        <f t="shared" si="56"/>
        <v>.24.name=.,</v>
      </c>
      <c r="AE260" s="62" t="str">
        <f t="shared" si="57"/>
        <v>..24.postins.on=0,mode=FX,</v>
      </c>
      <c r="AF260" s="63"/>
    </row>
    <row r="261" spans="1:32" ht="13.5" customHeight="1" x14ac:dyDescent="0.25">
      <c r="A261" s="97">
        <f t="shared" si="48"/>
        <v>25</v>
      </c>
      <c r="B261" s="5"/>
      <c r="C261" s="25" t="s">
        <v>21</v>
      </c>
      <c r="D261" s="89" t="s">
        <v>69</v>
      </c>
      <c r="E261" s="21">
        <f t="shared" si="49"/>
        <v>1</v>
      </c>
      <c r="F261" s="6"/>
      <c r="G261" s="6"/>
      <c r="H261" s="6" t="s">
        <v>21</v>
      </c>
      <c r="I261" s="83"/>
      <c r="J261" s="6"/>
      <c r="K261" s="6"/>
      <c r="L261" s="6"/>
      <c r="M261" s="83"/>
      <c r="N261" s="6"/>
      <c r="O261" s="6"/>
      <c r="P261" s="6"/>
      <c r="Q261" s="83"/>
      <c r="R261" s="6"/>
      <c r="S261" s="6"/>
      <c r="T261" s="6"/>
      <c r="U261" s="6"/>
      <c r="V261" s="52" t="str">
        <f t="shared" si="50"/>
        <v/>
      </c>
      <c r="W261" s="34">
        <f t="shared" si="51"/>
        <v>3</v>
      </c>
      <c r="X261" s="9" t="str" cm="1">
        <f t="array" ref="X261">INDEX(F232:V232,W261)</f>
        <v>Brown</v>
      </c>
      <c r="Y261" s="9">
        <f>_xlfn.XLOOKUP(X261,refs!$A$2:$A$19,refs!$B$2:$B$19)</f>
        <v>8</v>
      </c>
      <c r="Z261" s="77" t="str" cm="1">
        <f t="array" ref="Z261">INDEX($F$3:$V$3,W261)</f>
        <v>#D3</v>
      </c>
      <c r="AA261" s="74">
        <f>IF(C261="x",Y261,_xlfn.XLOOKUP(C231,refs!$A$2:$A$19,refs!$B$2:$B$19))</f>
        <v>8</v>
      </c>
      <c r="AB261" s="61" t="str">
        <f t="shared" si="52"/>
        <v>.25.col=8,mute=0,</v>
      </c>
      <c r="AC261" s="62" t="str">
        <f t="shared" si="53"/>
        <v>.25.tags=#D3,</v>
      </c>
      <c r="AD261" s="62" t="str">
        <f t="shared" si="56"/>
        <v>.25.name=ROBERT.sail,</v>
      </c>
      <c r="AE261" s="62" t="str">
        <f t="shared" si="57"/>
        <v>..25.postins.on=0,mode=FX,</v>
      </c>
      <c r="AF261" s="63"/>
    </row>
    <row r="262" spans="1:32" ht="13.5" customHeight="1" x14ac:dyDescent="0.25">
      <c r="A262" s="97">
        <f t="shared" si="48"/>
        <v>26</v>
      </c>
      <c r="B262" s="5"/>
      <c r="C262" s="25" t="s">
        <v>21</v>
      </c>
      <c r="D262" s="89" t="s">
        <v>70</v>
      </c>
      <c r="E262" s="21">
        <f t="shared" si="49"/>
        <v>1</v>
      </c>
      <c r="F262" s="6"/>
      <c r="G262" s="6"/>
      <c r="H262" s="6" t="s">
        <v>21</v>
      </c>
      <c r="I262" s="83"/>
      <c r="J262" s="6"/>
      <c r="K262" s="6"/>
      <c r="L262" s="6"/>
      <c r="M262" s="83"/>
      <c r="N262" s="6"/>
      <c r="O262" s="6"/>
      <c r="P262" s="6"/>
      <c r="Q262" s="83"/>
      <c r="R262" s="6"/>
      <c r="S262" s="6"/>
      <c r="T262" s="6"/>
      <c r="U262" s="6"/>
      <c r="V262" s="52" t="str">
        <f t="shared" si="50"/>
        <v/>
      </c>
      <c r="W262" s="34">
        <f t="shared" si="51"/>
        <v>3</v>
      </c>
      <c r="X262" s="9" t="str" cm="1">
        <f t="array" ref="X262">INDEX(F232:V232,W262)</f>
        <v>Brown</v>
      </c>
      <c r="Y262" s="9">
        <f>_xlfn.XLOOKUP(X262,refs!$A$2:$A$19,refs!$B$2:$B$19)</f>
        <v>8</v>
      </c>
      <c r="Z262" s="77" t="str" cm="1">
        <f t="array" ref="Z262">INDEX($F$3:$V$3,W262)</f>
        <v>#D3</v>
      </c>
      <c r="AA262" s="74">
        <f>IF(C262="x",Y262,_xlfn.XLOOKUP(C231,refs!$A$2:$A$19,refs!$B$2:$B$19))</f>
        <v>8</v>
      </c>
      <c r="AB262" s="61" t="str">
        <f t="shared" si="52"/>
        <v>.26.col=8,mute=0,</v>
      </c>
      <c r="AC262" s="62" t="str">
        <f t="shared" si="53"/>
        <v>.26.tags=#D3,</v>
      </c>
      <c r="AD262" s="62" t="str">
        <f t="shared" si="56"/>
        <v>.26.name=TOM.sail,</v>
      </c>
      <c r="AE262" s="62" t="str">
        <f t="shared" si="57"/>
        <v>..26.postins.on=0,mode=FX,</v>
      </c>
      <c r="AF262" s="63"/>
    </row>
    <row r="263" spans="1:32" ht="13.5" customHeight="1" x14ac:dyDescent="0.25">
      <c r="A263" s="97">
        <f t="shared" si="48"/>
        <v>27</v>
      </c>
      <c r="B263" s="5"/>
      <c r="C263" s="25" t="s">
        <v>21</v>
      </c>
      <c r="D263" s="89" t="s">
        <v>71</v>
      </c>
      <c r="E263" s="21">
        <f t="shared" si="49"/>
        <v>1</v>
      </c>
      <c r="F263" s="6"/>
      <c r="G263" s="6"/>
      <c r="H263" s="6" t="s">
        <v>21</v>
      </c>
      <c r="I263" s="83"/>
      <c r="J263" s="6"/>
      <c r="K263" s="6"/>
      <c r="L263" s="6"/>
      <c r="M263" s="83"/>
      <c r="N263" s="6"/>
      <c r="O263" s="6"/>
      <c r="P263" s="6"/>
      <c r="Q263" s="83"/>
      <c r="R263" s="6"/>
      <c r="S263" s="6"/>
      <c r="T263" s="6"/>
      <c r="U263" s="6"/>
      <c r="V263" s="52" t="str">
        <f t="shared" si="50"/>
        <v/>
      </c>
      <c r="W263" s="34">
        <f t="shared" si="51"/>
        <v>3</v>
      </c>
      <c r="X263" s="9" t="str" cm="1">
        <f t="array" ref="X263">INDEX(F232:V232,W263)</f>
        <v>Brown</v>
      </c>
      <c r="Y263" s="9">
        <f>_xlfn.XLOOKUP(X263,refs!$A$2:$A$19,refs!$B$2:$B$19)</f>
        <v>8</v>
      </c>
      <c r="Z263" s="77" t="str" cm="1">
        <f t="array" ref="Z263">INDEX($F$3:$V$3,W263)</f>
        <v>#D3</v>
      </c>
      <c r="AA263" s="74">
        <f>IF(C263="x",Y263,_xlfn.XLOOKUP(C231,refs!$A$2:$A$19,refs!$B$2:$B$19))</f>
        <v>8</v>
      </c>
      <c r="AB263" s="61" t="str">
        <f t="shared" si="52"/>
        <v>.27.col=8,mute=0,</v>
      </c>
      <c r="AC263" s="62" t="str">
        <f t="shared" si="53"/>
        <v>.27.tags=#D3,</v>
      </c>
      <c r="AD263" s="62" t="str">
        <f t="shared" si="56"/>
        <v>.27.name=BILL.sail,</v>
      </c>
      <c r="AE263" s="62" t="str">
        <f t="shared" si="57"/>
        <v>..27.postins.on=0,mode=FX,</v>
      </c>
      <c r="AF263" s="63"/>
    </row>
    <row r="264" spans="1:32" ht="13.5" customHeight="1" x14ac:dyDescent="0.25">
      <c r="A264" s="97">
        <f t="shared" si="48"/>
        <v>28</v>
      </c>
      <c r="B264" s="5"/>
      <c r="C264" s="25" t="s">
        <v>21</v>
      </c>
      <c r="D264" s="89" t="s">
        <v>72</v>
      </c>
      <c r="E264" s="21">
        <f t="shared" si="49"/>
        <v>1</v>
      </c>
      <c r="F264" s="6"/>
      <c r="G264" s="6"/>
      <c r="H264" s="6" t="s">
        <v>21</v>
      </c>
      <c r="I264" s="83"/>
      <c r="J264" s="6"/>
      <c r="K264" s="6"/>
      <c r="L264" s="6"/>
      <c r="M264" s="83"/>
      <c r="N264" s="6"/>
      <c r="O264" s="6"/>
      <c r="P264" s="6"/>
      <c r="Q264" s="83"/>
      <c r="R264" s="6"/>
      <c r="S264" s="6"/>
      <c r="T264" s="6"/>
      <c r="U264" s="6"/>
      <c r="V264" s="52" t="str">
        <f t="shared" si="50"/>
        <v/>
      </c>
      <c r="W264" s="34">
        <f t="shared" si="51"/>
        <v>3</v>
      </c>
      <c r="X264" s="9" t="str" cm="1">
        <f t="array" ref="X264">INDEX(F232:V232,W264)</f>
        <v>Brown</v>
      </c>
      <c r="Y264" s="9">
        <f>_xlfn.XLOOKUP(X264,refs!$A$2:$A$19,refs!$B$2:$B$19)</f>
        <v>8</v>
      </c>
      <c r="Z264" s="77" t="str" cm="1">
        <f t="array" ref="Z264">INDEX($F$3:$V$3,W264)</f>
        <v>#D3</v>
      </c>
      <c r="AA264" s="74">
        <f>IF(C264="x",Y264,_xlfn.XLOOKUP(C231,refs!$A$2:$A$19,refs!$B$2:$B$19))</f>
        <v>8</v>
      </c>
      <c r="AB264" s="61" t="str">
        <f t="shared" si="52"/>
        <v>.28.col=8,mute=0,</v>
      </c>
      <c r="AC264" s="62" t="str">
        <f t="shared" si="53"/>
        <v>.28.tags=#D3,</v>
      </c>
      <c r="AD264" s="62" t="str">
        <f t="shared" si="56"/>
        <v>.28.name=DENNIS.sail,</v>
      </c>
      <c r="AE264" s="62" t="str">
        <f t="shared" si="57"/>
        <v>..28.postins.on=0,mode=FX,</v>
      </c>
      <c r="AF264" s="63"/>
    </row>
    <row r="265" spans="1:32" ht="13.5" customHeight="1" x14ac:dyDescent="0.25">
      <c r="A265" s="97">
        <f t="shared" si="48"/>
        <v>29</v>
      </c>
      <c r="B265" s="5"/>
      <c r="C265" s="25" t="s">
        <v>21</v>
      </c>
      <c r="D265" s="89" t="s">
        <v>73</v>
      </c>
      <c r="E265" s="21">
        <f t="shared" si="49"/>
        <v>1</v>
      </c>
      <c r="F265" s="6"/>
      <c r="G265" s="6"/>
      <c r="H265" s="6" t="s">
        <v>21</v>
      </c>
      <c r="I265" s="83"/>
      <c r="J265" s="6"/>
      <c r="K265" s="6"/>
      <c r="L265" s="6"/>
      <c r="M265" s="83"/>
      <c r="N265" s="6"/>
      <c r="O265" s="6"/>
      <c r="P265" s="6"/>
      <c r="Q265" s="83"/>
      <c r="R265" s="6"/>
      <c r="S265" s="6"/>
      <c r="T265" s="6"/>
      <c r="U265" s="6"/>
      <c r="V265" s="52" t="str">
        <f t="shared" si="50"/>
        <v/>
      </c>
      <c r="W265" s="34">
        <f t="shared" si="51"/>
        <v>3</v>
      </c>
      <c r="X265" s="9" t="str" cm="1">
        <f t="array" ref="X265">INDEX(F232:V232,W265)</f>
        <v>Brown</v>
      </c>
      <c r="Y265" s="9">
        <f>_xlfn.XLOOKUP(X265,refs!$A$2:$A$19,refs!$B$2:$B$19)</f>
        <v>8</v>
      </c>
      <c r="Z265" s="77" t="str" cm="1">
        <f t="array" ref="Z265">INDEX($F$3:$V$3,W265)</f>
        <v>#D3</v>
      </c>
      <c r="AA265" s="74">
        <f>IF(C265="x",Y265,_xlfn.XLOOKUP(C231,refs!$A$2:$A$19,refs!$B$2:$B$19))</f>
        <v>8</v>
      </c>
      <c r="AB265" s="61" t="str">
        <f t="shared" si="52"/>
        <v>.29.col=8,mute=0,</v>
      </c>
      <c r="AC265" s="62" t="str">
        <f t="shared" si="53"/>
        <v>.29.tags=#D3,</v>
      </c>
      <c r="AD265" s="62" t="str">
        <f t="shared" si="56"/>
        <v>.29.name=JOSHUA.sail,</v>
      </c>
      <c r="AE265" s="62" t="str">
        <f t="shared" si="57"/>
        <v>..29.postins.on=0,mode=FX,</v>
      </c>
      <c r="AF265" s="63"/>
    </row>
    <row r="266" spans="1:32" ht="13.5" customHeight="1" x14ac:dyDescent="0.25">
      <c r="A266" s="97">
        <f t="shared" si="48"/>
        <v>30</v>
      </c>
      <c r="B266" s="5"/>
      <c r="C266" s="25" t="s">
        <v>21</v>
      </c>
      <c r="D266" s="89" t="s">
        <v>74</v>
      </c>
      <c r="E266" s="21">
        <f t="shared" si="49"/>
        <v>1</v>
      </c>
      <c r="F266" s="6"/>
      <c r="G266" s="6"/>
      <c r="H266" s="6" t="s">
        <v>21</v>
      </c>
      <c r="I266" s="83"/>
      <c r="J266" s="6"/>
      <c r="K266" s="6"/>
      <c r="L266" s="6"/>
      <c r="M266" s="83"/>
      <c r="N266" s="6"/>
      <c r="O266" s="6"/>
      <c r="P266" s="6"/>
      <c r="Q266" s="83"/>
      <c r="R266" s="6"/>
      <c r="S266" s="6"/>
      <c r="T266" s="6"/>
      <c r="U266" s="6"/>
      <c r="V266" s="52" t="str">
        <f t="shared" si="50"/>
        <v/>
      </c>
      <c r="W266" s="34">
        <f t="shared" si="51"/>
        <v>3</v>
      </c>
      <c r="X266" s="9" t="str" cm="1">
        <f t="array" ref="X266">INDEX(F232:V232,W266)</f>
        <v>Brown</v>
      </c>
      <c r="Y266" s="9">
        <f>_xlfn.XLOOKUP(X266,refs!$A$2:$A$19,refs!$B$2:$B$19)</f>
        <v>8</v>
      </c>
      <c r="Z266" s="77" t="str" cm="1">
        <f t="array" ref="Z266">INDEX($F$3:$V$3,W266)</f>
        <v>#D3</v>
      </c>
      <c r="AA266" s="74">
        <f>IF(C266="x",Y266,_xlfn.XLOOKUP(C231,refs!$A$2:$A$19,refs!$B$2:$B$19))</f>
        <v>8</v>
      </c>
      <c r="AB266" s="61" t="str">
        <f t="shared" si="52"/>
        <v>.30.col=8,mute=0,</v>
      </c>
      <c r="AC266" s="62" t="str">
        <f t="shared" si="53"/>
        <v>.30.tags=#D3,</v>
      </c>
      <c r="AD266" s="62" t="str">
        <f t="shared" si="56"/>
        <v>.30.name=RAY.sail,</v>
      </c>
      <c r="AE266" s="62" t="str">
        <f t="shared" si="57"/>
        <v>..30.postins.on=0,mode=FX,</v>
      </c>
      <c r="AF266" s="63"/>
    </row>
    <row r="267" spans="1:32" ht="13.5" customHeight="1" x14ac:dyDescent="0.25">
      <c r="A267" s="97">
        <f t="shared" si="48"/>
        <v>31</v>
      </c>
      <c r="B267" s="5"/>
      <c r="C267" s="25" t="s">
        <v>21</v>
      </c>
      <c r="D267" s="89" t="s">
        <v>75</v>
      </c>
      <c r="E267" s="21">
        <f t="shared" si="49"/>
        <v>1</v>
      </c>
      <c r="F267" s="6"/>
      <c r="G267" s="6"/>
      <c r="H267" s="6" t="s">
        <v>21</v>
      </c>
      <c r="I267" s="83"/>
      <c r="J267" s="6"/>
      <c r="K267" s="6"/>
      <c r="L267" s="6"/>
      <c r="M267" s="83"/>
      <c r="N267" s="6"/>
      <c r="O267" s="6"/>
      <c r="P267" s="6"/>
      <c r="Q267" s="83"/>
      <c r="R267" s="6"/>
      <c r="S267" s="6"/>
      <c r="T267" s="6"/>
      <c r="U267" s="6"/>
      <c r="V267" s="52" t="str">
        <f t="shared" si="50"/>
        <v/>
      </c>
      <c r="W267" s="34">
        <f t="shared" si="51"/>
        <v>3</v>
      </c>
      <c r="X267" s="9" t="str" cm="1">
        <f t="array" ref="X267">INDEX(F232:V232,W267)</f>
        <v>Brown</v>
      </c>
      <c r="Y267" s="9">
        <f>_xlfn.XLOOKUP(X267,refs!$A$2:$A$19,refs!$B$2:$B$19)</f>
        <v>8</v>
      </c>
      <c r="Z267" s="77" t="str" cm="1">
        <f t="array" ref="Z267">INDEX($F$3:$V$3,W267)</f>
        <v>#D3</v>
      </c>
      <c r="AA267" s="74">
        <f>IF(C267="x",Y267,_xlfn.XLOOKUP(C231,refs!$A$2:$A$19,refs!$B$2:$B$19))</f>
        <v>8</v>
      </c>
      <c r="AB267" s="61" t="str">
        <f t="shared" si="52"/>
        <v>.31.col=8,mute=0,</v>
      </c>
      <c r="AC267" s="62" t="str">
        <f t="shared" si="53"/>
        <v>.31.tags=#D3,</v>
      </c>
      <c r="AD267" s="62" t="str">
        <f t="shared" si="56"/>
        <v>.31.name=WILL.sail,</v>
      </c>
      <c r="AE267" s="62" t="str">
        <f t="shared" si="57"/>
        <v>..31.postins.on=0,mode=FX,</v>
      </c>
      <c r="AF267" s="63"/>
    </row>
    <row r="268" spans="1:32" ht="13.5" customHeight="1" x14ac:dyDescent="0.25">
      <c r="A268" s="97">
        <f t="shared" si="48"/>
        <v>32</v>
      </c>
      <c r="B268" s="5"/>
      <c r="C268" s="25" t="s">
        <v>21</v>
      </c>
      <c r="D268" s="87" t="s">
        <v>76</v>
      </c>
      <c r="E268" s="21">
        <f t="shared" si="49"/>
        <v>1</v>
      </c>
      <c r="F268" s="6"/>
      <c r="G268" s="6"/>
      <c r="H268" s="6"/>
      <c r="I268" s="83"/>
      <c r="J268" s="6"/>
      <c r="K268" s="6"/>
      <c r="L268" s="6" t="s">
        <v>21</v>
      </c>
      <c r="M268" s="83"/>
      <c r="N268" s="6"/>
      <c r="O268" s="6"/>
      <c r="P268" s="6"/>
      <c r="Q268" s="83"/>
      <c r="R268" s="6"/>
      <c r="S268" s="6"/>
      <c r="T268" s="6"/>
      <c r="U268" s="6"/>
      <c r="V268" s="52" t="str">
        <f t="shared" si="50"/>
        <v/>
      </c>
      <c r="W268" s="34">
        <f t="shared" si="51"/>
        <v>7</v>
      </c>
      <c r="X268" s="9" t="str" cm="1">
        <f t="array" ref="X268">INDEX(F232:V232,W268)</f>
        <v>BrightB</v>
      </c>
      <c r="Y268" s="9">
        <f>_xlfn.XLOOKUP(X268,refs!$A$2:$A$19,refs!$B$2:$B$19)</f>
        <v>2</v>
      </c>
      <c r="Z268" s="77" t="str" cm="1">
        <f t="array" ref="Z268">INDEX($F$3:$V$3,W268)</f>
        <v>#D7</v>
      </c>
      <c r="AA268" s="74">
        <f>IF(C268="x",Y268,_xlfn.XLOOKUP(C231,refs!$A$2:$A$19,refs!$B$2:$B$19))</f>
        <v>2</v>
      </c>
      <c r="AB268" s="61" t="str">
        <f t="shared" si="52"/>
        <v>.32.col=2,mute=0,</v>
      </c>
      <c r="AC268" s="62" t="str">
        <f t="shared" si="53"/>
        <v>.32.tags=#D7,</v>
      </c>
      <c r="AD268" s="62" t="str">
        <f t="shared" si="56"/>
        <v>.32.name=PRISCILLA,</v>
      </c>
      <c r="AE268" s="62" t="str">
        <f t="shared" si="57"/>
        <v>..32.postins.on=0,mode=FX,</v>
      </c>
      <c r="AF268" s="63"/>
    </row>
    <row r="269" spans="1:32" ht="13.5" customHeight="1" x14ac:dyDescent="0.25">
      <c r="A269" s="97">
        <f t="shared" si="48"/>
        <v>33</v>
      </c>
      <c r="B269" s="5"/>
      <c r="C269" s="25" t="s">
        <v>21</v>
      </c>
      <c r="D269" s="87" t="s">
        <v>77</v>
      </c>
      <c r="E269" s="21">
        <f t="shared" si="49"/>
        <v>1</v>
      </c>
      <c r="F269" s="6"/>
      <c r="G269" s="6"/>
      <c r="H269" s="6"/>
      <c r="I269" s="83"/>
      <c r="J269" s="6"/>
      <c r="K269" s="6"/>
      <c r="L269" s="6" t="s">
        <v>21</v>
      </c>
      <c r="M269" s="83"/>
      <c r="N269" s="6"/>
      <c r="O269" s="6"/>
      <c r="P269" s="6"/>
      <c r="Q269" s="83"/>
      <c r="R269" s="6"/>
      <c r="S269" s="6"/>
      <c r="T269" s="6"/>
      <c r="U269" s="6"/>
      <c r="V269" s="52" t="str">
        <f t="shared" si="50"/>
        <v/>
      </c>
      <c r="W269" s="34">
        <f t="shared" si="51"/>
        <v>7</v>
      </c>
      <c r="X269" s="9" t="str" cm="1">
        <f t="array" ref="X269">INDEX(F232:V232,W269)</f>
        <v>BrightB</v>
      </c>
      <c r="Y269" s="9">
        <f>_xlfn.XLOOKUP(X269,refs!$A$2:$A$19,refs!$B$2:$B$19)</f>
        <v>2</v>
      </c>
      <c r="Z269" s="77" t="str" cm="1">
        <f t="array" ref="Z269">INDEX($F$3:$V$3,W269)</f>
        <v>#D7</v>
      </c>
      <c r="AA269" s="74">
        <f>IF(C269="x",Y269,_xlfn.XLOOKUP(C231,refs!$A$2:$A$19,refs!$B$2:$B$19))</f>
        <v>2</v>
      </c>
      <c r="AB269" s="61" t="str">
        <f t="shared" si="52"/>
        <v>.33.col=2,mute=0,</v>
      </c>
      <c r="AC269" s="62" t="str">
        <f t="shared" si="53"/>
        <v>.33.tags=#D7,</v>
      </c>
      <c r="AD269" s="62" t="str">
        <f t="shared" si="56"/>
        <v>.33.name=RACHELS,</v>
      </c>
      <c r="AE269" s="62" t="str">
        <f t="shared" si="57"/>
        <v>..33.postins.on=0,mode=FX,</v>
      </c>
      <c r="AF269" s="63"/>
    </row>
    <row r="270" spans="1:32" ht="13.5" customHeight="1" x14ac:dyDescent="0.25">
      <c r="A270" s="97">
        <f t="shared" si="48"/>
        <v>34</v>
      </c>
      <c r="B270" s="5"/>
      <c r="C270" s="25" t="s">
        <v>21</v>
      </c>
      <c r="D270" s="87" t="s">
        <v>78</v>
      </c>
      <c r="E270" s="21">
        <f t="shared" si="49"/>
        <v>1</v>
      </c>
      <c r="F270" s="6"/>
      <c r="G270" s="6"/>
      <c r="H270" s="6"/>
      <c r="I270" s="83"/>
      <c r="J270" s="6"/>
      <c r="K270" s="6"/>
      <c r="L270" s="6" t="s">
        <v>21</v>
      </c>
      <c r="M270" s="83"/>
      <c r="N270" s="6"/>
      <c r="O270" s="6"/>
      <c r="P270" s="6"/>
      <c r="Q270" s="83"/>
      <c r="R270" s="6"/>
      <c r="S270" s="6"/>
      <c r="T270" s="6"/>
      <c r="U270" s="6"/>
      <c r="V270" s="52" t="str">
        <f t="shared" si="50"/>
        <v/>
      </c>
      <c r="W270" s="34">
        <f t="shared" si="51"/>
        <v>7</v>
      </c>
      <c r="X270" s="9" t="str" cm="1">
        <f t="array" ref="X270">INDEX(F232:V232,W270)</f>
        <v>BrightB</v>
      </c>
      <c r="Y270" s="9">
        <f>_xlfn.XLOOKUP(X270,refs!$A$2:$A$19,refs!$B$2:$B$19)</f>
        <v>2</v>
      </c>
      <c r="Z270" s="77" t="str" cm="1">
        <f t="array" ref="Z270">INDEX($F$3:$V$3,W270)</f>
        <v>#D7</v>
      </c>
      <c r="AA270" s="74">
        <f>IF(C270="x",Y270,_xlfn.XLOOKUP(C231,refs!$A$2:$A$19,refs!$B$2:$B$19))</f>
        <v>2</v>
      </c>
      <c r="AB270" s="61" t="str">
        <f t="shared" si="52"/>
        <v>.34.col=2,mute=0,</v>
      </c>
      <c r="AC270" s="62" t="str">
        <f t="shared" si="53"/>
        <v>.34.tags=#D7,</v>
      </c>
      <c r="AD270" s="62" t="str">
        <f t="shared" si="56"/>
        <v>.34.name=JEN,</v>
      </c>
      <c r="AE270" s="62" t="str">
        <f t="shared" si="57"/>
        <v>..34.postins.on=0,mode=FX,</v>
      </c>
      <c r="AF270" s="63"/>
    </row>
    <row r="271" spans="1:32" ht="13.5" customHeight="1" x14ac:dyDescent="0.25">
      <c r="A271" s="97">
        <f t="shared" si="48"/>
        <v>35</v>
      </c>
      <c r="B271" s="5"/>
      <c r="C271" s="25" t="s">
        <v>21</v>
      </c>
      <c r="D271" s="94" t="s">
        <v>79</v>
      </c>
      <c r="E271" s="21">
        <f t="shared" si="49"/>
        <v>1</v>
      </c>
      <c r="F271" s="6"/>
      <c r="G271" s="6"/>
      <c r="H271" s="6"/>
      <c r="I271" s="83"/>
      <c r="J271" s="6"/>
      <c r="K271" s="6"/>
      <c r="L271" s="6"/>
      <c r="M271" s="83"/>
      <c r="N271" s="6"/>
      <c r="O271" s="6"/>
      <c r="P271" s="6" t="s">
        <v>21</v>
      </c>
      <c r="Q271" s="83"/>
      <c r="R271" s="6"/>
      <c r="S271" s="6"/>
      <c r="T271" s="6"/>
      <c r="U271" s="6"/>
      <c r="V271" s="52" t="str">
        <f t="shared" si="50"/>
        <v/>
      </c>
      <c r="W271" s="34">
        <f t="shared" si="51"/>
        <v>11</v>
      </c>
      <c r="X271" s="9" t="str" cm="1">
        <f t="array" ref="X271">INDEX(F232:V232,W271)</f>
        <v>Violet</v>
      </c>
      <c r="Y271" s="9">
        <f>_xlfn.XLOOKUP(X271,refs!$A$2:$A$19,refs!$B$2:$B$19)</f>
        <v>3</v>
      </c>
      <c r="Z271" s="77" t="str" cm="1">
        <f t="array" ref="Z271">INDEX($F$3:$V$3,W271)</f>
        <v>#D11</v>
      </c>
      <c r="AA271" s="74">
        <f>IF(C271="x",Y271,_xlfn.XLOOKUP(C231,refs!$A$2:$A$19,refs!$B$2:$B$19))</f>
        <v>3</v>
      </c>
      <c r="AB271" s="61" t="str">
        <f t="shared" si="52"/>
        <v>.35.col=3,mute=0,</v>
      </c>
      <c r="AC271" s="62" t="str">
        <f t="shared" si="53"/>
        <v>.35.tags=#D11,</v>
      </c>
      <c r="AD271" s="62" t="str">
        <f t="shared" si="56"/>
        <v>.35.name=OS1,</v>
      </c>
      <c r="AE271" s="62" t="str">
        <f t="shared" si="57"/>
        <v>..35.postins.on=0,mode=FX,</v>
      </c>
      <c r="AF271" s="63"/>
    </row>
    <row r="272" spans="1:32" ht="13.5" customHeight="1" x14ac:dyDescent="0.25">
      <c r="A272" s="97">
        <f t="shared" si="48"/>
        <v>36</v>
      </c>
      <c r="B272" s="5"/>
      <c r="C272" s="25" t="s">
        <v>21</v>
      </c>
      <c r="D272" s="94" t="s">
        <v>80</v>
      </c>
      <c r="E272" s="21">
        <f t="shared" si="49"/>
        <v>1</v>
      </c>
      <c r="F272" s="6"/>
      <c r="G272" s="6"/>
      <c r="H272" s="6"/>
      <c r="I272" s="83"/>
      <c r="J272" s="6"/>
      <c r="K272" s="6"/>
      <c r="L272" s="6"/>
      <c r="M272" s="83"/>
      <c r="N272" s="6"/>
      <c r="O272" s="6"/>
      <c r="P272" s="6" t="s">
        <v>21</v>
      </c>
      <c r="Q272" s="83"/>
      <c r="R272" s="6"/>
      <c r="S272" s="6"/>
      <c r="T272" s="6"/>
      <c r="U272" s="6"/>
      <c r="V272" s="52" t="str">
        <f t="shared" si="50"/>
        <v/>
      </c>
      <c r="W272" s="34">
        <f t="shared" si="51"/>
        <v>11</v>
      </c>
      <c r="X272" s="9" t="str" cm="1">
        <f t="array" ref="X272">INDEX(F232:V232,W272)</f>
        <v>Violet</v>
      </c>
      <c r="Y272" s="9">
        <f>_xlfn.XLOOKUP(X272,refs!$A$2:$A$19,refs!$B$2:$B$19)</f>
        <v>3</v>
      </c>
      <c r="Z272" s="77" t="str" cm="1">
        <f t="array" ref="Z272">INDEX($F$3:$V$3,W272)</f>
        <v>#D11</v>
      </c>
      <c r="AA272" s="74">
        <f>IF(C272="x",Y272,_xlfn.XLOOKUP(C231,refs!$A$2:$A$19,refs!$B$2:$B$19))</f>
        <v>3</v>
      </c>
      <c r="AB272" s="61" t="str">
        <f t="shared" si="52"/>
        <v>.36.col=3,mute=0,</v>
      </c>
      <c r="AC272" s="62" t="str">
        <f t="shared" si="53"/>
        <v>.36.tags=#D11,</v>
      </c>
      <c r="AD272" s="62" t="str">
        <f t="shared" si="56"/>
        <v>.36.name=OS2,</v>
      </c>
      <c r="AE272" s="62" t="str">
        <f t="shared" si="57"/>
        <v>..36.postins.on=0,mode=FX,</v>
      </c>
      <c r="AF272" s="63"/>
    </row>
    <row r="273" spans="1:32" ht="13.5" customHeight="1" x14ac:dyDescent="0.25">
      <c r="A273" s="97">
        <f t="shared" si="48"/>
        <v>37</v>
      </c>
      <c r="B273" s="5"/>
      <c r="C273" s="25"/>
      <c r="D273" s="93" t="s">
        <v>81</v>
      </c>
      <c r="E273" s="21">
        <f t="shared" si="49"/>
        <v>0</v>
      </c>
      <c r="F273" s="6"/>
      <c r="G273" s="6"/>
      <c r="H273" s="6"/>
      <c r="I273" s="83"/>
      <c r="J273" s="6"/>
      <c r="K273" s="6"/>
      <c r="L273" s="6"/>
      <c r="M273" s="83"/>
      <c r="N273" s="6"/>
      <c r="O273" s="6"/>
      <c r="P273" s="6"/>
      <c r="Q273" s="83"/>
      <c r="R273" s="6"/>
      <c r="S273" s="6"/>
      <c r="T273" s="6"/>
      <c r="U273" s="6"/>
      <c r="V273" s="52" t="str">
        <f t="shared" si="50"/>
        <v>x</v>
      </c>
      <c r="W273" s="34">
        <f t="shared" si="51"/>
        <v>17</v>
      </c>
      <c r="X273" s="9" t="str" cm="1">
        <f t="array" ref="X273">INDEX(F232:V232,W273)</f>
        <v>White</v>
      </c>
      <c r="Y273" s="9">
        <f>_xlfn.XLOOKUP(X273,refs!$A$2:$A$19,refs!$B$2:$B$19)</f>
        <v>18</v>
      </c>
      <c r="Z273" s="77" t="str" cm="1">
        <f t="array" ref="Z273">INDEX($F$3:$V$3,W273)</f>
        <v/>
      </c>
      <c r="AA273" s="74">
        <f>IF(C273="x",Y273,_xlfn.XLOOKUP(C231,refs!$A$2:$A$19,refs!$B$2:$B$19))</f>
        <v>17</v>
      </c>
      <c r="AB273" s="61" t="str">
        <f t="shared" si="52"/>
        <v>.37.col=17,mute=1,</v>
      </c>
      <c r="AC273" s="62" t="str">
        <f t="shared" si="53"/>
        <v>.37.tags=,</v>
      </c>
      <c r="AD273" s="62" t="str">
        <f t="shared" si="56"/>
        <v>.37.name=unusedos,</v>
      </c>
      <c r="AE273" s="62" t="str">
        <f t="shared" si="57"/>
        <v>..37.postins.on=0,mode=FX,</v>
      </c>
      <c r="AF273" s="63"/>
    </row>
    <row r="274" spans="1:32" ht="13.5" customHeight="1" x14ac:dyDescent="0.25">
      <c r="A274" s="97">
        <f t="shared" si="48"/>
        <v>38</v>
      </c>
      <c r="B274" s="5"/>
      <c r="C274" s="25" t="s">
        <v>21</v>
      </c>
      <c r="D274" s="95" t="s">
        <v>83</v>
      </c>
      <c r="E274" s="21">
        <f t="shared" si="49"/>
        <v>0</v>
      </c>
      <c r="F274" s="6"/>
      <c r="G274" s="6"/>
      <c r="H274" s="6"/>
      <c r="I274" s="83"/>
      <c r="J274" s="6"/>
      <c r="K274" s="6"/>
      <c r="L274" s="6"/>
      <c r="M274" s="83"/>
      <c r="N274" s="6"/>
      <c r="O274" s="6"/>
      <c r="P274" s="6"/>
      <c r="Q274" s="83"/>
      <c r="R274" s="6"/>
      <c r="S274" s="6"/>
      <c r="T274" s="6"/>
      <c r="U274" s="6"/>
      <c r="V274" s="52" t="str">
        <f t="shared" si="50"/>
        <v>x</v>
      </c>
      <c r="W274" s="34">
        <f t="shared" si="51"/>
        <v>17</v>
      </c>
      <c r="X274" s="9" t="str" cm="1">
        <f t="array" ref="X274">INDEX(F232:V232,W274)</f>
        <v>White</v>
      </c>
      <c r="Y274" s="9">
        <f>_xlfn.XLOOKUP(X274,refs!$A$2:$A$19,refs!$B$2:$B$19)</f>
        <v>18</v>
      </c>
      <c r="Z274" s="77" t="str" cm="1">
        <f t="array" ref="Z274">INDEX($F$3:$V$3,W274)</f>
        <v/>
      </c>
      <c r="AA274" s="74">
        <f>IF(C274="x",Y274,_xlfn.XLOOKUP(C231,refs!$A$2:$A$19,refs!$B$2:$B$19))</f>
        <v>18</v>
      </c>
      <c r="AB274" s="61" t="str">
        <f t="shared" si="52"/>
        <v>.38.col=18,mute=0,</v>
      </c>
      <c r="AC274" s="62" t="str">
        <f t="shared" si="53"/>
        <v>.38.tags=,</v>
      </c>
      <c r="AD274" s="62" t="str">
        <f t="shared" si="56"/>
        <v>.38.name=VOX.fr.ext,</v>
      </c>
      <c r="AE274" s="62" t="str">
        <f t="shared" si="57"/>
        <v>..38.postins.on=0,mode=FX,</v>
      </c>
      <c r="AF274" s="63"/>
    </row>
    <row r="275" spans="1:32" ht="13.5" customHeight="1" x14ac:dyDescent="0.25">
      <c r="A275" s="97">
        <f t="shared" si="48"/>
        <v>39</v>
      </c>
      <c r="B275" s="5"/>
      <c r="C275" s="25" t="s">
        <v>21</v>
      </c>
      <c r="D275" s="95" t="s">
        <v>82</v>
      </c>
      <c r="E275" s="21">
        <f t="shared" si="49"/>
        <v>0</v>
      </c>
      <c r="F275" s="6"/>
      <c r="G275" s="6"/>
      <c r="H275" s="6"/>
      <c r="I275" s="83"/>
      <c r="J275" s="6"/>
      <c r="K275" s="6"/>
      <c r="L275" s="6"/>
      <c r="M275" s="83"/>
      <c r="N275" s="6"/>
      <c r="O275" s="6"/>
      <c r="P275" s="6"/>
      <c r="Q275" s="83"/>
      <c r="R275" s="6"/>
      <c r="S275" s="6"/>
      <c r="T275" s="6"/>
      <c r="U275" s="6"/>
      <c r="V275" s="52" t="str">
        <f t="shared" si="50"/>
        <v>x</v>
      </c>
      <c r="W275" s="34">
        <f t="shared" si="51"/>
        <v>17</v>
      </c>
      <c r="X275" s="9" t="str" cm="1">
        <f t="array" ref="X275">INDEX(F232:V232,W275)</f>
        <v>White</v>
      </c>
      <c r="Y275" s="9">
        <f>_xlfn.XLOOKUP(X275,refs!$A$2:$A$19,refs!$B$2:$B$19)</f>
        <v>18</v>
      </c>
      <c r="Z275" s="77" t="str" cm="1">
        <f t="array" ref="Z275">INDEX($F$3:$V$3,W275)</f>
        <v/>
      </c>
      <c r="AA275" s="74">
        <f>IF(C275="x",Y275,_xlfn.XLOOKUP(C231,refs!$A$2:$A$19,refs!$B$2:$B$19))</f>
        <v>18</v>
      </c>
      <c r="AB275" s="61" t="str">
        <f t="shared" si="52"/>
        <v>.39.col=18,mute=0,</v>
      </c>
      <c r="AC275" s="62" t="str">
        <f t="shared" si="53"/>
        <v>.39.tags=,</v>
      </c>
      <c r="AD275" s="62" t="str">
        <f t="shared" si="56"/>
        <v>.39.name=INS.fr.ext,</v>
      </c>
      <c r="AE275" s="62" t="str">
        <f t="shared" si="57"/>
        <v>..39.postins.on=0,mode=FX,</v>
      </c>
      <c r="AF275" s="63"/>
    </row>
    <row r="276" spans="1:32" ht="13.5" customHeight="1" thickBot="1" x14ac:dyDescent="0.3">
      <c r="A276" s="97">
        <f t="shared" si="48"/>
        <v>40</v>
      </c>
      <c r="B276" s="5"/>
      <c r="C276" s="25" t="s">
        <v>21</v>
      </c>
      <c r="D276" s="95" t="s">
        <v>84</v>
      </c>
      <c r="E276" s="21">
        <f t="shared" si="49"/>
        <v>0</v>
      </c>
      <c r="F276" s="6"/>
      <c r="G276" s="6"/>
      <c r="H276" s="6"/>
      <c r="I276" s="83"/>
      <c r="J276" s="6"/>
      <c r="K276" s="6"/>
      <c r="L276" s="6"/>
      <c r="M276" s="83"/>
      <c r="N276" s="6"/>
      <c r="O276" s="6"/>
      <c r="P276" s="6"/>
      <c r="Q276" s="83"/>
      <c r="R276" s="6"/>
      <c r="S276" s="6"/>
      <c r="T276" s="6"/>
      <c r="U276" s="6"/>
      <c r="V276" s="52" t="str">
        <f t="shared" si="50"/>
        <v>x</v>
      </c>
      <c r="W276" s="35">
        <f t="shared" si="51"/>
        <v>17</v>
      </c>
      <c r="X276" s="39" t="str" cm="1">
        <f t="array" ref="X276">INDEX(F232:V232,W276)</f>
        <v>White</v>
      </c>
      <c r="Y276" s="39">
        <f>_xlfn.XLOOKUP(X276,refs!$A$2:$A$19,refs!$B$2:$B$19)</f>
        <v>18</v>
      </c>
      <c r="Z276" s="78" t="str" cm="1">
        <f t="array" ref="Z276">INDEX($F$3:$V$3,W276)</f>
        <v/>
      </c>
      <c r="AA276" s="75">
        <f>IF(C276="x",Y276,_xlfn.XLOOKUP(C231,refs!$A$2:$A$19,refs!$B$2:$B$19))</f>
        <v>18</v>
      </c>
      <c r="AB276" s="64" t="str">
        <f t="shared" si="52"/>
        <v>.40.col=18,mute=0,</v>
      </c>
      <c r="AC276" s="65" t="str">
        <f t="shared" si="53"/>
        <v>.40.tags=,</v>
      </c>
      <c r="AD276" s="62" t="str">
        <f t="shared" si="56"/>
        <v>.40.name=pass.fr.w2,</v>
      </c>
      <c r="AE276" s="65" t="str">
        <f t="shared" si="57"/>
        <v>..40.postins.on=0,mode=FX,</v>
      </c>
      <c r="AF276" s="66"/>
    </row>
    <row r="277" spans="1:32" s="2" customFormat="1" ht="22.5" customHeight="1" thickBot="1" x14ac:dyDescent="0.25">
      <c r="A277" s="53"/>
      <c r="B277" s="54"/>
      <c r="C277" s="54"/>
      <c r="D277" s="54"/>
      <c r="E277" s="54"/>
      <c r="F277" s="55" t="str">
        <f t="shared" ref="F277:U277" si="58">F234</f>
        <v>LEADS</v>
      </c>
      <c r="G277" s="55" t="str">
        <f t="shared" si="58"/>
        <v>FlotJet</v>
      </c>
      <c r="H277" s="55" t="str">
        <f t="shared" si="58"/>
        <v>Sail</v>
      </c>
      <c r="I277" s="55" t="str">
        <f t="shared" si="58"/>
        <v>Sisters</v>
      </c>
      <c r="J277" s="55" t="str">
        <f t="shared" si="58"/>
        <v>Maids</v>
      </c>
      <c r="K277" s="55" t="str">
        <f t="shared" si="58"/>
        <v>LeeWind</v>
      </c>
      <c r="L277" s="55" t="str">
        <f t="shared" si="58"/>
        <v>PrRaJen</v>
      </c>
      <c r="M277" s="55" t="str">
        <f t="shared" si="58"/>
        <v>.</v>
      </c>
      <c r="N277" s="55" t="str">
        <f t="shared" si="58"/>
        <v>.</v>
      </c>
      <c r="O277" s="55" t="str">
        <f t="shared" si="58"/>
        <v>.</v>
      </c>
      <c r="P277" s="55" t="str">
        <f t="shared" si="58"/>
        <v>OS</v>
      </c>
      <c r="Q277" s="55" t="str">
        <f t="shared" si="58"/>
        <v>VOX+.VRB</v>
      </c>
      <c r="R277" s="55" t="str">
        <f t="shared" si="58"/>
        <v>VOX_.VRB</v>
      </c>
      <c r="S277" s="55" t="str">
        <f t="shared" si="58"/>
        <v>INST+.VRB</v>
      </c>
      <c r="T277" s="55" t="str">
        <f t="shared" si="58"/>
        <v>INST_.VRB</v>
      </c>
      <c r="U277" s="55" t="str">
        <f t="shared" si="58"/>
        <v>MAINS</v>
      </c>
      <c r="V277" s="56"/>
    </row>
    <row r="278" spans="1:32" s="2" customFormat="1" ht="12" hidden="1" x14ac:dyDescent="0.2">
      <c r="A278" s="67" t="str">
        <f>D230&amp;"_ch_col_mute"</f>
        <v>w1_0005_ch_col_mute</v>
      </c>
      <c r="B278" s="68" t="str">
        <f>_xlfn.CONCAT(AB237:AB276)</f>
        <v>/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c r="C278" s="68"/>
      <c r="D278" s="68"/>
      <c r="E278" s="68"/>
      <c r="F278" s="69"/>
      <c r="G278" s="69"/>
      <c r="H278" s="69"/>
      <c r="I278" s="69"/>
      <c r="J278" s="69"/>
      <c r="K278" s="69"/>
      <c r="L278" s="69"/>
      <c r="M278" s="69"/>
      <c r="N278" s="69"/>
      <c r="O278" s="69"/>
      <c r="P278" s="69"/>
      <c r="Q278" s="69"/>
      <c r="R278" s="69"/>
      <c r="S278" s="69"/>
      <c r="T278" s="69"/>
      <c r="U278" s="69"/>
      <c r="V278" s="70"/>
    </row>
    <row r="279" spans="1:32" s="2" customFormat="1" ht="12" hidden="1" x14ac:dyDescent="0.2">
      <c r="A279" s="67" t="str">
        <f>D230&amp;"_ch_tags"</f>
        <v>w1_0005_ch_tags</v>
      </c>
      <c r="B279" s="68" t="str">
        <f>_xlfn.CONCAT(AC237:AC276)</f>
        <v>/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c r="C279" s="68"/>
      <c r="D279" s="68"/>
      <c r="E279" s="68"/>
      <c r="F279" s="69"/>
      <c r="G279" s="69"/>
      <c r="H279" s="69"/>
      <c r="I279" s="69"/>
      <c r="J279" s="69"/>
      <c r="K279" s="69"/>
      <c r="L279" s="69"/>
      <c r="M279" s="69"/>
      <c r="N279" s="69"/>
      <c r="O279" s="69"/>
      <c r="P279" s="69"/>
      <c r="Q279" s="69"/>
      <c r="R279" s="69"/>
      <c r="S279" s="69"/>
      <c r="T279" s="69"/>
      <c r="U279" s="69"/>
      <c r="V279" s="70"/>
    </row>
    <row r="280" spans="1:32" s="2" customFormat="1" ht="12" hidden="1" x14ac:dyDescent="0.2">
      <c r="A280" s="67" t="str">
        <f>D230&amp;"_ch_names_a"</f>
        <v>w1_0005_ch_names_a</v>
      </c>
      <c r="B280" s="68" t="str">
        <f>_xlfn.CONCAT(AD237:AD256)</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c r="C280" s="68"/>
      <c r="D280" s="68"/>
      <c r="E280" s="68"/>
      <c r="F280" s="69"/>
      <c r="G280" s="69"/>
      <c r="H280" s="69"/>
      <c r="I280" s="69"/>
      <c r="J280" s="69"/>
      <c r="K280" s="69"/>
      <c r="L280" s="69"/>
      <c r="M280" s="69"/>
      <c r="N280" s="69"/>
      <c r="O280" s="69"/>
      <c r="P280" s="69"/>
      <c r="Q280" s="69"/>
      <c r="R280" s="69"/>
      <c r="S280" s="69"/>
      <c r="T280" s="69"/>
      <c r="U280" s="69"/>
      <c r="V280" s="70"/>
    </row>
    <row r="281" spans="1:32" s="2" customFormat="1" ht="12" hidden="1" x14ac:dyDescent="0.2">
      <c r="A281" s="67" t="str">
        <f>D230&amp;"_ch_names_b"</f>
        <v>w1_0005_ch_names_b</v>
      </c>
      <c r="B281" s="68" t="str">
        <f>_xlfn.CONCAT(AD257:AD276)</f>
        <v>/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281" s="68"/>
      <c r="D281" s="68"/>
      <c r="E281" s="68"/>
      <c r="F281" s="69"/>
      <c r="G281" s="69"/>
      <c r="H281" s="69"/>
      <c r="I281" s="69"/>
      <c r="J281" s="69"/>
      <c r="K281" s="69"/>
      <c r="L281" s="69"/>
      <c r="M281" s="69"/>
      <c r="N281" s="69"/>
      <c r="O281" s="69"/>
      <c r="P281" s="69"/>
      <c r="Q281" s="69"/>
      <c r="R281" s="69"/>
      <c r="S281" s="69"/>
      <c r="T281" s="69"/>
      <c r="U281" s="69"/>
      <c r="V281" s="70"/>
    </row>
    <row r="282" spans="1:32" s="2" customFormat="1" ht="12" hidden="1" x14ac:dyDescent="0.2">
      <c r="A282" s="67" t="str">
        <f>D230&amp;"_ch_postins_a"</f>
        <v>w1_0005_ch_postins_a</v>
      </c>
      <c r="B282" s="68" t="str">
        <f>_xlfn.CONCAT(AE237:AE256)</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282" s="68"/>
      <c r="D282" s="68"/>
      <c r="E282" s="68"/>
      <c r="F282" s="69"/>
      <c r="G282" s="69"/>
      <c r="H282" s="69"/>
      <c r="I282" s="69"/>
      <c r="J282" s="69"/>
      <c r="K282" s="69"/>
      <c r="L282" s="69"/>
      <c r="M282" s="69"/>
      <c r="N282" s="69"/>
      <c r="O282" s="69"/>
      <c r="P282" s="69"/>
      <c r="Q282" s="69"/>
      <c r="R282" s="69"/>
      <c r="S282" s="69"/>
      <c r="T282" s="69"/>
      <c r="U282" s="69"/>
      <c r="V282" s="70"/>
    </row>
    <row r="283" spans="1:32" s="2" customFormat="1" ht="12" hidden="1" x14ac:dyDescent="0.2">
      <c r="A283" s="67" t="str">
        <f>D230&amp;"_ch_postins_b"</f>
        <v>w1_0005_ch_postins_b</v>
      </c>
      <c r="B283" s="68" t="str">
        <f>_xlfn.CONCAT(AE257:AE276)</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283" s="68"/>
      <c r="D283" s="68"/>
      <c r="E283" s="68"/>
      <c r="F283" s="69"/>
      <c r="G283" s="69"/>
      <c r="H283" s="69"/>
      <c r="I283" s="69"/>
      <c r="J283" s="69"/>
      <c r="K283" s="69"/>
      <c r="L283" s="69"/>
      <c r="M283" s="69"/>
      <c r="N283" s="69"/>
      <c r="O283" s="69"/>
      <c r="P283" s="69"/>
      <c r="Q283" s="69"/>
      <c r="R283" s="69"/>
      <c r="S283" s="69"/>
      <c r="T283" s="69"/>
      <c r="U283" s="69"/>
      <c r="V283" s="70"/>
    </row>
    <row r="284" spans="1:32" s="2" customFormat="1" ht="12" hidden="1" x14ac:dyDescent="0.2">
      <c r="A284" s="67" t="str">
        <f>D230&amp;"_dcas_amix"</f>
        <v>w1_0005_dcas_amix</v>
      </c>
      <c r="B284" s="68" t="str">
        <f>_xlfn.CONCAT(AF237:AF253)</f>
        <v>/dca.1.col=7,name=LEADS,.2.col=1,name=FlotJet,.3.col=2,name=Sail,.4.col=3,name=Sisters,.5.col=4,name=Maids,.6.col=5,name=LeeWind,.7.col=6,name=PrRaJen,.8.col=7,name=.,.9.col=8,name=.,.10.col=9,name=.,.11.col=10,name=OS,.12.col=11,name=VOX+.VRB,.13.col=12,name=VOX_.VRB,.14.col=13,name=INST+.VRB,.15.col=14,name=INST_.VRB,.16.col=15,name=MAINS,/cfg.amix.x=1,/cfg.amix.y=1,</v>
      </c>
      <c r="C284" s="68"/>
      <c r="D284" s="68"/>
      <c r="E284" s="68"/>
      <c r="F284" s="69"/>
      <c r="G284" s="69"/>
      <c r="H284" s="69"/>
      <c r="I284" s="69"/>
      <c r="J284" s="69"/>
      <c r="K284" s="69"/>
      <c r="L284" s="69"/>
      <c r="M284" s="69"/>
      <c r="N284" s="69"/>
      <c r="O284" s="69"/>
      <c r="P284" s="69"/>
      <c r="Q284" s="69"/>
      <c r="R284" s="69"/>
      <c r="S284" s="69"/>
      <c r="T284" s="69"/>
      <c r="U284" s="69"/>
      <c r="V284" s="70"/>
    </row>
    <row r="285" spans="1:32" ht="9" customHeight="1" x14ac:dyDescent="0.25">
      <c r="A285" s="45"/>
      <c r="B285" s="46"/>
      <c r="C285" s="46"/>
      <c r="D285" s="46"/>
      <c r="E285" s="47"/>
      <c r="F285" s="46"/>
      <c r="G285" s="46"/>
      <c r="H285" s="46"/>
      <c r="I285" s="46"/>
      <c r="J285" s="46"/>
      <c r="K285" s="46"/>
      <c r="L285" s="46"/>
      <c r="M285" s="46"/>
      <c r="N285" s="46"/>
      <c r="O285" s="46"/>
      <c r="P285" s="46"/>
      <c r="Q285" s="46"/>
      <c r="R285" s="46"/>
      <c r="S285" s="46"/>
      <c r="T285" s="46"/>
      <c r="U285" s="46"/>
      <c r="V285" s="48"/>
    </row>
  </sheetData>
  <phoneticPr fontId="4" type="noConversion"/>
  <conditionalFormatting sqref="C3">
    <cfRule type="cellIs" dxfId="184" priority="46708" stopIfTrue="1" operator="equal">
      <formula>"White"</formula>
    </cfRule>
    <cfRule type="cellIs" dxfId="183" priority="46709" stopIfTrue="1" operator="equal">
      <formula>"Gray"</formula>
    </cfRule>
    <cfRule type="cellIs" dxfId="182" priority="46710" stopIfTrue="1" operator="equal">
      <formula>"LightG"</formula>
    </cfRule>
    <cfRule type="cellIs" dxfId="181" priority="46711" stopIfTrue="1" operator="equal">
      <formula>"Green"</formula>
    </cfRule>
    <cfRule type="cellIs" dxfId="180" priority="46712" stopIfTrue="1" operator="equal">
      <formula>"OliveG"</formula>
    </cfRule>
    <cfRule type="cellIs" dxfId="179" priority="46713" stopIfTrue="1" operator="equal">
      <formula>"Brown"</formula>
    </cfRule>
    <cfRule type="cellIs" dxfId="178" priority="46714" stopIfTrue="1" operator="equal">
      <formula>"Coral"</formula>
    </cfRule>
    <cfRule type="cellIs" dxfId="177" priority="46715" stopIfTrue="1" operator="equal">
      <formula>"Tangerine"</formula>
    </cfRule>
    <cfRule type="cellIs" dxfId="176" priority="46716" stopIfTrue="1" operator="equal">
      <formula>"Red"</formula>
    </cfRule>
    <cfRule type="cellIs" dxfId="175" priority="46717" stopIfTrue="1" operator="equal">
      <formula>"Pink"</formula>
    </cfRule>
    <cfRule type="cellIs" dxfId="174" priority="46718" stopIfTrue="1" operator="equal">
      <formula>"DarkV"</formula>
    </cfRule>
    <cfRule type="cellIs" dxfId="173" priority="46719" stopIfTrue="1" operator="equal">
      <formula>"Turquoise"</formula>
    </cfRule>
    <cfRule type="cellIs" dxfId="172" priority="46720" stopIfTrue="1" operator="equal">
      <formula>"Gold"</formula>
    </cfRule>
    <cfRule type="cellIs" dxfId="171" priority="46721" stopIfTrue="1" operator="equal">
      <formula>"Yellow"</formula>
    </cfRule>
    <cfRule type="cellIs" dxfId="170" priority="46722" stopIfTrue="1" operator="equal">
      <formula>"Violet"</formula>
    </cfRule>
    <cfRule type="cellIs" dxfId="169" priority="46723" stopIfTrue="1" operator="equal">
      <formula>"LightB"</formula>
    </cfRule>
    <cfRule type="cellIs" dxfId="168" priority="46724" stopIfTrue="1" operator="equal">
      <formula>"MediumB"</formula>
    </cfRule>
    <cfRule type="cellIs" dxfId="167" priority="46725" stopIfTrue="1" operator="equal">
      <formula>"BrightB"</formula>
    </cfRule>
  </conditionalFormatting>
  <conditionalFormatting sqref="C9:C48">
    <cfRule type="cellIs" dxfId="166" priority="45885" stopIfTrue="1" operator="equal">
      <formula>"x"</formula>
    </cfRule>
  </conditionalFormatting>
  <conditionalFormatting sqref="C60">
    <cfRule type="cellIs" dxfId="165" priority="117" stopIfTrue="1" operator="equal">
      <formula>"White"</formula>
    </cfRule>
    <cfRule type="cellIs" dxfId="164" priority="118" stopIfTrue="1" operator="equal">
      <formula>"Gray"</formula>
    </cfRule>
    <cfRule type="cellIs" dxfId="163" priority="119" stopIfTrue="1" operator="equal">
      <formula>"LightG"</formula>
    </cfRule>
    <cfRule type="cellIs" dxfId="162" priority="120" stopIfTrue="1" operator="equal">
      <formula>"Green"</formula>
    </cfRule>
    <cfRule type="cellIs" dxfId="161" priority="121" stopIfTrue="1" operator="equal">
      <formula>"OliveG"</formula>
    </cfRule>
    <cfRule type="cellIs" dxfId="160" priority="122" stopIfTrue="1" operator="equal">
      <formula>"Brown"</formula>
    </cfRule>
    <cfRule type="cellIs" dxfId="159" priority="123" stopIfTrue="1" operator="equal">
      <formula>"Coral"</formula>
    </cfRule>
    <cfRule type="cellIs" dxfId="158" priority="124" stopIfTrue="1" operator="equal">
      <formula>"Tangerine"</formula>
    </cfRule>
    <cfRule type="cellIs" dxfId="157" priority="125" stopIfTrue="1" operator="equal">
      <formula>"Red"</formula>
    </cfRule>
    <cfRule type="cellIs" dxfId="156" priority="126" stopIfTrue="1" operator="equal">
      <formula>"Pink"</formula>
    </cfRule>
    <cfRule type="cellIs" dxfId="155" priority="127" stopIfTrue="1" operator="equal">
      <formula>"DarkV"</formula>
    </cfRule>
    <cfRule type="cellIs" dxfId="154" priority="128" stopIfTrue="1" operator="equal">
      <formula>"Turquoise"</formula>
    </cfRule>
    <cfRule type="cellIs" dxfId="153" priority="129" stopIfTrue="1" operator="equal">
      <formula>"Gold"</formula>
    </cfRule>
    <cfRule type="cellIs" dxfId="152" priority="130" stopIfTrue="1" operator="equal">
      <formula>"Yellow"</formula>
    </cfRule>
    <cfRule type="cellIs" dxfId="151" priority="131" stopIfTrue="1" operator="equal">
      <formula>"Violet"</formula>
    </cfRule>
    <cfRule type="cellIs" dxfId="150" priority="132" stopIfTrue="1" operator="equal">
      <formula>"LightB"</formula>
    </cfRule>
    <cfRule type="cellIs" dxfId="149" priority="133" stopIfTrue="1" operator="equal">
      <formula>"MediumB"</formula>
    </cfRule>
    <cfRule type="cellIs" dxfId="148" priority="134" stopIfTrue="1" operator="equal">
      <formula>"BrightB"</formula>
    </cfRule>
  </conditionalFormatting>
  <conditionalFormatting sqref="C66:C105">
    <cfRule type="cellIs" dxfId="147" priority="116" stopIfTrue="1" operator="equal">
      <formula>"x"</formula>
    </cfRule>
  </conditionalFormatting>
  <conditionalFormatting sqref="C117">
    <cfRule type="cellIs" dxfId="146" priority="80" stopIfTrue="1" operator="equal">
      <formula>"White"</formula>
    </cfRule>
    <cfRule type="cellIs" dxfId="145" priority="81" stopIfTrue="1" operator="equal">
      <formula>"Gray"</formula>
    </cfRule>
    <cfRule type="cellIs" dxfId="144" priority="82" stopIfTrue="1" operator="equal">
      <formula>"LightG"</formula>
    </cfRule>
    <cfRule type="cellIs" dxfId="143" priority="83" stopIfTrue="1" operator="equal">
      <formula>"Green"</formula>
    </cfRule>
    <cfRule type="cellIs" dxfId="142" priority="84" stopIfTrue="1" operator="equal">
      <formula>"OliveG"</formula>
    </cfRule>
    <cfRule type="cellIs" dxfId="141" priority="85" stopIfTrue="1" operator="equal">
      <formula>"Brown"</formula>
    </cfRule>
    <cfRule type="cellIs" dxfId="140" priority="86" stopIfTrue="1" operator="equal">
      <formula>"Coral"</formula>
    </cfRule>
    <cfRule type="cellIs" dxfId="139" priority="87" stopIfTrue="1" operator="equal">
      <formula>"Tangerine"</formula>
    </cfRule>
    <cfRule type="cellIs" dxfId="138" priority="88" stopIfTrue="1" operator="equal">
      <formula>"Red"</formula>
    </cfRule>
    <cfRule type="cellIs" dxfId="137" priority="89" stopIfTrue="1" operator="equal">
      <formula>"Pink"</formula>
    </cfRule>
    <cfRule type="cellIs" dxfId="136" priority="90" stopIfTrue="1" operator="equal">
      <formula>"DarkV"</formula>
    </cfRule>
    <cfRule type="cellIs" dxfId="135" priority="91" stopIfTrue="1" operator="equal">
      <formula>"Turquoise"</formula>
    </cfRule>
    <cfRule type="cellIs" dxfId="134" priority="92" stopIfTrue="1" operator="equal">
      <formula>"Gold"</formula>
    </cfRule>
    <cfRule type="cellIs" dxfId="133" priority="93" stopIfTrue="1" operator="equal">
      <formula>"Yellow"</formula>
    </cfRule>
    <cfRule type="cellIs" dxfId="132" priority="94" stopIfTrue="1" operator="equal">
      <formula>"Violet"</formula>
    </cfRule>
    <cfRule type="cellIs" dxfId="131" priority="95" stopIfTrue="1" operator="equal">
      <formula>"LightB"</formula>
    </cfRule>
    <cfRule type="cellIs" dxfId="130" priority="96" stopIfTrue="1" operator="equal">
      <formula>"MediumB"</formula>
    </cfRule>
    <cfRule type="cellIs" dxfId="129" priority="97" stopIfTrue="1" operator="equal">
      <formula>"BrightB"</formula>
    </cfRule>
  </conditionalFormatting>
  <conditionalFormatting sqref="C123:C162">
    <cfRule type="cellIs" dxfId="128" priority="79" stopIfTrue="1" operator="equal">
      <formula>"x"</formula>
    </cfRule>
  </conditionalFormatting>
  <conditionalFormatting sqref="C174">
    <cfRule type="cellIs" dxfId="127" priority="43" stopIfTrue="1" operator="equal">
      <formula>"White"</formula>
    </cfRule>
    <cfRule type="cellIs" dxfId="126" priority="44" stopIfTrue="1" operator="equal">
      <formula>"Gray"</formula>
    </cfRule>
    <cfRule type="cellIs" dxfId="125" priority="45" stopIfTrue="1" operator="equal">
      <formula>"LightG"</formula>
    </cfRule>
    <cfRule type="cellIs" dxfId="124" priority="46" stopIfTrue="1" operator="equal">
      <formula>"Green"</formula>
    </cfRule>
    <cfRule type="cellIs" dxfId="123" priority="47" stopIfTrue="1" operator="equal">
      <formula>"OliveG"</formula>
    </cfRule>
    <cfRule type="cellIs" dxfId="122" priority="48" stopIfTrue="1" operator="equal">
      <formula>"Brown"</formula>
    </cfRule>
    <cfRule type="cellIs" dxfId="121" priority="49" stopIfTrue="1" operator="equal">
      <formula>"Coral"</formula>
    </cfRule>
    <cfRule type="cellIs" dxfId="120" priority="50" stopIfTrue="1" operator="equal">
      <formula>"Tangerine"</formula>
    </cfRule>
    <cfRule type="cellIs" dxfId="119" priority="51" stopIfTrue="1" operator="equal">
      <formula>"Red"</formula>
    </cfRule>
    <cfRule type="cellIs" dxfId="118" priority="52" stopIfTrue="1" operator="equal">
      <formula>"Pink"</formula>
    </cfRule>
    <cfRule type="cellIs" dxfId="117" priority="53" stopIfTrue="1" operator="equal">
      <formula>"DarkV"</formula>
    </cfRule>
    <cfRule type="cellIs" dxfId="116" priority="54" stopIfTrue="1" operator="equal">
      <formula>"Turquoise"</formula>
    </cfRule>
    <cfRule type="cellIs" dxfId="115" priority="55" stopIfTrue="1" operator="equal">
      <formula>"Gold"</formula>
    </cfRule>
    <cfRule type="cellIs" dxfId="114" priority="56" stopIfTrue="1" operator="equal">
      <formula>"Yellow"</formula>
    </cfRule>
    <cfRule type="cellIs" dxfId="113" priority="57" stopIfTrue="1" operator="equal">
      <formula>"Violet"</formula>
    </cfRule>
    <cfRule type="cellIs" dxfId="112" priority="58" stopIfTrue="1" operator="equal">
      <formula>"LightB"</formula>
    </cfRule>
    <cfRule type="cellIs" dxfId="111" priority="59" stopIfTrue="1" operator="equal">
      <formula>"MediumB"</formula>
    </cfRule>
    <cfRule type="cellIs" dxfId="110" priority="60" stopIfTrue="1" operator="equal">
      <formula>"BrightB"</formula>
    </cfRule>
  </conditionalFormatting>
  <conditionalFormatting sqref="C180:C219">
    <cfRule type="cellIs" dxfId="109" priority="42" stopIfTrue="1" operator="equal">
      <formula>"x"</formula>
    </cfRule>
  </conditionalFormatting>
  <conditionalFormatting sqref="C231">
    <cfRule type="cellIs" dxfId="108" priority="6" stopIfTrue="1" operator="equal">
      <formula>"White"</formula>
    </cfRule>
    <cfRule type="cellIs" dxfId="107" priority="7" stopIfTrue="1" operator="equal">
      <formula>"Gray"</formula>
    </cfRule>
    <cfRule type="cellIs" dxfId="106" priority="8" stopIfTrue="1" operator="equal">
      <formula>"LightG"</formula>
    </cfRule>
    <cfRule type="cellIs" dxfId="105" priority="9" stopIfTrue="1" operator="equal">
      <formula>"Green"</formula>
    </cfRule>
    <cfRule type="cellIs" dxfId="104" priority="10" stopIfTrue="1" operator="equal">
      <formula>"OliveG"</formula>
    </cfRule>
    <cfRule type="cellIs" dxfId="103" priority="11" stopIfTrue="1" operator="equal">
      <formula>"Brown"</formula>
    </cfRule>
    <cfRule type="cellIs" dxfId="102" priority="12" stopIfTrue="1" operator="equal">
      <formula>"Coral"</formula>
    </cfRule>
    <cfRule type="cellIs" dxfId="101" priority="13" stopIfTrue="1" operator="equal">
      <formula>"Tangerine"</formula>
    </cfRule>
    <cfRule type="cellIs" dxfId="100" priority="14" stopIfTrue="1" operator="equal">
      <formula>"Red"</formula>
    </cfRule>
    <cfRule type="cellIs" dxfId="99" priority="15" stopIfTrue="1" operator="equal">
      <formula>"Pink"</formula>
    </cfRule>
    <cfRule type="cellIs" dxfId="98" priority="16" stopIfTrue="1" operator="equal">
      <formula>"DarkV"</formula>
    </cfRule>
    <cfRule type="cellIs" dxfId="97" priority="17" stopIfTrue="1" operator="equal">
      <formula>"Turquoise"</formula>
    </cfRule>
    <cfRule type="cellIs" dxfId="96" priority="18" stopIfTrue="1" operator="equal">
      <formula>"Gold"</formula>
    </cfRule>
    <cfRule type="cellIs" dxfId="95" priority="19" stopIfTrue="1" operator="equal">
      <formula>"Yellow"</formula>
    </cfRule>
    <cfRule type="cellIs" dxfId="94" priority="20" stopIfTrue="1" operator="equal">
      <formula>"Violet"</formula>
    </cfRule>
    <cfRule type="cellIs" dxfId="93" priority="21" stopIfTrue="1" operator="equal">
      <formula>"LightB"</formula>
    </cfRule>
    <cfRule type="cellIs" dxfId="92" priority="22" stopIfTrue="1" operator="equal">
      <formula>"MediumB"</formula>
    </cfRule>
    <cfRule type="cellIs" dxfId="91" priority="23" stopIfTrue="1" operator="equal">
      <formula>"BrightB"</formula>
    </cfRule>
  </conditionalFormatting>
  <conditionalFormatting sqref="C237:C276">
    <cfRule type="cellIs" dxfId="90" priority="5" stopIfTrue="1" operator="equal">
      <formula>"x"</formula>
    </cfRule>
  </conditionalFormatting>
  <conditionalFormatting sqref="Y3 F4:V4 F6:V6">
    <cfRule type="cellIs" dxfId="89" priority="46754" stopIfTrue="1" operator="equal">
      <formula>"White"</formula>
    </cfRule>
    <cfRule type="cellIs" dxfId="88" priority="46755" stopIfTrue="1" operator="equal">
      <formula>"Gray"</formula>
    </cfRule>
    <cfRule type="cellIs" dxfId="87" priority="46756" stopIfTrue="1" operator="equal">
      <formula>"LightG"</formula>
    </cfRule>
    <cfRule type="cellIs" dxfId="86" priority="46757" stopIfTrue="1" operator="equal">
      <formula>"Green"</formula>
    </cfRule>
    <cfRule type="cellIs" dxfId="85" priority="46758" stopIfTrue="1" operator="equal">
      <formula>"OliveG"</formula>
    </cfRule>
    <cfRule type="cellIs" dxfId="84" priority="46759" stopIfTrue="1" operator="equal">
      <formula>"Brown"</formula>
    </cfRule>
    <cfRule type="cellIs" dxfId="83" priority="46760" stopIfTrue="1" operator="equal">
      <formula>"Coral"</formula>
    </cfRule>
    <cfRule type="cellIs" dxfId="82" priority="46761" stopIfTrue="1" operator="equal">
      <formula>"Tangerine"</formula>
    </cfRule>
    <cfRule type="cellIs" dxfId="81" priority="46762" stopIfTrue="1" operator="equal">
      <formula>"Red"</formula>
    </cfRule>
    <cfRule type="cellIs" dxfId="80" priority="46763" stopIfTrue="1" operator="equal">
      <formula>"Pink"</formula>
    </cfRule>
    <cfRule type="cellIs" dxfId="79" priority="46764" stopIfTrue="1" operator="equal">
      <formula>"DarkV"</formula>
    </cfRule>
    <cfRule type="cellIs" dxfId="78" priority="46765" stopIfTrue="1" operator="equal">
      <formula>"Turquoise"</formula>
    </cfRule>
    <cfRule type="cellIs" dxfId="77" priority="46766" stopIfTrue="1" operator="equal">
      <formula>"Gold"</formula>
    </cfRule>
    <cfRule type="cellIs" dxfId="76" priority="46767" stopIfTrue="1" operator="equal">
      <formula>"Yellow"</formula>
    </cfRule>
    <cfRule type="cellIs" dxfId="75" priority="46768" stopIfTrue="1" operator="equal">
      <formula>"Violet"</formula>
    </cfRule>
    <cfRule type="cellIs" dxfId="74" priority="46769" stopIfTrue="1" operator="equal">
      <formula>"LightB"</formula>
    </cfRule>
    <cfRule type="cellIs" dxfId="73" priority="46770" stopIfTrue="1" operator="equal">
      <formula>"MediumB"</formula>
    </cfRule>
    <cfRule type="cellIs" dxfId="72" priority="46771" stopIfTrue="1" operator="equal">
      <formula>"BrightB"</formula>
    </cfRule>
  </conditionalFormatting>
  <conditionalFormatting sqref="Y60 F61:V61 F63:V63">
    <cfRule type="cellIs" dxfId="71" priority="135" stopIfTrue="1" operator="equal">
      <formula>"White"</formula>
    </cfRule>
    <cfRule type="cellIs" dxfId="70" priority="136" stopIfTrue="1" operator="equal">
      <formula>"Gray"</formula>
    </cfRule>
    <cfRule type="cellIs" dxfId="69" priority="137" stopIfTrue="1" operator="equal">
      <formula>"LightG"</formula>
    </cfRule>
    <cfRule type="cellIs" dxfId="68" priority="138" stopIfTrue="1" operator="equal">
      <formula>"Green"</formula>
    </cfRule>
    <cfRule type="cellIs" dxfId="67" priority="139" stopIfTrue="1" operator="equal">
      <formula>"OliveG"</formula>
    </cfRule>
    <cfRule type="cellIs" dxfId="66" priority="140" stopIfTrue="1" operator="equal">
      <formula>"Brown"</formula>
    </cfRule>
    <cfRule type="cellIs" dxfId="65" priority="141" stopIfTrue="1" operator="equal">
      <formula>"Coral"</formula>
    </cfRule>
    <cfRule type="cellIs" dxfId="64" priority="142" stopIfTrue="1" operator="equal">
      <formula>"Tangerine"</formula>
    </cfRule>
    <cfRule type="cellIs" dxfId="63" priority="143" stopIfTrue="1" operator="equal">
      <formula>"Red"</formula>
    </cfRule>
    <cfRule type="cellIs" dxfId="62" priority="144" stopIfTrue="1" operator="equal">
      <formula>"Pink"</formula>
    </cfRule>
    <cfRule type="cellIs" dxfId="61" priority="145" stopIfTrue="1" operator="equal">
      <formula>"DarkV"</formula>
    </cfRule>
    <cfRule type="cellIs" dxfId="60" priority="146" stopIfTrue="1" operator="equal">
      <formula>"Turquoise"</formula>
    </cfRule>
    <cfRule type="cellIs" dxfId="59" priority="147" stopIfTrue="1" operator="equal">
      <formula>"Gold"</formula>
    </cfRule>
    <cfRule type="cellIs" dxfId="58" priority="148" stopIfTrue="1" operator="equal">
      <formula>"Yellow"</formula>
    </cfRule>
    <cfRule type="cellIs" dxfId="57" priority="149" stopIfTrue="1" operator="equal">
      <formula>"Violet"</formula>
    </cfRule>
    <cfRule type="cellIs" dxfId="56" priority="150" stopIfTrue="1" operator="equal">
      <formula>"LightB"</formula>
    </cfRule>
    <cfRule type="cellIs" dxfId="55" priority="151" stopIfTrue="1" operator="equal">
      <formula>"MediumB"</formula>
    </cfRule>
    <cfRule type="cellIs" dxfId="54" priority="152" stopIfTrue="1" operator="equal">
      <formula>"BrightB"</formula>
    </cfRule>
  </conditionalFormatting>
  <conditionalFormatting sqref="Y117 F118:V118 F120:V120">
    <cfRule type="cellIs" dxfId="53" priority="98" stopIfTrue="1" operator="equal">
      <formula>"White"</formula>
    </cfRule>
    <cfRule type="cellIs" dxfId="52" priority="99" stopIfTrue="1" operator="equal">
      <formula>"Gray"</formula>
    </cfRule>
    <cfRule type="cellIs" dxfId="51" priority="100" stopIfTrue="1" operator="equal">
      <formula>"LightG"</formula>
    </cfRule>
    <cfRule type="cellIs" dxfId="50" priority="101" stopIfTrue="1" operator="equal">
      <formula>"Green"</formula>
    </cfRule>
    <cfRule type="cellIs" dxfId="49" priority="102" stopIfTrue="1" operator="equal">
      <formula>"OliveG"</formula>
    </cfRule>
    <cfRule type="cellIs" dxfId="48" priority="103" stopIfTrue="1" operator="equal">
      <formula>"Brown"</formula>
    </cfRule>
    <cfRule type="cellIs" dxfId="47" priority="104" stopIfTrue="1" operator="equal">
      <formula>"Coral"</formula>
    </cfRule>
    <cfRule type="cellIs" dxfId="46" priority="105" stopIfTrue="1" operator="equal">
      <formula>"Tangerine"</formula>
    </cfRule>
    <cfRule type="cellIs" dxfId="45" priority="106" stopIfTrue="1" operator="equal">
      <formula>"Red"</formula>
    </cfRule>
    <cfRule type="cellIs" dxfId="44" priority="107" stopIfTrue="1" operator="equal">
      <formula>"Pink"</formula>
    </cfRule>
    <cfRule type="cellIs" dxfId="43" priority="108" stopIfTrue="1" operator="equal">
      <formula>"DarkV"</formula>
    </cfRule>
    <cfRule type="cellIs" dxfId="42" priority="109" stopIfTrue="1" operator="equal">
      <formula>"Turquoise"</formula>
    </cfRule>
    <cfRule type="cellIs" dxfId="41" priority="110" stopIfTrue="1" operator="equal">
      <formula>"Gold"</formula>
    </cfRule>
    <cfRule type="cellIs" dxfId="40" priority="111" stopIfTrue="1" operator="equal">
      <formula>"Yellow"</formula>
    </cfRule>
    <cfRule type="cellIs" dxfId="39" priority="112" stopIfTrue="1" operator="equal">
      <formula>"Violet"</formula>
    </cfRule>
    <cfRule type="cellIs" dxfId="38" priority="113" stopIfTrue="1" operator="equal">
      <formula>"LightB"</formula>
    </cfRule>
    <cfRule type="cellIs" dxfId="37" priority="114" stopIfTrue="1" operator="equal">
      <formula>"MediumB"</formula>
    </cfRule>
    <cfRule type="cellIs" dxfId="36" priority="115" stopIfTrue="1" operator="equal">
      <formula>"BrightB"</formula>
    </cfRule>
  </conditionalFormatting>
  <conditionalFormatting sqref="Y174 F175:V175 F177:V177">
    <cfRule type="cellIs" dxfId="35" priority="61" stopIfTrue="1" operator="equal">
      <formula>"White"</formula>
    </cfRule>
    <cfRule type="cellIs" dxfId="34" priority="62" stopIfTrue="1" operator="equal">
      <formula>"Gray"</formula>
    </cfRule>
    <cfRule type="cellIs" dxfId="33" priority="63" stopIfTrue="1" operator="equal">
      <formula>"LightG"</formula>
    </cfRule>
    <cfRule type="cellIs" dxfId="32" priority="64" stopIfTrue="1" operator="equal">
      <formula>"Green"</formula>
    </cfRule>
    <cfRule type="cellIs" dxfId="31" priority="65" stopIfTrue="1" operator="equal">
      <formula>"OliveG"</formula>
    </cfRule>
    <cfRule type="cellIs" dxfId="30" priority="66" stopIfTrue="1" operator="equal">
      <formula>"Brown"</formula>
    </cfRule>
    <cfRule type="cellIs" dxfId="29" priority="67" stopIfTrue="1" operator="equal">
      <formula>"Coral"</formula>
    </cfRule>
    <cfRule type="cellIs" dxfId="28" priority="68" stopIfTrue="1" operator="equal">
      <formula>"Tangerine"</formula>
    </cfRule>
    <cfRule type="cellIs" dxfId="27" priority="69" stopIfTrue="1" operator="equal">
      <formula>"Red"</formula>
    </cfRule>
    <cfRule type="cellIs" dxfId="26" priority="70" stopIfTrue="1" operator="equal">
      <formula>"Pink"</formula>
    </cfRule>
    <cfRule type="cellIs" dxfId="25" priority="71" stopIfTrue="1" operator="equal">
      <formula>"DarkV"</formula>
    </cfRule>
    <cfRule type="cellIs" dxfId="24" priority="72" stopIfTrue="1" operator="equal">
      <formula>"Turquoise"</formula>
    </cfRule>
    <cfRule type="cellIs" dxfId="23" priority="73" stopIfTrue="1" operator="equal">
      <formula>"Gold"</formula>
    </cfRule>
    <cfRule type="cellIs" dxfId="22" priority="74" stopIfTrue="1" operator="equal">
      <formula>"Yellow"</formula>
    </cfRule>
    <cfRule type="cellIs" dxfId="21" priority="75" stopIfTrue="1" operator="equal">
      <formula>"Violet"</formula>
    </cfRule>
    <cfRule type="cellIs" dxfId="20" priority="76" stopIfTrue="1" operator="equal">
      <formula>"LightB"</formula>
    </cfRule>
    <cfRule type="cellIs" dxfId="19" priority="77" stopIfTrue="1" operator="equal">
      <formula>"MediumB"</formula>
    </cfRule>
    <cfRule type="cellIs" dxfId="18" priority="78" stopIfTrue="1" operator="equal">
      <formula>"BrightB"</formula>
    </cfRule>
  </conditionalFormatting>
  <conditionalFormatting sqref="Y231 F232:V232 F234:V234">
    <cfRule type="cellIs" dxfId="17" priority="24" stopIfTrue="1" operator="equal">
      <formula>"White"</formula>
    </cfRule>
    <cfRule type="cellIs" dxfId="16" priority="25" stopIfTrue="1" operator="equal">
      <formula>"Gray"</formula>
    </cfRule>
    <cfRule type="cellIs" dxfId="15" priority="26" stopIfTrue="1" operator="equal">
      <formula>"LightG"</formula>
    </cfRule>
    <cfRule type="cellIs" dxfId="14" priority="27" stopIfTrue="1" operator="equal">
      <formula>"Green"</formula>
    </cfRule>
    <cfRule type="cellIs" dxfId="13" priority="28" stopIfTrue="1" operator="equal">
      <formula>"OliveG"</formula>
    </cfRule>
    <cfRule type="cellIs" dxfId="12" priority="29" stopIfTrue="1" operator="equal">
      <formula>"Brown"</formula>
    </cfRule>
    <cfRule type="cellIs" dxfId="11" priority="30" stopIfTrue="1" operator="equal">
      <formula>"Coral"</formula>
    </cfRule>
    <cfRule type="cellIs" dxfId="10" priority="31" stopIfTrue="1" operator="equal">
      <formula>"Tangerine"</formula>
    </cfRule>
    <cfRule type="cellIs" dxfId="9" priority="32" stopIfTrue="1" operator="equal">
      <formula>"Red"</formula>
    </cfRule>
    <cfRule type="cellIs" dxfId="8" priority="33" stopIfTrue="1" operator="equal">
      <formula>"Pink"</formula>
    </cfRule>
    <cfRule type="cellIs" dxfId="7" priority="34" stopIfTrue="1" operator="equal">
      <formula>"DarkV"</formula>
    </cfRule>
    <cfRule type="cellIs" dxfId="6" priority="35" stopIfTrue="1" operator="equal">
      <formula>"Turquoise"</formula>
    </cfRule>
    <cfRule type="cellIs" dxfId="5" priority="36" stopIfTrue="1" operator="equal">
      <formula>"Gold"</formula>
    </cfRule>
    <cfRule type="cellIs" dxfId="4" priority="37" stopIfTrue="1" operator="equal">
      <formula>"Yellow"</formula>
    </cfRule>
    <cfRule type="cellIs" dxfId="3" priority="38" stopIfTrue="1" operator="equal">
      <formula>"Violet"</formula>
    </cfRule>
    <cfRule type="cellIs" dxfId="2" priority="39" stopIfTrue="1" operator="equal">
      <formula>"LightB"</formula>
    </cfRule>
    <cfRule type="cellIs" dxfId="1" priority="40" stopIfTrue="1" operator="equal">
      <formula>"MediumB"</formula>
    </cfRule>
    <cfRule type="cellIs" dxfId="0" priority="41" stopIfTrue="1" operator="equal">
      <formula>"BrightB"</formula>
    </cfRule>
  </conditionalFormatting>
  <dataValidations count="3">
    <dataValidation type="custom" errorStyle="warning" allowBlank="1" showInputMessage="1" showErrorMessage="1" errorTitle="Too many items Selected" error="You may only choose 1 DCA per Channel" sqref="F9:F48 H9:U48 G10:G48 F66:F105 H66:U105 G67:G105 F123:F162 H123:U162 G124:G162 F180:F219 H180:U219 G181:G219 F237:F276 H237:U276 G238:G276" xr:uid="{8A8A67C6-BDF4-4A1A-9565-3AA6B0A38099}">
      <formula1>COUNTA($F9:$U9)&lt;=1</formula1>
    </dataValidation>
    <dataValidation type="custom" showErrorMessage="1" errorTitle="Invalid Characters Detected" error="The NAME can only contain these characters: _x000a_abcdefghijklmnopqrstuvwxyzABCDEFGHIJKLMNOPQRSTUVWXYZ1234567890.-_+" sqref="F6:U6 D9:D48 F63:U63 D66:D105 F120:U120 D123:D162 F177:U177 D180:D219 F234:U234 D237:D276" xr:uid="{8FE6D3BC-833F-4733-84FC-1650F67E533E}">
      <formula1>SUMPRODUCT(--ISERR(SEARCH(MID(D6,ROW(INDIRECT("1:"&amp;LEN(D6))),1),"abcdefghijklmnopqrstuvwxyzABCDEFGHIJKLMNOPQRSTUVWXYZ1234567890.-_+"))) = 0</formula1>
    </dataValidation>
    <dataValidation type="custom" errorStyle="warning" allowBlank="1" showErrorMessage="1" errorTitle="Too many items Selected" error="You may only choose 1 DCA per Channel" sqref="G9 G66 G123 G180 G237" xr:uid="{3787CB9E-86D7-4C89-8247-1D42F4925CC6}">
      <formula1>COUNTA($F9:$U9)&lt;=1</formula1>
    </dataValidation>
  </dataValidations>
  <printOptions gridLines="1"/>
  <pageMargins left="0.7" right="0.7" top="0.75" bottom="0.75" header="0.3" footer="0.3"/>
  <pageSetup scale="73" fitToHeight="1000" orientation="landscape" r:id="rId1"/>
  <headerFooter>
    <oddFooter>&amp;L&amp;P of &amp;N&amp;C&amp;F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C5F61D3-5E28-45D4-9492-5DFCEC783849}">
          <x14:formula1>
            <xm:f>refs!$A$2:$A$19</xm:f>
          </x14:formula1>
          <xm:sqref>F4:U4 C3 F61:U61 C60 F118:U118 C117 F175:U175 C174 F232:U232 C231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AB83F-E96F-41CA-BF44-1CC29881BA61}">
  <dimension ref="A1:A6500"/>
  <sheetViews>
    <sheetView workbookViewId="0">
      <selection activeCell="A6501" sqref="A6501"/>
    </sheetView>
  </sheetViews>
  <sheetFormatPr defaultRowHeight="15" x14ac:dyDescent="0.25"/>
  <cols>
    <col min="1" max="1" width="109.85546875" customWidth="1"/>
  </cols>
  <sheetData>
    <row r="1" spans="1:1" x14ac:dyDescent="0.25">
      <c r="A1" t="str" cm="1">
        <f t="array" ref="A1">IF(INDEX(CUEs!$A:$A,INT((ROW()-1)/7)*57+MOD(ROW()-1,7)+50)&lt;&gt;"","set "&amp;INDEX(CUEs!$A:$A,INT((ROW()-1)/7)*57+MOD(ROW()-1,7)+50)&amp;"=/ s "&amp;INDEX(CUEs!$B:$B,INT((ROW()-1)/7)*57+MOD(ROW()-1,7)+50),"")</f>
        <v>set w1_0001_ch_col_mute=/ s /ch.1.col=7,mute=0,.2.col=7,mute=0,.3.col=7,mute=0,.4.col=7,mute=0,.5.col=4,mute=0,.6.col=5,mute=0,.7.col=6,mute=0,.8.col=7,mute=0,.9.col=8,mute=0,.10.col=9,mute=0,.11.col=10,mute=0,.12.col=11,mute=0,.13.col=12,mute=0,.14.col=13,mute=0,.15.col=14,mute=0,.16.col=15,mute=0,.17.col=18,mute=0,.18.col=18,mute=0,.19.col=18,mute=0,.20.col=18,mute=0,.21.col=18,mute=0,.22.col=18,mute=0,.23.col=18,mute=0,.24.col=17,mute=1,.25.col=18,mute=0,.26.col=18,mute=0,.27.col=18,mute=0,.28.col=18,mute=0,.29.col=18,mute=0,.30.col=18,mute=0,.31.col=18,mute=0,.32.col=18,mute=0,.33.col=18,mute=0,.34.col=18,mute=0,.35.col=18,mute=0,.36.col=18,mute=0,.37.col=17,mute=1,.38.col=18,mute=0,.39.col=18,mute=0,.40.col=18,mute=0,</v>
      </c>
    </row>
    <row r="2" spans="1:1" x14ac:dyDescent="0.25">
      <c r="A2" t="str" cm="1">
        <f t="array" ref="A2">IF(INDEX(CUEs!$A:$A,INT((ROW()-1)/7)*57+MOD(ROW()-1,7)+50)&lt;&gt;"","set "&amp;INDEX(CUEs!$A:$A,INT((ROW()-1)/7)*57+MOD(ROW()-1,7)+50)&amp;"=/ s "&amp;INDEX(CUEs!$B:$B,INT((ROW()-1)/7)*57+MOD(ROW()-1,7)+50),"")</f>
        <v>set w1_0001_ch_tags=/ s /ch.1.tags=#D8,.2.tags=#D1,.3.tags=#D1,.4.tags=#D1,.5.tags=#D5,.6.tags=#D6,.7.tags=#D7,.8.tags=#D8,.9.tags=#D9,.10.tags=#D10,.11.tags=#D11,.12.tags=#D12,.13.tags=#D13,.14.tags=#D14,.15.tags=#D15,.16.tags=#D16,.17.tags=,.18.tags=,.19.tags=,.20.tags=,.21.tags=,.22.tags=,.23.tags=,.24.tags=,.25.tags=,.26.tags=,.27.tags=,.28.tags=,.29.tags=,.30.tags=,.31.tags=,.32.tags=,.33.tags=,.34.tags=,.35.tags=,.36.tags=,.37.tags=,.38.tags=,.39.tags=,.40.tags=,</v>
      </c>
    </row>
    <row r="3" spans="1:1" x14ac:dyDescent="0.25">
      <c r="A3" t="str" cm="1">
        <f t="array" ref="A3">IF(INDEX(CUEs!$A:$A,INT((ROW()-1)/7)*57+MOD(ROW()-1,7)+50)&lt;&gt;"","set "&amp;INDEX(CUEs!$A:$A,INT((ROW()-1)/7)*57+MOD(ROW()-1,7)+50)&amp;"=/ s "&amp;INDEX(CUEs!$B:$B,INT((ROW()-1)/7)*57+MOD(ROW()-1,7)+50),"")</f>
        <v>set w1_0001_ch_names_a=/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row>
    <row r="4" spans="1:1" x14ac:dyDescent="0.25">
      <c r="A4" t="str" cm="1">
        <f t="array" ref="A4">IF(INDEX(CUEs!$A:$A,INT((ROW()-1)/7)*57+MOD(ROW()-1,7)+50)&lt;&gt;"","set "&amp;INDEX(CUEs!$A:$A,INT((ROW()-1)/7)*57+MOD(ROW()-1,7)+50)&amp;"=/ s "&amp;INDEX(CUEs!$B:$B,INT((ROW()-1)/7)*57+MOD(ROW()-1,7)+50),"")</f>
        <v>set w1_0001_ch_names_b=/ s /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5" spans="1:1" x14ac:dyDescent="0.25">
      <c r="A5" t="str" cm="1">
        <f t="array" ref="A5">IF(INDEX(CUEs!$A:$A,INT((ROW()-1)/7)*57+MOD(ROW()-1,7)+50)&lt;&gt;"","set "&amp;INDEX(CUEs!$A:$A,INT((ROW()-1)/7)*57+MOD(ROW()-1,7)+50)&amp;"=/ s "&amp;INDEX(CUEs!$B:$B,INT((ROW()-1)/7)*57+MOD(ROW()-1,7)+50),"")</f>
        <v>set w1_0001_ch_postins_a=/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6" spans="1:1" x14ac:dyDescent="0.25">
      <c r="A6" t="str" cm="1">
        <f t="array" ref="A6">IF(INDEX(CUEs!$A:$A,INT((ROW()-1)/7)*57+MOD(ROW()-1,7)+50)&lt;&gt;"","set "&amp;INDEX(CUEs!$A:$A,INT((ROW()-1)/7)*57+MOD(ROW()-1,7)+50)&amp;"=/ s "&amp;INDEX(CUEs!$B:$B,INT((ROW()-1)/7)*57+MOD(ROW()-1,7)+50),"")</f>
        <v>set w1_0001_ch_postins_b=/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7" spans="1:1" x14ac:dyDescent="0.25">
      <c r="A7" t="str" cm="1">
        <f t="array" ref="A7">IF(INDEX(CUEs!$A:$A,INT((ROW()-1)/7)*57+MOD(ROW()-1,7)+50)&lt;&gt;"","set "&amp;INDEX(CUEs!$A:$A,INT((ROW()-1)/7)*57+MOD(ROW()-1,7)+50)&amp;"=/ s "&amp;INDEX(CUEs!$B:$B,INT((ROW()-1)/7)*57+MOD(ROW()-1,7)+50),"")</f>
        <v>set w1_0001_dcas_amix=/ s /dca.1.col=7,name=LEADS,.2.col=1,name=FlotJet,.3.col=2,name=Sail,.4.col=3,name=Sisters,.5.col=4,name=Maids,.6.col=5,name=LeeWind,.7.col=6,name=PrRaJen,.8.col=7,name=.,.9.col=8,name=.,.10.col=9,name=.,.11.col=10,name=OS,.12.col=11,name=VOX+.VRB,.13.col=12,name=VOX_.VRB,.14.col=13,name=INST+.VRB,.15.col=14,name=INST_.VRB,.16.col=15,name=MAINS,/cfg.amix.x=1,/cfg.amix.y=1,</v>
      </c>
    </row>
    <row r="8" spans="1:1" x14ac:dyDescent="0.25">
      <c r="A8" t="str" cm="1">
        <f t="array" ref="A8">IF(INDEX(CUEs!$A:$A,INT((ROW()-1)/7)*57+MOD(ROW()-1,7)+50)&lt;&gt;"","set "&amp;INDEX(CUEs!$A:$A,INT((ROW()-1)/7)*57+MOD(ROW()-1,7)+50)&amp;"=/ s "&amp;INDEX(CUEs!$B:$B,INT((ROW()-1)/7)*57+MOD(ROW()-1,7)+50),"")</f>
        <v>set w1_0002_ch_col_mute=/ s /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row>
    <row r="9" spans="1:1" x14ac:dyDescent="0.25">
      <c r="A9" t="str" cm="1">
        <f t="array" ref="A9">IF(INDEX(CUEs!$A:$A,INT((ROW()-1)/7)*57+MOD(ROW()-1,7)+50)&lt;&gt;"","set "&amp;INDEX(CUEs!$A:$A,INT((ROW()-1)/7)*57+MOD(ROW()-1,7)+50)&amp;"=/ s "&amp;INDEX(CUEs!$B:$B,INT((ROW()-1)/7)*57+MOD(ROW()-1,7)+50),"")</f>
        <v>set w1_0002_ch_tags=/ s /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row>
    <row r="10" spans="1:1" x14ac:dyDescent="0.25">
      <c r="A10" t="str" cm="1">
        <f t="array" ref="A10">IF(INDEX(CUEs!$A:$A,INT((ROW()-1)/7)*57+MOD(ROW()-1,7)+50)&lt;&gt;"","set "&amp;INDEX(CUEs!$A:$A,INT((ROW()-1)/7)*57+MOD(ROW()-1,7)+50)&amp;"=/ s "&amp;INDEX(CUEs!$B:$B,INT((ROW()-1)/7)*57+MOD(ROW()-1,7)+50),"")</f>
        <v>set w1_0002_ch_names_a=/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row>
    <row r="11" spans="1:1" x14ac:dyDescent="0.25">
      <c r="A11" t="str" cm="1">
        <f t="array" ref="A11">IF(INDEX(CUEs!$A:$A,INT((ROW()-1)/7)*57+MOD(ROW()-1,7)+50)&lt;&gt;"","set "&amp;INDEX(CUEs!$A:$A,INT((ROW()-1)/7)*57+MOD(ROW()-1,7)+50)&amp;"=/ s "&amp;INDEX(CUEs!$B:$B,INT((ROW()-1)/7)*57+MOD(ROW()-1,7)+50),"")</f>
        <v>set w1_0002_ch_names_b=/ s /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12" spans="1:1" x14ac:dyDescent="0.25">
      <c r="A12" t="str" cm="1">
        <f t="array" ref="A12">IF(INDEX(CUEs!$A:$A,INT((ROW()-1)/7)*57+MOD(ROW()-1,7)+50)&lt;&gt;"","set "&amp;INDEX(CUEs!$A:$A,INT((ROW()-1)/7)*57+MOD(ROW()-1,7)+50)&amp;"=/ s "&amp;INDEX(CUEs!$B:$B,INT((ROW()-1)/7)*57+MOD(ROW()-1,7)+50),"")</f>
        <v>set w1_0002_ch_postins_a=/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13" spans="1:1" x14ac:dyDescent="0.25">
      <c r="A13" t="str" cm="1">
        <f t="array" ref="A13">IF(INDEX(CUEs!$A:$A,INT((ROW()-1)/7)*57+MOD(ROW()-1,7)+50)&lt;&gt;"","set "&amp;INDEX(CUEs!$A:$A,INT((ROW()-1)/7)*57+MOD(ROW()-1,7)+50)&amp;"=/ s "&amp;INDEX(CUEs!$B:$B,INT((ROW()-1)/7)*57+MOD(ROW()-1,7)+50),"")</f>
        <v>set w1_0002_ch_postins_b=/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14" spans="1:1" x14ac:dyDescent="0.25">
      <c r="A14" t="str" cm="1">
        <f t="array" ref="A14">IF(INDEX(CUEs!$A:$A,INT((ROW()-1)/7)*57+MOD(ROW()-1,7)+50)&lt;&gt;"","set "&amp;INDEX(CUEs!$A:$A,INT((ROW()-1)/7)*57+MOD(ROW()-1,7)+50)&amp;"=/ s "&amp;INDEX(CUEs!$B:$B,INT((ROW()-1)/7)*57+MOD(ROW()-1,7)+50),"")</f>
        <v>set w1_0002_dcas_amix=/ s /dca.1.col=7,name=LEADS,.2.col=1,name=FlotJet,.3.col=2,name=Sail,.4.col=3,name=Sisters,.5.col=4,name=Maids,.6.col=5,name=LeeWind,.7.col=6,name=PrRaJen,.8.col=7,name=.,.9.col=8,name=.,.10.col=9,name=.,.11.col=10,name=OS,.12.col=11,name=VOX+.VRB,.13.col=12,name=VOX_.VRB,.14.col=13,name=INST+.VRB,.15.col=14,name=INST_.VRB,.16.col=15,name=MAINS,/cfg.amix.x=1,/cfg.amix.y=1,</v>
      </c>
    </row>
    <row r="15" spans="1:1" x14ac:dyDescent="0.25">
      <c r="A15" t="str" cm="1">
        <f t="array" ref="A15">IF(INDEX(CUEs!$A:$A,INT((ROW()-1)/7)*57+MOD(ROW()-1,7)+50)&lt;&gt;"","set "&amp;INDEX(CUEs!$A:$A,INT((ROW()-1)/7)*57+MOD(ROW()-1,7)+50)&amp;"=/ s "&amp;INDEX(CUEs!$B:$B,INT((ROW()-1)/7)*57+MOD(ROW()-1,7)+50),"")</f>
        <v>set w1_0003_ch_col_mute=/ s /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row>
    <row r="16" spans="1:1" x14ac:dyDescent="0.25">
      <c r="A16" t="str" cm="1">
        <f t="array" ref="A16">IF(INDEX(CUEs!$A:$A,INT((ROW()-1)/7)*57+MOD(ROW()-1,7)+50)&lt;&gt;"","set "&amp;INDEX(CUEs!$A:$A,INT((ROW()-1)/7)*57+MOD(ROW()-1,7)+50)&amp;"=/ s "&amp;INDEX(CUEs!$B:$B,INT((ROW()-1)/7)*57+MOD(ROW()-1,7)+50),"")</f>
        <v>set w1_0003_ch_tags=/ s /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row>
    <row r="17" spans="1:1" x14ac:dyDescent="0.25">
      <c r="A17" t="str" cm="1">
        <f t="array" ref="A17">IF(INDEX(CUEs!$A:$A,INT((ROW()-1)/7)*57+MOD(ROW()-1,7)+50)&lt;&gt;"","set "&amp;INDEX(CUEs!$A:$A,INT((ROW()-1)/7)*57+MOD(ROW()-1,7)+50)&amp;"=/ s "&amp;INDEX(CUEs!$B:$B,INT((ROW()-1)/7)*57+MOD(ROW()-1,7)+50),"")</f>
        <v>set w1_0003_ch_names_a=/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row>
    <row r="18" spans="1:1" x14ac:dyDescent="0.25">
      <c r="A18" t="str" cm="1">
        <f t="array" ref="A18">IF(INDEX(CUEs!$A:$A,INT((ROW()-1)/7)*57+MOD(ROW()-1,7)+50)&lt;&gt;"","set "&amp;INDEX(CUEs!$A:$A,INT((ROW()-1)/7)*57+MOD(ROW()-1,7)+50)&amp;"=/ s "&amp;INDEX(CUEs!$B:$B,INT((ROW()-1)/7)*57+MOD(ROW()-1,7)+50),"")</f>
        <v>set w1_0003_ch_names_b=/ s /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19" spans="1:1" x14ac:dyDescent="0.25">
      <c r="A19" t="str" cm="1">
        <f t="array" ref="A19">IF(INDEX(CUEs!$A:$A,INT((ROW()-1)/7)*57+MOD(ROW()-1,7)+50)&lt;&gt;"","set "&amp;INDEX(CUEs!$A:$A,INT((ROW()-1)/7)*57+MOD(ROW()-1,7)+50)&amp;"=/ s "&amp;INDEX(CUEs!$B:$B,INT((ROW()-1)/7)*57+MOD(ROW()-1,7)+50),"")</f>
        <v>set w1_0003_ch_postins_a=/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20" spans="1:1" x14ac:dyDescent="0.25">
      <c r="A20" t="str" cm="1">
        <f t="array" ref="A20">IF(INDEX(CUEs!$A:$A,INT((ROW()-1)/7)*57+MOD(ROW()-1,7)+50)&lt;&gt;"","set "&amp;INDEX(CUEs!$A:$A,INT((ROW()-1)/7)*57+MOD(ROW()-1,7)+50)&amp;"=/ s "&amp;INDEX(CUEs!$B:$B,INT((ROW()-1)/7)*57+MOD(ROW()-1,7)+50),"")</f>
        <v>set w1_0003_ch_postins_b=/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21" spans="1:1" x14ac:dyDescent="0.25">
      <c r="A21" t="str" cm="1">
        <f t="array" ref="A21">IF(INDEX(CUEs!$A:$A,INT((ROW()-1)/7)*57+MOD(ROW()-1,7)+50)&lt;&gt;"","set "&amp;INDEX(CUEs!$A:$A,INT((ROW()-1)/7)*57+MOD(ROW()-1,7)+50)&amp;"=/ s "&amp;INDEX(CUEs!$B:$B,INT((ROW()-1)/7)*57+MOD(ROW()-1,7)+50),"")</f>
        <v>set w1_0003_dcas_amix=/ s /dca.1.col=7,name=LEADS,.2.col=1,name=FlotJet,.3.col=2,name=Sail,.4.col=3,name=Sisters,.5.col=4,name=Maids,.6.col=5,name=LeeWind,.7.col=6,name=PrRaJen,.8.col=7,name=.,.9.col=8,name=.,.10.col=9,name=.,.11.col=10,name=OS,.12.col=11,name=VOX+.VRB,.13.col=12,name=VOX_.VRB,.14.col=13,name=INST+.VRB,.15.col=14,name=INST_.VRB,.16.col=15,name=MAINS,/cfg.amix.x=1,/cfg.amix.y=1,</v>
      </c>
    </row>
    <row r="22" spans="1:1" x14ac:dyDescent="0.25">
      <c r="A22" t="str" cm="1">
        <f t="array" ref="A22">IF(INDEX(CUEs!$A:$A,INT((ROW()-1)/7)*57+MOD(ROW()-1,7)+50)&lt;&gt;"","set "&amp;INDEX(CUEs!$A:$A,INT((ROW()-1)/7)*57+MOD(ROW()-1,7)+50)&amp;"=/ s "&amp;INDEX(CUEs!$B:$B,INT((ROW()-1)/7)*57+MOD(ROW()-1,7)+50),"")</f>
        <v>set w1_0004_ch_col_mute=/ s /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row>
    <row r="23" spans="1:1" x14ac:dyDescent="0.25">
      <c r="A23" t="str" cm="1">
        <f t="array" ref="A23">IF(INDEX(CUEs!$A:$A,INT((ROW()-1)/7)*57+MOD(ROW()-1,7)+50)&lt;&gt;"","set "&amp;INDEX(CUEs!$A:$A,INT((ROW()-1)/7)*57+MOD(ROW()-1,7)+50)&amp;"=/ s "&amp;INDEX(CUEs!$B:$B,INT((ROW()-1)/7)*57+MOD(ROW()-1,7)+50),"")</f>
        <v>set w1_0004_ch_tags=/ s /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row>
    <row r="24" spans="1:1" x14ac:dyDescent="0.25">
      <c r="A24" t="str" cm="1">
        <f t="array" ref="A24">IF(INDEX(CUEs!$A:$A,INT((ROW()-1)/7)*57+MOD(ROW()-1,7)+50)&lt;&gt;"","set "&amp;INDEX(CUEs!$A:$A,INT((ROW()-1)/7)*57+MOD(ROW()-1,7)+50)&amp;"=/ s "&amp;INDEX(CUEs!$B:$B,INT((ROW()-1)/7)*57+MOD(ROW()-1,7)+50),"")</f>
        <v>set w1_0004_ch_names_a=/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row>
    <row r="25" spans="1:1" x14ac:dyDescent="0.25">
      <c r="A25" t="str" cm="1">
        <f t="array" ref="A25">IF(INDEX(CUEs!$A:$A,INT((ROW()-1)/7)*57+MOD(ROW()-1,7)+50)&lt;&gt;"","set "&amp;INDEX(CUEs!$A:$A,INT((ROW()-1)/7)*57+MOD(ROW()-1,7)+50)&amp;"=/ s "&amp;INDEX(CUEs!$B:$B,INT((ROW()-1)/7)*57+MOD(ROW()-1,7)+50),"")</f>
        <v>set w1_0004_ch_names_b=/ s /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26" spans="1:1" x14ac:dyDescent="0.25">
      <c r="A26" t="str" cm="1">
        <f t="array" ref="A26">IF(INDEX(CUEs!$A:$A,INT((ROW()-1)/7)*57+MOD(ROW()-1,7)+50)&lt;&gt;"","set "&amp;INDEX(CUEs!$A:$A,INT((ROW()-1)/7)*57+MOD(ROW()-1,7)+50)&amp;"=/ s "&amp;INDEX(CUEs!$B:$B,INT((ROW()-1)/7)*57+MOD(ROW()-1,7)+50),"")</f>
        <v>set w1_0004_ch_postins_a=/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27" spans="1:1" x14ac:dyDescent="0.25">
      <c r="A27" t="str" cm="1">
        <f t="array" ref="A27">IF(INDEX(CUEs!$A:$A,INT((ROW()-1)/7)*57+MOD(ROW()-1,7)+50)&lt;&gt;"","set "&amp;INDEX(CUEs!$A:$A,INT((ROW()-1)/7)*57+MOD(ROW()-1,7)+50)&amp;"=/ s "&amp;INDEX(CUEs!$B:$B,INT((ROW()-1)/7)*57+MOD(ROW()-1,7)+50),"")</f>
        <v>set w1_0004_ch_postins_b=/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28" spans="1:1" x14ac:dyDescent="0.25">
      <c r="A28" t="str" cm="1">
        <f t="array" ref="A28">IF(INDEX(CUEs!$A:$A,INT((ROW()-1)/7)*57+MOD(ROW()-1,7)+50)&lt;&gt;"","set "&amp;INDEX(CUEs!$A:$A,INT((ROW()-1)/7)*57+MOD(ROW()-1,7)+50)&amp;"=/ s "&amp;INDEX(CUEs!$B:$B,INT((ROW()-1)/7)*57+MOD(ROW()-1,7)+50),"")</f>
        <v>set w1_0004_dcas_amix=/ s /dca.1.col=7,name=LEADS,.2.col=1,name=FlotJet,.3.col=2,name=Sail,.4.col=3,name=Sisters,.5.col=4,name=Maids,.6.col=5,name=LeeWind,.7.col=6,name=PrRaJen,.8.col=7,name=.,.9.col=8,name=.,.10.col=9,name=.,.11.col=10,name=OS,.12.col=11,name=VOX+.VRB,.13.col=12,name=VOX_.VRB,.14.col=13,name=INST+.VRB,.15.col=14,name=INST_.VRB,.16.col=15,name=MAINS,/cfg.amix.x=1,/cfg.amix.y=1,</v>
      </c>
    </row>
    <row r="29" spans="1:1" x14ac:dyDescent="0.25">
      <c r="A29" t="str" cm="1">
        <f t="array" ref="A29">IF(INDEX(CUEs!$A:$A,INT((ROW()-1)/7)*57+MOD(ROW()-1,7)+50)&lt;&gt;"","set "&amp;INDEX(CUEs!$A:$A,INT((ROW()-1)/7)*57+MOD(ROW()-1,7)+50)&amp;"=/ s "&amp;INDEX(CUEs!$B:$B,INT((ROW()-1)/7)*57+MOD(ROW()-1,7)+50),"")</f>
        <v>set w1_0005_ch_col_mute=/ s /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row>
    <row r="30" spans="1:1" x14ac:dyDescent="0.25">
      <c r="A30" t="str" cm="1">
        <f t="array" ref="A30">IF(INDEX(CUEs!$A:$A,INT((ROW()-1)/7)*57+MOD(ROW()-1,7)+50)&lt;&gt;"","set "&amp;INDEX(CUEs!$A:$A,INT((ROW()-1)/7)*57+MOD(ROW()-1,7)+50)&amp;"=/ s "&amp;INDEX(CUEs!$B:$B,INT((ROW()-1)/7)*57+MOD(ROW()-1,7)+50),"")</f>
        <v>set w1_0005_ch_tags=/ s /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row>
    <row r="31" spans="1:1" x14ac:dyDescent="0.25">
      <c r="A31" t="str" cm="1">
        <f t="array" ref="A31">IF(INDEX(CUEs!$A:$A,INT((ROW()-1)/7)*57+MOD(ROW()-1,7)+50)&lt;&gt;"","set "&amp;INDEX(CUEs!$A:$A,INT((ROW()-1)/7)*57+MOD(ROW()-1,7)+50)&amp;"=/ s "&amp;INDEX(CUEs!$B:$B,INT((ROW()-1)/7)*57+MOD(ROW()-1,7)+50),"")</f>
        <v>set w1_0005_ch_names_a=/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row>
    <row r="32" spans="1:1" x14ac:dyDescent="0.25">
      <c r="A32" t="str" cm="1">
        <f t="array" ref="A32">IF(INDEX(CUEs!$A:$A,INT((ROW()-1)/7)*57+MOD(ROW()-1,7)+50)&lt;&gt;"","set "&amp;INDEX(CUEs!$A:$A,INT((ROW()-1)/7)*57+MOD(ROW()-1,7)+50)&amp;"=/ s "&amp;INDEX(CUEs!$B:$B,INT((ROW()-1)/7)*57+MOD(ROW()-1,7)+50),"")</f>
        <v>set w1_0005_ch_names_b=/ s /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33" spans="1:1" x14ac:dyDescent="0.25">
      <c r="A33" t="str" cm="1">
        <f t="array" ref="A33">IF(INDEX(CUEs!$A:$A,INT((ROW()-1)/7)*57+MOD(ROW()-1,7)+50)&lt;&gt;"","set "&amp;INDEX(CUEs!$A:$A,INT((ROW()-1)/7)*57+MOD(ROW()-1,7)+50)&amp;"=/ s "&amp;INDEX(CUEs!$B:$B,INT((ROW()-1)/7)*57+MOD(ROW()-1,7)+50),"")</f>
        <v>set w1_0005_ch_postins_a=/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34" spans="1:1" x14ac:dyDescent="0.25">
      <c r="A34" t="str" cm="1">
        <f t="array" ref="A34">IF(INDEX(CUEs!$A:$A,INT((ROW()-1)/7)*57+MOD(ROW()-1,7)+50)&lt;&gt;"","set "&amp;INDEX(CUEs!$A:$A,INT((ROW()-1)/7)*57+MOD(ROW()-1,7)+50)&amp;"=/ s "&amp;INDEX(CUEs!$B:$B,INT((ROW()-1)/7)*57+MOD(ROW()-1,7)+50),"")</f>
        <v>set w1_0005_ch_postins_b=/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35" spans="1:1" x14ac:dyDescent="0.25">
      <c r="A35" t="str" cm="1">
        <f t="array" ref="A35">IF(INDEX(CUEs!$A:$A,INT((ROW()-1)/7)*57+MOD(ROW()-1,7)+50)&lt;&gt;"","set "&amp;INDEX(CUEs!$A:$A,INT((ROW()-1)/7)*57+MOD(ROW()-1,7)+50)&amp;"=/ s "&amp;INDEX(CUEs!$B:$B,INT((ROW()-1)/7)*57+MOD(ROW()-1,7)+50),"")</f>
        <v>set w1_0005_dcas_amix=/ s /dca.1.col=7,name=LEADS,.2.col=1,name=FlotJet,.3.col=2,name=Sail,.4.col=3,name=Sisters,.5.col=4,name=Maids,.6.col=5,name=LeeWind,.7.col=6,name=PrRaJen,.8.col=7,name=.,.9.col=8,name=.,.10.col=9,name=.,.11.col=10,name=OS,.12.col=11,name=VOX+.VRB,.13.col=12,name=VOX_.VRB,.14.col=13,name=INST+.VRB,.15.col=14,name=INST_.VRB,.16.col=15,name=MAINS,/cfg.amix.x=1,/cfg.amix.y=1,</v>
      </c>
    </row>
    <row r="36" spans="1:1" x14ac:dyDescent="0.25">
      <c r="A36" t="str" cm="1">
        <f t="array" ref="A36">IF(INDEX(CUEs!$A:$A,INT((ROW()-1)/7)*57+MOD(ROW()-1,7)+50)&lt;&gt;"","set "&amp;INDEX(CUEs!$A:$A,INT((ROW()-1)/7)*57+MOD(ROW()-1,7)+50)&amp;"=/ s "&amp;INDEX(CUEs!$B:$B,INT((ROW()-1)/7)*57+MOD(ROW()-1,7)+50),"")</f>
        <v/>
      </c>
    </row>
    <row r="37" spans="1:1" x14ac:dyDescent="0.25">
      <c r="A37" t="str" cm="1">
        <f t="array" ref="A37">IF(INDEX(CUEs!$A:$A,INT((ROW()-1)/7)*57+MOD(ROW()-1,7)+50)&lt;&gt;"","set "&amp;INDEX(CUEs!$A:$A,INT((ROW()-1)/7)*57+MOD(ROW()-1,7)+50)&amp;"=/ s "&amp;INDEX(CUEs!$B:$B,INT((ROW()-1)/7)*57+MOD(ROW()-1,7)+50),"")</f>
        <v/>
      </c>
    </row>
    <row r="38" spans="1:1" x14ac:dyDescent="0.25">
      <c r="A38" t="str" cm="1">
        <f t="array" ref="A38">IF(INDEX(CUEs!$A:$A,INT((ROW()-1)/7)*57+MOD(ROW()-1,7)+50)&lt;&gt;"","set "&amp;INDEX(CUEs!$A:$A,INT((ROW()-1)/7)*57+MOD(ROW()-1,7)+50)&amp;"=/ s "&amp;INDEX(CUEs!$B:$B,INT((ROW()-1)/7)*57+MOD(ROW()-1,7)+50),"")</f>
        <v/>
      </c>
    </row>
    <row r="39" spans="1:1" x14ac:dyDescent="0.25">
      <c r="A39" t="str" cm="1">
        <f t="array" ref="A39">IF(INDEX(CUEs!$A:$A,INT((ROW()-1)/7)*57+MOD(ROW()-1,7)+50)&lt;&gt;"","set "&amp;INDEX(CUEs!$A:$A,INT((ROW()-1)/7)*57+MOD(ROW()-1,7)+50)&amp;"=/ s "&amp;INDEX(CUEs!$B:$B,INT((ROW()-1)/7)*57+MOD(ROW()-1,7)+50),"")</f>
        <v/>
      </c>
    </row>
    <row r="40" spans="1:1" x14ac:dyDescent="0.25">
      <c r="A40" t="str" cm="1">
        <f t="array" ref="A40">IF(INDEX(CUEs!$A:$A,INT((ROW()-1)/7)*57+MOD(ROW()-1,7)+50)&lt;&gt;"","set "&amp;INDEX(CUEs!$A:$A,INT((ROW()-1)/7)*57+MOD(ROW()-1,7)+50)&amp;"=/ s "&amp;INDEX(CUEs!$B:$B,INT((ROW()-1)/7)*57+MOD(ROW()-1,7)+50),"")</f>
        <v/>
      </c>
    </row>
    <row r="41" spans="1:1" x14ac:dyDescent="0.25">
      <c r="A41" t="str" cm="1">
        <f t="array" ref="A41">IF(INDEX(CUEs!$A:$A,INT((ROW()-1)/7)*57+MOD(ROW()-1,7)+50)&lt;&gt;"","set "&amp;INDEX(CUEs!$A:$A,INT((ROW()-1)/7)*57+MOD(ROW()-1,7)+50)&amp;"=/ s "&amp;INDEX(CUEs!$B:$B,INT((ROW()-1)/7)*57+MOD(ROW()-1,7)+50),"")</f>
        <v/>
      </c>
    </row>
    <row r="42" spans="1:1" x14ac:dyDescent="0.25">
      <c r="A42" t="str" cm="1">
        <f t="array" ref="A42">IF(INDEX(CUEs!$A:$A,INT((ROW()-1)/7)*57+MOD(ROW()-1,7)+50)&lt;&gt;"","set "&amp;INDEX(CUEs!$A:$A,INT((ROW()-1)/7)*57+MOD(ROW()-1,7)+50)&amp;"=/ s "&amp;INDEX(CUEs!$B:$B,INT((ROW()-1)/7)*57+MOD(ROW()-1,7)+50),"")</f>
        <v/>
      </c>
    </row>
    <row r="43" spans="1:1" x14ac:dyDescent="0.25">
      <c r="A43" t="str" cm="1">
        <f t="array" ref="A43">IF(INDEX(CUEs!$A:$A,INT((ROW()-1)/7)*57+MOD(ROW()-1,7)+50)&lt;&gt;"","set "&amp;INDEX(CUEs!$A:$A,INT((ROW()-1)/7)*57+MOD(ROW()-1,7)+50)&amp;"=/ s "&amp;INDEX(CUEs!$B:$B,INT((ROW()-1)/7)*57+MOD(ROW()-1,7)+50),"")</f>
        <v/>
      </c>
    </row>
    <row r="44" spans="1:1" x14ac:dyDescent="0.25">
      <c r="A44" t="str" cm="1">
        <f t="array" ref="A44">IF(INDEX(CUEs!$A:$A,INT((ROW()-1)/7)*57+MOD(ROW()-1,7)+50)&lt;&gt;"","set "&amp;INDEX(CUEs!$A:$A,INT((ROW()-1)/7)*57+MOD(ROW()-1,7)+50)&amp;"=/ s "&amp;INDEX(CUEs!$B:$B,INT((ROW()-1)/7)*57+MOD(ROW()-1,7)+50),"")</f>
        <v/>
      </c>
    </row>
    <row r="45" spans="1:1" x14ac:dyDescent="0.25">
      <c r="A45" t="str" cm="1">
        <f t="array" ref="A45">IF(INDEX(CUEs!$A:$A,INT((ROW()-1)/7)*57+MOD(ROW()-1,7)+50)&lt;&gt;"","set "&amp;INDEX(CUEs!$A:$A,INT((ROW()-1)/7)*57+MOD(ROW()-1,7)+50)&amp;"=/ s "&amp;INDEX(CUEs!$B:$B,INT((ROW()-1)/7)*57+MOD(ROW()-1,7)+50),"")</f>
        <v/>
      </c>
    </row>
    <row r="46" spans="1:1" x14ac:dyDescent="0.25">
      <c r="A46" t="str" cm="1">
        <f t="array" ref="A46">IF(INDEX(CUEs!$A:$A,INT((ROW()-1)/7)*57+MOD(ROW()-1,7)+50)&lt;&gt;"","set "&amp;INDEX(CUEs!$A:$A,INT((ROW()-1)/7)*57+MOD(ROW()-1,7)+50)&amp;"=/ s "&amp;INDEX(CUEs!$B:$B,INT((ROW()-1)/7)*57+MOD(ROW()-1,7)+50),"")</f>
        <v/>
      </c>
    </row>
    <row r="47" spans="1:1" x14ac:dyDescent="0.25">
      <c r="A47" t="str" cm="1">
        <f t="array" ref="A47">IF(INDEX(CUEs!$A:$A,INT((ROW()-1)/7)*57+MOD(ROW()-1,7)+50)&lt;&gt;"","set "&amp;INDEX(CUEs!$A:$A,INT((ROW()-1)/7)*57+MOD(ROW()-1,7)+50)&amp;"=/ s "&amp;INDEX(CUEs!$B:$B,INT((ROW()-1)/7)*57+MOD(ROW()-1,7)+50),"")</f>
        <v/>
      </c>
    </row>
    <row r="48" spans="1:1" x14ac:dyDescent="0.25">
      <c r="A48" t="str" cm="1">
        <f t="array" ref="A48">IF(INDEX(CUEs!$A:$A,INT((ROW()-1)/7)*57+MOD(ROW()-1,7)+50)&lt;&gt;"","set "&amp;INDEX(CUEs!$A:$A,INT((ROW()-1)/7)*57+MOD(ROW()-1,7)+50)&amp;"=/ s "&amp;INDEX(CUEs!$B:$B,INT((ROW()-1)/7)*57+MOD(ROW()-1,7)+50),"")</f>
        <v/>
      </c>
    </row>
    <row r="49" spans="1:1" x14ac:dyDescent="0.25">
      <c r="A49" t="str" cm="1">
        <f t="array" ref="A49">IF(INDEX(CUEs!$A:$A,INT((ROW()-1)/7)*57+MOD(ROW()-1,7)+50)&lt;&gt;"","set "&amp;INDEX(CUEs!$A:$A,INT((ROW()-1)/7)*57+MOD(ROW()-1,7)+50)&amp;"=/ s "&amp;INDEX(CUEs!$B:$B,INT((ROW()-1)/7)*57+MOD(ROW()-1,7)+50),"")</f>
        <v/>
      </c>
    </row>
    <row r="50" spans="1:1" x14ac:dyDescent="0.25">
      <c r="A50" t="str" cm="1">
        <f t="array" ref="A50">IF(INDEX(CUEs!$A:$A,INT((ROW()-1)/7)*57+MOD(ROW()-1,7)+50)&lt;&gt;"","set "&amp;INDEX(CUEs!$A:$A,INT((ROW()-1)/7)*57+MOD(ROW()-1,7)+50)&amp;"=/ s "&amp;INDEX(CUEs!$B:$B,INT((ROW()-1)/7)*57+MOD(ROW()-1,7)+50),"")</f>
        <v/>
      </c>
    </row>
    <row r="51" spans="1:1" x14ac:dyDescent="0.25">
      <c r="A51" t="str" cm="1">
        <f t="array" ref="A51">IF(INDEX(CUEs!$A:$A,INT((ROW()-1)/7)*57+MOD(ROW()-1,7)+50)&lt;&gt;"","set "&amp;INDEX(CUEs!$A:$A,INT((ROW()-1)/7)*57+MOD(ROW()-1,7)+50)&amp;"=/ s "&amp;INDEX(CUEs!$B:$B,INT((ROW()-1)/7)*57+MOD(ROW()-1,7)+50),"")</f>
        <v/>
      </c>
    </row>
    <row r="52" spans="1:1" x14ac:dyDescent="0.25">
      <c r="A52" t="str" cm="1">
        <f t="array" ref="A52">IF(INDEX(CUEs!$A:$A,INT((ROW()-1)/7)*57+MOD(ROW()-1,7)+50)&lt;&gt;"","set "&amp;INDEX(CUEs!$A:$A,INT((ROW()-1)/7)*57+MOD(ROW()-1,7)+50)&amp;"=/ s "&amp;INDEX(CUEs!$B:$B,INT((ROW()-1)/7)*57+MOD(ROW()-1,7)+50),"")</f>
        <v/>
      </c>
    </row>
    <row r="53" spans="1:1" x14ac:dyDescent="0.25">
      <c r="A53" t="str" cm="1">
        <f t="array" ref="A53">IF(INDEX(CUEs!$A:$A,INT((ROW()-1)/7)*57+MOD(ROW()-1,7)+50)&lt;&gt;"","set "&amp;INDEX(CUEs!$A:$A,INT((ROW()-1)/7)*57+MOD(ROW()-1,7)+50)&amp;"=/ s "&amp;INDEX(CUEs!$B:$B,INT((ROW()-1)/7)*57+MOD(ROW()-1,7)+50),"")</f>
        <v/>
      </c>
    </row>
    <row r="54" spans="1:1" x14ac:dyDescent="0.25">
      <c r="A54" t="str" cm="1">
        <f t="array" ref="A54">IF(INDEX(CUEs!$A:$A,INT((ROW()-1)/7)*57+MOD(ROW()-1,7)+50)&lt;&gt;"","set "&amp;INDEX(CUEs!$A:$A,INT((ROW()-1)/7)*57+MOD(ROW()-1,7)+50)&amp;"=/ s "&amp;INDEX(CUEs!$B:$B,INT((ROW()-1)/7)*57+MOD(ROW()-1,7)+50),"")</f>
        <v/>
      </c>
    </row>
    <row r="55" spans="1:1" x14ac:dyDescent="0.25">
      <c r="A55" t="str" cm="1">
        <f t="array" ref="A55">IF(INDEX(CUEs!$A:$A,INT((ROW()-1)/7)*57+MOD(ROW()-1,7)+50)&lt;&gt;"","set "&amp;INDEX(CUEs!$A:$A,INT((ROW()-1)/7)*57+MOD(ROW()-1,7)+50)&amp;"=/ s "&amp;INDEX(CUEs!$B:$B,INT((ROW()-1)/7)*57+MOD(ROW()-1,7)+50),"")</f>
        <v/>
      </c>
    </row>
    <row r="56" spans="1:1" x14ac:dyDescent="0.25">
      <c r="A56" t="str" cm="1">
        <f t="array" ref="A56">IF(INDEX(CUEs!$A:$A,INT((ROW()-1)/7)*57+MOD(ROW()-1,7)+50)&lt;&gt;"","set "&amp;INDEX(CUEs!$A:$A,INT((ROW()-1)/7)*57+MOD(ROW()-1,7)+50)&amp;"=/ s "&amp;INDEX(CUEs!$B:$B,INT((ROW()-1)/7)*57+MOD(ROW()-1,7)+50),"")</f>
        <v/>
      </c>
    </row>
    <row r="57" spans="1:1" x14ac:dyDescent="0.25">
      <c r="A57" t="str" cm="1">
        <f t="array" ref="A57">IF(INDEX(CUEs!$A:$A,INT((ROW()-1)/7)*57+MOD(ROW()-1,7)+50)&lt;&gt;"","set "&amp;INDEX(CUEs!$A:$A,INT((ROW()-1)/7)*57+MOD(ROW()-1,7)+50)&amp;"=/ s "&amp;INDEX(CUEs!$B:$B,INT((ROW()-1)/7)*57+MOD(ROW()-1,7)+50),"")</f>
        <v/>
      </c>
    </row>
    <row r="58" spans="1:1" x14ac:dyDescent="0.25">
      <c r="A58" t="str" cm="1">
        <f t="array" ref="A58">IF(INDEX(CUEs!$A:$A,INT((ROW()-1)/7)*57+MOD(ROW()-1,7)+50)&lt;&gt;"","set "&amp;INDEX(CUEs!$A:$A,INT((ROW()-1)/7)*57+MOD(ROW()-1,7)+50)&amp;"=/ s "&amp;INDEX(CUEs!$B:$B,INT((ROW()-1)/7)*57+MOD(ROW()-1,7)+50),"")</f>
        <v/>
      </c>
    </row>
    <row r="59" spans="1:1" x14ac:dyDescent="0.25">
      <c r="A59" t="str" cm="1">
        <f t="array" ref="A59">IF(INDEX(CUEs!$A:$A,INT((ROW()-1)/7)*57+MOD(ROW()-1,7)+50)&lt;&gt;"","set "&amp;INDEX(CUEs!$A:$A,INT((ROW()-1)/7)*57+MOD(ROW()-1,7)+50)&amp;"=/ s "&amp;INDEX(CUEs!$B:$B,INT((ROW()-1)/7)*57+MOD(ROW()-1,7)+50),"")</f>
        <v/>
      </c>
    </row>
    <row r="60" spans="1:1" x14ac:dyDescent="0.25">
      <c r="A60" t="str" cm="1">
        <f t="array" ref="A60">IF(INDEX(CUEs!$A:$A,INT((ROW()-1)/7)*57+MOD(ROW()-1,7)+50)&lt;&gt;"","set "&amp;INDEX(CUEs!$A:$A,INT((ROW()-1)/7)*57+MOD(ROW()-1,7)+50)&amp;"=/ s "&amp;INDEX(CUEs!$B:$B,INT((ROW()-1)/7)*57+MOD(ROW()-1,7)+50),"")</f>
        <v/>
      </c>
    </row>
    <row r="61" spans="1:1" x14ac:dyDescent="0.25">
      <c r="A61" t="str" cm="1">
        <f t="array" ref="A61">IF(INDEX(CUEs!$A:$A,INT((ROW()-1)/7)*57+MOD(ROW()-1,7)+50)&lt;&gt;"","set "&amp;INDEX(CUEs!$A:$A,INT((ROW()-1)/7)*57+MOD(ROW()-1,7)+50)&amp;"=/ s "&amp;INDEX(CUEs!$B:$B,INT((ROW()-1)/7)*57+MOD(ROW()-1,7)+50),"")</f>
        <v/>
      </c>
    </row>
    <row r="62" spans="1:1" x14ac:dyDescent="0.25">
      <c r="A62" t="str" cm="1">
        <f t="array" ref="A62">IF(INDEX(CUEs!$A:$A,INT((ROW()-1)/7)*57+MOD(ROW()-1,7)+50)&lt;&gt;"","set "&amp;INDEX(CUEs!$A:$A,INT((ROW()-1)/7)*57+MOD(ROW()-1,7)+50)&amp;"=/ s "&amp;INDEX(CUEs!$B:$B,INT((ROW()-1)/7)*57+MOD(ROW()-1,7)+50),"")</f>
        <v/>
      </c>
    </row>
    <row r="63" spans="1:1" x14ac:dyDescent="0.25">
      <c r="A63" t="str" cm="1">
        <f t="array" ref="A63">IF(INDEX(CUEs!$A:$A,INT((ROW()-1)/7)*57+MOD(ROW()-1,7)+50)&lt;&gt;"","set "&amp;INDEX(CUEs!$A:$A,INT((ROW()-1)/7)*57+MOD(ROW()-1,7)+50)&amp;"=/ s "&amp;INDEX(CUEs!$B:$B,INT((ROW()-1)/7)*57+MOD(ROW()-1,7)+50),"")</f>
        <v/>
      </c>
    </row>
    <row r="64" spans="1:1" x14ac:dyDescent="0.25">
      <c r="A64" t="str" cm="1">
        <f t="array" ref="A64">IF(INDEX(CUEs!$A:$A,INT((ROW()-1)/7)*57+MOD(ROW()-1,7)+50)&lt;&gt;"","set "&amp;INDEX(CUEs!$A:$A,INT((ROW()-1)/7)*57+MOD(ROW()-1,7)+50)&amp;"=/ s "&amp;INDEX(CUEs!$B:$B,INT((ROW()-1)/7)*57+MOD(ROW()-1,7)+50),"")</f>
        <v/>
      </c>
    </row>
    <row r="65" spans="1:1" x14ac:dyDescent="0.25">
      <c r="A65" t="str" cm="1">
        <f t="array" ref="A65">IF(INDEX(CUEs!$A:$A,INT((ROW()-1)/7)*57+MOD(ROW()-1,7)+50)&lt;&gt;"","set "&amp;INDEX(CUEs!$A:$A,INT((ROW()-1)/7)*57+MOD(ROW()-1,7)+50)&amp;"=/ s "&amp;INDEX(CUEs!$B:$B,INT((ROW()-1)/7)*57+MOD(ROW()-1,7)+50),"")</f>
        <v/>
      </c>
    </row>
    <row r="66" spans="1:1" x14ac:dyDescent="0.25">
      <c r="A66" t="str" cm="1">
        <f t="array" ref="A66">IF(INDEX(CUEs!$A:$A,INT((ROW()-1)/7)*57+MOD(ROW()-1,7)+50)&lt;&gt;"","set "&amp;INDEX(CUEs!$A:$A,INT((ROW()-1)/7)*57+MOD(ROW()-1,7)+50)&amp;"=/ s "&amp;INDEX(CUEs!$B:$B,INT((ROW()-1)/7)*57+MOD(ROW()-1,7)+50),"")</f>
        <v/>
      </c>
    </row>
    <row r="67" spans="1:1" x14ac:dyDescent="0.25">
      <c r="A67" t="str" cm="1">
        <f t="array" ref="A67">IF(INDEX(CUEs!$A:$A,INT((ROW()-1)/7)*57+MOD(ROW()-1,7)+50)&lt;&gt;"","set "&amp;INDEX(CUEs!$A:$A,INT((ROW()-1)/7)*57+MOD(ROW()-1,7)+50)&amp;"=/ s "&amp;INDEX(CUEs!$B:$B,INT((ROW()-1)/7)*57+MOD(ROW()-1,7)+50),"")</f>
        <v/>
      </c>
    </row>
    <row r="68" spans="1:1" x14ac:dyDescent="0.25">
      <c r="A68" t="str" cm="1">
        <f t="array" ref="A68">IF(INDEX(CUEs!$A:$A,INT((ROW()-1)/7)*57+MOD(ROW()-1,7)+50)&lt;&gt;"","set "&amp;INDEX(CUEs!$A:$A,INT((ROW()-1)/7)*57+MOD(ROW()-1,7)+50)&amp;"=/ s "&amp;INDEX(CUEs!$B:$B,INT((ROW()-1)/7)*57+MOD(ROW()-1,7)+50),"")</f>
        <v/>
      </c>
    </row>
    <row r="69" spans="1:1" x14ac:dyDescent="0.25">
      <c r="A69" t="str" cm="1">
        <f t="array" ref="A69">IF(INDEX(CUEs!$A:$A,INT((ROW()-1)/7)*57+MOD(ROW()-1,7)+50)&lt;&gt;"","set "&amp;INDEX(CUEs!$A:$A,INT((ROW()-1)/7)*57+MOD(ROW()-1,7)+50)&amp;"=/ s "&amp;INDEX(CUEs!$B:$B,INT((ROW()-1)/7)*57+MOD(ROW()-1,7)+50),"")</f>
        <v/>
      </c>
    </row>
    <row r="70" spans="1:1" x14ac:dyDescent="0.25">
      <c r="A70" t="str" cm="1">
        <f t="array" ref="A70">IF(INDEX(CUEs!$A:$A,INT((ROW()-1)/7)*57+MOD(ROW()-1,7)+50)&lt;&gt;"","set "&amp;INDEX(CUEs!$A:$A,INT((ROW()-1)/7)*57+MOD(ROW()-1,7)+50)&amp;"=/ s "&amp;INDEX(CUEs!$B:$B,INT((ROW()-1)/7)*57+MOD(ROW()-1,7)+50),"")</f>
        <v/>
      </c>
    </row>
    <row r="71" spans="1:1" x14ac:dyDescent="0.25">
      <c r="A71" t="str" cm="1">
        <f t="array" ref="A71">IF(INDEX(CUEs!$A:$A,INT((ROW()-1)/7)*57+MOD(ROW()-1,7)+50)&lt;&gt;"","set "&amp;INDEX(CUEs!$A:$A,INT((ROW()-1)/7)*57+MOD(ROW()-1,7)+50)&amp;"=/ s "&amp;INDEX(CUEs!$B:$B,INT((ROW()-1)/7)*57+MOD(ROW()-1,7)+50),"")</f>
        <v/>
      </c>
    </row>
    <row r="72" spans="1:1" x14ac:dyDescent="0.25">
      <c r="A72" t="str" cm="1">
        <f t="array" ref="A72">IF(INDEX(CUEs!$A:$A,INT((ROW()-1)/7)*57+MOD(ROW()-1,7)+50)&lt;&gt;"","set "&amp;INDEX(CUEs!$A:$A,INT((ROW()-1)/7)*57+MOD(ROW()-1,7)+50)&amp;"=/ s "&amp;INDEX(CUEs!$B:$B,INT((ROW()-1)/7)*57+MOD(ROW()-1,7)+50),"")</f>
        <v/>
      </c>
    </row>
    <row r="73" spans="1:1" x14ac:dyDescent="0.25">
      <c r="A73" t="str" cm="1">
        <f t="array" ref="A73">IF(INDEX(CUEs!$A:$A,INT((ROW()-1)/7)*57+MOD(ROW()-1,7)+50)&lt;&gt;"","set "&amp;INDEX(CUEs!$A:$A,INT((ROW()-1)/7)*57+MOD(ROW()-1,7)+50)&amp;"=/ s "&amp;INDEX(CUEs!$B:$B,INT((ROW()-1)/7)*57+MOD(ROW()-1,7)+50),"")</f>
        <v/>
      </c>
    </row>
    <row r="74" spans="1:1" x14ac:dyDescent="0.25">
      <c r="A74" t="str" cm="1">
        <f t="array" ref="A74">IF(INDEX(CUEs!$A:$A,INT((ROW()-1)/7)*57+MOD(ROW()-1,7)+50)&lt;&gt;"","set "&amp;INDEX(CUEs!$A:$A,INT((ROW()-1)/7)*57+MOD(ROW()-1,7)+50)&amp;"=/ s "&amp;INDEX(CUEs!$B:$B,INT((ROW()-1)/7)*57+MOD(ROW()-1,7)+50),"")</f>
        <v/>
      </c>
    </row>
    <row r="75" spans="1:1" x14ac:dyDescent="0.25">
      <c r="A75" t="str" cm="1">
        <f t="array" ref="A75">IF(INDEX(CUEs!$A:$A,INT((ROW()-1)/7)*57+MOD(ROW()-1,7)+50)&lt;&gt;"","set "&amp;INDEX(CUEs!$A:$A,INT((ROW()-1)/7)*57+MOD(ROW()-1,7)+50)&amp;"=/ s "&amp;INDEX(CUEs!$B:$B,INT((ROW()-1)/7)*57+MOD(ROW()-1,7)+50),"")</f>
        <v/>
      </c>
    </row>
    <row r="76" spans="1:1" x14ac:dyDescent="0.25">
      <c r="A76" t="str" cm="1">
        <f t="array" ref="A76">IF(INDEX(CUEs!$A:$A,INT((ROW()-1)/7)*57+MOD(ROW()-1,7)+50)&lt;&gt;"","set "&amp;INDEX(CUEs!$A:$A,INT((ROW()-1)/7)*57+MOD(ROW()-1,7)+50)&amp;"=/ s "&amp;INDEX(CUEs!$B:$B,INT((ROW()-1)/7)*57+MOD(ROW()-1,7)+50),"")</f>
        <v/>
      </c>
    </row>
    <row r="77" spans="1:1" x14ac:dyDescent="0.25">
      <c r="A77" t="str" cm="1">
        <f t="array" ref="A77">IF(INDEX(CUEs!$A:$A,INT((ROW()-1)/7)*57+MOD(ROW()-1,7)+50)&lt;&gt;"","set "&amp;INDEX(CUEs!$A:$A,INT((ROW()-1)/7)*57+MOD(ROW()-1,7)+50)&amp;"=/ s "&amp;INDEX(CUEs!$B:$B,INT((ROW()-1)/7)*57+MOD(ROW()-1,7)+50),"")</f>
        <v/>
      </c>
    </row>
    <row r="78" spans="1:1" x14ac:dyDescent="0.25">
      <c r="A78" t="str" cm="1">
        <f t="array" ref="A78">IF(INDEX(CUEs!$A:$A,INT((ROW()-1)/7)*57+MOD(ROW()-1,7)+50)&lt;&gt;"","set "&amp;INDEX(CUEs!$A:$A,INT((ROW()-1)/7)*57+MOD(ROW()-1,7)+50)&amp;"=/ s "&amp;INDEX(CUEs!$B:$B,INT((ROW()-1)/7)*57+MOD(ROW()-1,7)+50),"")</f>
        <v/>
      </c>
    </row>
    <row r="79" spans="1:1" x14ac:dyDescent="0.25">
      <c r="A79" t="str" cm="1">
        <f t="array" ref="A79">IF(INDEX(CUEs!$A:$A,INT((ROW()-1)/7)*57+MOD(ROW()-1,7)+50)&lt;&gt;"","set "&amp;INDEX(CUEs!$A:$A,INT((ROW()-1)/7)*57+MOD(ROW()-1,7)+50)&amp;"=/ s "&amp;INDEX(CUEs!$B:$B,INT((ROW()-1)/7)*57+MOD(ROW()-1,7)+50),"")</f>
        <v/>
      </c>
    </row>
    <row r="80" spans="1:1" x14ac:dyDescent="0.25">
      <c r="A80" t="str" cm="1">
        <f t="array" ref="A80">IF(INDEX(CUEs!$A:$A,INT((ROW()-1)/7)*57+MOD(ROW()-1,7)+50)&lt;&gt;"","set "&amp;INDEX(CUEs!$A:$A,INT((ROW()-1)/7)*57+MOD(ROW()-1,7)+50)&amp;"=/ s "&amp;INDEX(CUEs!$B:$B,INT((ROW()-1)/7)*57+MOD(ROW()-1,7)+50),"")</f>
        <v/>
      </c>
    </row>
    <row r="81" spans="1:1" x14ac:dyDescent="0.25">
      <c r="A81" t="str" cm="1">
        <f t="array" ref="A81">IF(INDEX(CUEs!$A:$A,INT((ROW()-1)/7)*57+MOD(ROW()-1,7)+50)&lt;&gt;"","set "&amp;INDEX(CUEs!$A:$A,INT((ROW()-1)/7)*57+MOD(ROW()-1,7)+50)&amp;"=/ s "&amp;INDEX(CUEs!$B:$B,INT((ROW()-1)/7)*57+MOD(ROW()-1,7)+50),"")</f>
        <v/>
      </c>
    </row>
    <row r="82" spans="1:1" x14ac:dyDescent="0.25">
      <c r="A82" t="str" cm="1">
        <f t="array" ref="A82">IF(INDEX(CUEs!$A:$A,INT((ROW()-1)/7)*57+MOD(ROW()-1,7)+50)&lt;&gt;"","set "&amp;INDEX(CUEs!$A:$A,INT((ROW()-1)/7)*57+MOD(ROW()-1,7)+50)&amp;"=/ s "&amp;INDEX(CUEs!$B:$B,INT((ROW()-1)/7)*57+MOD(ROW()-1,7)+50),"")</f>
        <v/>
      </c>
    </row>
    <row r="83" spans="1:1" x14ac:dyDescent="0.25">
      <c r="A83" t="str" cm="1">
        <f t="array" ref="A83">IF(INDEX(CUEs!$A:$A,INT((ROW()-1)/7)*57+MOD(ROW()-1,7)+50)&lt;&gt;"","set "&amp;INDEX(CUEs!$A:$A,INT((ROW()-1)/7)*57+MOD(ROW()-1,7)+50)&amp;"=/ s "&amp;INDEX(CUEs!$B:$B,INT((ROW()-1)/7)*57+MOD(ROW()-1,7)+50),"")</f>
        <v/>
      </c>
    </row>
    <row r="84" spans="1:1" x14ac:dyDescent="0.25">
      <c r="A84" t="str" cm="1">
        <f t="array" ref="A84">IF(INDEX(CUEs!$A:$A,INT((ROW()-1)/7)*57+MOD(ROW()-1,7)+50)&lt;&gt;"","set "&amp;INDEX(CUEs!$A:$A,INT((ROW()-1)/7)*57+MOD(ROW()-1,7)+50)&amp;"=/ s "&amp;INDEX(CUEs!$B:$B,INT((ROW()-1)/7)*57+MOD(ROW()-1,7)+50),"")</f>
        <v/>
      </c>
    </row>
    <row r="85" spans="1:1" x14ac:dyDescent="0.25">
      <c r="A85" t="str" cm="1">
        <f t="array" ref="A85">IF(INDEX(CUEs!$A:$A,INT((ROW()-1)/7)*57+MOD(ROW()-1,7)+50)&lt;&gt;"","set "&amp;INDEX(CUEs!$A:$A,INT((ROW()-1)/7)*57+MOD(ROW()-1,7)+50)&amp;"=/ s "&amp;INDEX(CUEs!$B:$B,INT((ROW()-1)/7)*57+MOD(ROW()-1,7)+50),"")</f>
        <v/>
      </c>
    </row>
    <row r="86" spans="1:1" x14ac:dyDescent="0.25">
      <c r="A86" t="str" cm="1">
        <f t="array" ref="A86">IF(INDEX(CUEs!$A:$A,INT((ROW()-1)/7)*57+MOD(ROW()-1,7)+50)&lt;&gt;"","set "&amp;INDEX(CUEs!$A:$A,INT((ROW()-1)/7)*57+MOD(ROW()-1,7)+50)&amp;"=/ s "&amp;INDEX(CUEs!$B:$B,INT((ROW()-1)/7)*57+MOD(ROW()-1,7)+50),"")</f>
        <v/>
      </c>
    </row>
    <row r="87" spans="1:1" x14ac:dyDescent="0.25">
      <c r="A87" t="str" cm="1">
        <f t="array" ref="A87">IF(INDEX(CUEs!$A:$A,INT((ROW()-1)/7)*57+MOD(ROW()-1,7)+50)&lt;&gt;"","set "&amp;INDEX(CUEs!$A:$A,INT((ROW()-1)/7)*57+MOD(ROW()-1,7)+50)&amp;"=/ s "&amp;INDEX(CUEs!$B:$B,INT((ROW()-1)/7)*57+MOD(ROW()-1,7)+50),"")</f>
        <v/>
      </c>
    </row>
    <row r="88" spans="1:1" x14ac:dyDescent="0.25">
      <c r="A88" t="str" cm="1">
        <f t="array" ref="A88">IF(INDEX(CUEs!$A:$A,INT((ROW()-1)/7)*57+MOD(ROW()-1,7)+50)&lt;&gt;"","set "&amp;INDEX(CUEs!$A:$A,INT((ROW()-1)/7)*57+MOD(ROW()-1,7)+50)&amp;"=/ s "&amp;INDEX(CUEs!$B:$B,INT((ROW()-1)/7)*57+MOD(ROW()-1,7)+50),"")</f>
        <v/>
      </c>
    </row>
    <row r="89" spans="1:1" x14ac:dyDescent="0.25">
      <c r="A89" t="str" cm="1">
        <f t="array" ref="A89">IF(INDEX(CUEs!$A:$A,INT((ROW()-1)/7)*57+MOD(ROW()-1,7)+50)&lt;&gt;"","set "&amp;INDEX(CUEs!$A:$A,INT((ROW()-1)/7)*57+MOD(ROW()-1,7)+50)&amp;"=/ s "&amp;INDEX(CUEs!$B:$B,INT((ROW()-1)/7)*57+MOD(ROW()-1,7)+50),"")</f>
        <v/>
      </c>
    </row>
    <row r="90" spans="1:1" x14ac:dyDescent="0.25">
      <c r="A90" t="str" cm="1">
        <f t="array" ref="A90">IF(INDEX(CUEs!$A:$A,INT((ROW()-1)/7)*57+MOD(ROW()-1,7)+50)&lt;&gt;"","set "&amp;INDEX(CUEs!$A:$A,INT((ROW()-1)/7)*57+MOD(ROW()-1,7)+50)&amp;"=/ s "&amp;INDEX(CUEs!$B:$B,INT((ROW()-1)/7)*57+MOD(ROW()-1,7)+50),"")</f>
        <v/>
      </c>
    </row>
    <row r="91" spans="1:1" x14ac:dyDescent="0.25">
      <c r="A91" t="str" cm="1">
        <f t="array" ref="A91">IF(INDEX(CUEs!$A:$A,INT((ROW()-1)/7)*57+MOD(ROW()-1,7)+50)&lt;&gt;"","set "&amp;INDEX(CUEs!$A:$A,INT((ROW()-1)/7)*57+MOD(ROW()-1,7)+50)&amp;"=/ s "&amp;INDEX(CUEs!$B:$B,INT((ROW()-1)/7)*57+MOD(ROW()-1,7)+50),"")</f>
        <v/>
      </c>
    </row>
    <row r="92" spans="1:1" x14ac:dyDescent="0.25">
      <c r="A92" t="str" cm="1">
        <f t="array" ref="A92">IF(INDEX(CUEs!$A:$A,INT((ROW()-1)/7)*57+MOD(ROW()-1,7)+50)&lt;&gt;"","set "&amp;INDEX(CUEs!$A:$A,INT((ROW()-1)/7)*57+MOD(ROW()-1,7)+50)&amp;"=/ s "&amp;INDEX(CUEs!$B:$B,INT((ROW()-1)/7)*57+MOD(ROW()-1,7)+50),"")</f>
        <v/>
      </c>
    </row>
    <row r="93" spans="1:1" x14ac:dyDescent="0.25">
      <c r="A93" t="str" cm="1">
        <f t="array" ref="A93">IF(INDEX(CUEs!$A:$A,INT((ROW()-1)/7)*57+MOD(ROW()-1,7)+50)&lt;&gt;"","set "&amp;INDEX(CUEs!$A:$A,INT((ROW()-1)/7)*57+MOD(ROW()-1,7)+50)&amp;"=/ s "&amp;INDEX(CUEs!$B:$B,INT((ROW()-1)/7)*57+MOD(ROW()-1,7)+50),"")</f>
        <v/>
      </c>
    </row>
    <row r="94" spans="1:1" x14ac:dyDescent="0.25">
      <c r="A94" t="str" cm="1">
        <f t="array" ref="A94">IF(INDEX(CUEs!$A:$A,INT((ROW()-1)/7)*57+MOD(ROW()-1,7)+50)&lt;&gt;"","set "&amp;INDEX(CUEs!$A:$A,INT((ROW()-1)/7)*57+MOD(ROW()-1,7)+50)&amp;"=/ s "&amp;INDEX(CUEs!$B:$B,INT((ROW()-1)/7)*57+MOD(ROW()-1,7)+50),"")</f>
        <v/>
      </c>
    </row>
    <row r="95" spans="1:1" x14ac:dyDescent="0.25">
      <c r="A95" t="str" cm="1">
        <f t="array" ref="A95">IF(INDEX(CUEs!$A:$A,INT((ROW()-1)/7)*57+MOD(ROW()-1,7)+50)&lt;&gt;"","set "&amp;INDEX(CUEs!$A:$A,INT((ROW()-1)/7)*57+MOD(ROW()-1,7)+50)&amp;"=/ s "&amp;INDEX(CUEs!$B:$B,INT((ROW()-1)/7)*57+MOD(ROW()-1,7)+50),"")</f>
        <v/>
      </c>
    </row>
    <row r="96" spans="1:1" x14ac:dyDescent="0.25">
      <c r="A96" t="str" cm="1">
        <f t="array" ref="A96">IF(INDEX(CUEs!$A:$A,INT((ROW()-1)/7)*57+MOD(ROW()-1,7)+50)&lt;&gt;"","set "&amp;INDEX(CUEs!$A:$A,INT((ROW()-1)/7)*57+MOD(ROW()-1,7)+50)&amp;"=/ s "&amp;INDEX(CUEs!$B:$B,INT((ROW()-1)/7)*57+MOD(ROW()-1,7)+50),"")</f>
        <v/>
      </c>
    </row>
    <row r="97" spans="1:1" x14ac:dyDescent="0.25">
      <c r="A97" t="str" cm="1">
        <f t="array" ref="A97">IF(INDEX(CUEs!$A:$A,INT((ROW()-1)/7)*57+MOD(ROW()-1,7)+50)&lt;&gt;"","set "&amp;INDEX(CUEs!$A:$A,INT((ROW()-1)/7)*57+MOD(ROW()-1,7)+50)&amp;"=/ s "&amp;INDEX(CUEs!$B:$B,INT((ROW()-1)/7)*57+MOD(ROW()-1,7)+50),"")</f>
        <v/>
      </c>
    </row>
    <row r="98" spans="1:1" x14ac:dyDescent="0.25">
      <c r="A98" t="str" cm="1">
        <f t="array" ref="A98">IF(INDEX(CUEs!$A:$A,INT((ROW()-1)/7)*57+MOD(ROW()-1,7)+50)&lt;&gt;"","set "&amp;INDEX(CUEs!$A:$A,INT((ROW()-1)/7)*57+MOD(ROW()-1,7)+50)&amp;"=/ s "&amp;INDEX(CUEs!$B:$B,INT((ROW()-1)/7)*57+MOD(ROW()-1,7)+50),"")</f>
        <v/>
      </c>
    </row>
    <row r="99" spans="1:1" x14ac:dyDescent="0.25">
      <c r="A99" t="str" cm="1">
        <f t="array" ref="A99">IF(INDEX(CUEs!$A:$A,INT((ROW()-1)/7)*57+MOD(ROW()-1,7)+50)&lt;&gt;"","set "&amp;INDEX(CUEs!$A:$A,INT((ROW()-1)/7)*57+MOD(ROW()-1,7)+50)&amp;"=/ s "&amp;INDEX(CUEs!$B:$B,INT((ROW()-1)/7)*57+MOD(ROW()-1,7)+50),"")</f>
        <v/>
      </c>
    </row>
    <row r="100" spans="1:1" x14ac:dyDescent="0.25">
      <c r="A100" t="str" cm="1">
        <f t="array" ref="A100">IF(INDEX(CUEs!$A:$A,INT((ROW()-1)/7)*57+MOD(ROW()-1,7)+50)&lt;&gt;"","set "&amp;INDEX(CUEs!$A:$A,INT((ROW()-1)/7)*57+MOD(ROW()-1,7)+50)&amp;"=/ s "&amp;INDEX(CUEs!$B:$B,INT((ROW()-1)/7)*57+MOD(ROW()-1,7)+50),"")</f>
        <v/>
      </c>
    </row>
    <row r="101" spans="1:1" x14ac:dyDescent="0.25">
      <c r="A101" t="str" cm="1">
        <f t="array" ref="A101">IF(INDEX(CUEs!$A:$A,INT((ROW()-1)/7)*57+MOD(ROW()-1,7)+50)&lt;&gt;"","set "&amp;INDEX(CUEs!$A:$A,INT((ROW()-1)/7)*57+MOD(ROW()-1,7)+50)&amp;"=/ s "&amp;INDEX(CUEs!$B:$B,INT((ROW()-1)/7)*57+MOD(ROW()-1,7)+50),"")</f>
        <v/>
      </c>
    </row>
    <row r="102" spans="1:1" x14ac:dyDescent="0.25">
      <c r="A102" t="str" cm="1">
        <f t="array" ref="A102">IF(INDEX(CUEs!$A:$A,INT((ROW()-1)/7)*57+MOD(ROW()-1,7)+50)&lt;&gt;"","set "&amp;INDEX(CUEs!$A:$A,INT((ROW()-1)/7)*57+MOD(ROW()-1,7)+50)&amp;"=/ s "&amp;INDEX(CUEs!$B:$B,INT((ROW()-1)/7)*57+MOD(ROW()-1,7)+50),"")</f>
        <v/>
      </c>
    </row>
    <row r="103" spans="1:1" x14ac:dyDescent="0.25">
      <c r="A103" t="str" cm="1">
        <f t="array" ref="A103">IF(INDEX(CUEs!$A:$A,INT((ROW()-1)/7)*57+MOD(ROW()-1,7)+50)&lt;&gt;"","set "&amp;INDEX(CUEs!$A:$A,INT((ROW()-1)/7)*57+MOD(ROW()-1,7)+50)&amp;"=/ s "&amp;INDEX(CUEs!$B:$B,INT((ROW()-1)/7)*57+MOD(ROW()-1,7)+50),"")</f>
        <v/>
      </c>
    </row>
    <row r="104" spans="1:1" x14ac:dyDescent="0.25">
      <c r="A104" t="str" cm="1">
        <f t="array" ref="A104">IF(INDEX(CUEs!$A:$A,INT((ROW()-1)/7)*57+MOD(ROW()-1,7)+50)&lt;&gt;"","set "&amp;INDEX(CUEs!$A:$A,INT((ROW()-1)/7)*57+MOD(ROW()-1,7)+50)&amp;"=/ s "&amp;INDEX(CUEs!$B:$B,INT((ROW()-1)/7)*57+MOD(ROW()-1,7)+50),"")</f>
        <v/>
      </c>
    </row>
    <row r="105" spans="1:1" x14ac:dyDescent="0.25">
      <c r="A105" t="str" cm="1">
        <f t="array" ref="A105">IF(INDEX(CUEs!$A:$A,INT((ROW()-1)/7)*57+MOD(ROW()-1,7)+50)&lt;&gt;"","set "&amp;INDEX(CUEs!$A:$A,INT((ROW()-1)/7)*57+MOD(ROW()-1,7)+50)&amp;"=/ s "&amp;INDEX(CUEs!$B:$B,INT((ROW()-1)/7)*57+MOD(ROW()-1,7)+50),"")</f>
        <v/>
      </c>
    </row>
    <row r="106" spans="1:1" x14ac:dyDescent="0.25">
      <c r="A106" t="str" cm="1">
        <f t="array" ref="A106">IF(INDEX(CUEs!$A:$A,INT((ROW()-1)/7)*57+MOD(ROW()-1,7)+50)&lt;&gt;"","set "&amp;INDEX(CUEs!$A:$A,INT((ROW()-1)/7)*57+MOD(ROW()-1,7)+50)&amp;"=/ s "&amp;INDEX(CUEs!$B:$B,INT((ROW()-1)/7)*57+MOD(ROW()-1,7)+50),"")</f>
        <v/>
      </c>
    </row>
    <row r="107" spans="1:1" x14ac:dyDescent="0.25">
      <c r="A107" t="str" cm="1">
        <f t="array" ref="A107">IF(INDEX(CUEs!$A:$A,INT((ROW()-1)/7)*57+MOD(ROW()-1,7)+50)&lt;&gt;"","set "&amp;INDEX(CUEs!$A:$A,INT((ROW()-1)/7)*57+MOD(ROW()-1,7)+50)&amp;"=/ s "&amp;INDEX(CUEs!$B:$B,INT((ROW()-1)/7)*57+MOD(ROW()-1,7)+50),"")</f>
        <v/>
      </c>
    </row>
    <row r="108" spans="1:1" x14ac:dyDescent="0.25">
      <c r="A108" t="str" cm="1">
        <f t="array" ref="A108">IF(INDEX(CUEs!$A:$A,INT((ROW()-1)/7)*57+MOD(ROW()-1,7)+50)&lt;&gt;"","set "&amp;INDEX(CUEs!$A:$A,INT((ROW()-1)/7)*57+MOD(ROW()-1,7)+50)&amp;"=/ s "&amp;INDEX(CUEs!$B:$B,INT((ROW()-1)/7)*57+MOD(ROW()-1,7)+50),"")</f>
        <v/>
      </c>
    </row>
    <row r="109" spans="1:1" x14ac:dyDescent="0.25">
      <c r="A109" t="str" cm="1">
        <f t="array" ref="A109">IF(INDEX(CUEs!$A:$A,INT((ROW()-1)/7)*57+MOD(ROW()-1,7)+50)&lt;&gt;"","set "&amp;INDEX(CUEs!$A:$A,INT((ROW()-1)/7)*57+MOD(ROW()-1,7)+50)&amp;"=/ s "&amp;INDEX(CUEs!$B:$B,INT((ROW()-1)/7)*57+MOD(ROW()-1,7)+50),"")</f>
        <v/>
      </c>
    </row>
    <row r="110" spans="1:1" x14ac:dyDescent="0.25">
      <c r="A110" t="str" cm="1">
        <f t="array" ref="A110">IF(INDEX(CUEs!$A:$A,INT((ROW()-1)/7)*57+MOD(ROW()-1,7)+50)&lt;&gt;"","set "&amp;INDEX(CUEs!$A:$A,INT((ROW()-1)/7)*57+MOD(ROW()-1,7)+50)&amp;"=/ s "&amp;INDEX(CUEs!$B:$B,INT((ROW()-1)/7)*57+MOD(ROW()-1,7)+50),"")</f>
        <v/>
      </c>
    </row>
    <row r="111" spans="1:1" x14ac:dyDescent="0.25">
      <c r="A111" t="str" cm="1">
        <f t="array" ref="A111">IF(INDEX(CUEs!$A:$A,INT((ROW()-1)/7)*57+MOD(ROW()-1,7)+50)&lt;&gt;"","set "&amp;INDEX(CUEs!$A:$A,INT((ROW()-1)/7)*57+MOD(ROW()-1,7)+50)&amp;"=/ s "&amp;INDEX(CUEs!$B:$B,INT((ROW()-1)/7)*57+MOD(ROW()-1,7)+50),"")</f>
        <v/>
      </c>
    </row>
    <row r="112" spans="1:1" x14ac:dyDescent="0.25">
      <c r="A112" t="str" cm="1">
        <f t="array" ref="A112">IF(INDEX(CUEs!$A:$A,INT((ROW()-1)/7)*57+MOD(ROW()-1,7)+50)&lt;&gt;"","set "&amp;INDEX(CUEs!$A:$A,INT((ROW()-1)/7)*57+MOD(ROW()-1,7)+50)&amp;"=/ s "&amp;INDEX(CUEs!$B:$B,INT((ROW()-1)/7)*57+MOD(ROW()-1,7)+50),"")</f>
        <v/>
      </c>
    </row>
    <row r="113" spans="1:1" x14ac:dyDescent="0.25">
      <c r="A113" t="str" cm="1">
        <f t="array" ref="A113">IF(INDEX(CUEs!$A:$A,INT((ROW()-1)/7)*57+MOD(ROW()-1,7)+50)&lt;&gt;"","set "&amp;INDEX(CUEs!$A:$A,INT((ROW()-1)/7)*57+MOD(ROW()-1,7)+50)&amp;"=/ s "&amp;INDEX(CUEs!$B:$B,INT((ROW()-1)/7)*57+MOD(ROW()-1,7)+50),"")</f>
        <v/>
      </c>
    </row>
    <row r="114" spans="1:1" x14ac:dyDescent="0.25">
      <c r="A114" t="str" cm="1">
        <f t="array" ref="A114">IF(INDEX(CUEs!$A:$A,INT((ROW()-1)/7)*57+MOD(ROW()-1,7)+50)&lt;&gt;"","set "&amp;INDEX(CUEs!$A:$A,INT((ROW()-1)/7)*57+MOD(ROW()-1,7)+50)&amp;"=/ s "&amp;INDEX(CUEs!$B:$B,INT((ROW()-1)/7)*57+MOD(ROW()-1,7)+50),"")</f>
        <v/>
      </c>
    </row>
    <row r="115" spans="1:1" x14ac:dyDescent="0.25">
      <c r="A115" t="str" cm="1">
        <f t="array" ref="A115">IF(INDEX(CUEs!$A:$A,INT((ROW()-1)/7)*57+MOD(ROW()-1,7)+50)&lt;&gt;"","set "&amp;INDEX(CUEs!$A:$A,INT((ROW()-1)/7)*57+MOD(ROW()-1,7)+50)&amp;"=/ s "&amp;INDEX(CUEs!$B:$B,INT((ROW()-1)/7)*57+MOD(ROW()-1,7)+50),"")</f>
        <v/>
      </c>
    </row>
    <row r="116" spans="1:1" x14ac:dyDescent="0.25">
      <c r="A116" t="str" cm="1">
        <f t="array" ref="A116">IF(INDEX(CUEs!$A:$A,INT((ROW()-1)/7)*57+MOD(ROW()-1,7)+50)&lt;&gt;"","set "&amp;INDEX(CUEs!$A:$A,INT((ROW()-1)/7)*57+MOD(ROW()-1,7)+50)&amp;"=/ s "&amp;INDEX(CUEs!$B:$B,INT((ROW()-1)/7)*57+MOD(ROW()-1,7)+50),"")</f>
        <v/>
      </c>
    </row>
    <row r="117" spans="1:1" x14ac:dyDescent="0.25">
      <c r="A117" t="str" cm="1">
        <f t="array" ref="A117">IF(INDEX(CUEs!$A:$A,INT((ROW()-1)/7)*57+MOD(ROW()-1,7)+50)&lt;&gt;"","set "&amp;INDEX(CUEs!$A:$A,INT((ROW()-1)/7)*57+MOD(ROW()-1,7)+50)&amp;"=/ s "&amp;INDEX(CUEs!$B:$B,INT((ROW()-1)/7)*57+MOD(ROW()-1,7)+50),"")</f>
        <v/>
      </c>
    </row>
    <row r="118" spans="1:1" x14ac:dyDescent="0.25">
      <c r="A118" t="str" cm="1">
        <f t="array" ref="A118">IF(INDEX(CUEs!$A:$A,INT((ROW()-1)/7)*57+MOD(ROW()-1,7)+50)&lt;&gt;"","set "&amp;INDEX(CUEs!$A:$A,INT((ROW()-1)/7)*57+MOD(ROW()-1,7)+50)&amp;"=/ s "&amp;INDEX(CUEs!$B:$B,INT((ROW()-1)/7)*57+MOD(ROW()-1,7)+50),"")</f>
        <v/>
      </c>
    </row>
    <row r="119" spans="1:1" x14ac:dyDescent="0.25">
      <c r="A119" t="str" cm="1">
        <f t="array" ref="A119">IF(INDEX(CUEs!$A:$A,INT((ROW()-1)/7)*57+MOD(ROW()-1,7)+50)&lt;&gt;"","set "&amp;INDEX(CUEs!$A:$A,INT((ROW()-1)/7)*57+MOD(ROW()-1,7)+50)&amp;"=/ s "&amp;INDEX(CUEs!$B:$B,INT((ROW()-1)/7)*57+MOD(ROW()-1,7)+50),"")</f>
        <v/>
      </c>
    </row>
    <row r="120" spans="1:1" x14ac:dyDescent="0.25">
      <c r="A120" t="str" cm="1">
        <f t="array" ref="A120">IF(INDEX(CUEs!$A:$A,INT((ROW()-1)/7)*57+MOD(ROW()-1,7)+50)&lt;&gt;"","set "&amp;INDEX(CUEs!$A:$A,INT((ROW()-1)/7)*57+MOD(ROW()-1,7)+50)&amp;"=/ s "&amp;INDEX(CUEs!$B:$B,INT((ROW()-1)/7)*57+MOD(ROW()-1,7)+50),"")</f>
        <v/>
      </c>
    </row>
    <row r="121" spans="1:1" x14ac:dyDescent="0.25">
      <c r="A121" t="str" cm="1">
        <f t="array" ref="A121">IF(INDEX(CUEs!$A:$A,INT((ROW()-1)/7)*57+MOD(ROW()-1,7)+50)&lt;&gt;"","set "&amp;INDEX(CUEs!$A:$A,INT((ROW()-1)/7)*57+MOD(ROW()-1,7)+50)&amp;"=/ s "&amp;INDEX(CUEs!$B:$B,INT((ROW()-1)/7)*57+MOD(ROW()-1,7)+50),"")</f>
        <v/>
      </c>
    </row>
    <row r="122" spans="1:1" x14ac:dyDescent="0.25">
      <c r="A122" t="str" cm="1">
        <f t="array" ref="A122">IF(INDEX(CUEs!$A:$A,INT((ROW()-1)/7)*57+MOD(ROW()-1,7)+50)&lt;&gt;"","set "&amp;INDEX(CUEs!$A:$A,INT((ROW()-1)/7)*57+MOD(ROW()-1,7)+50)&amp;"=/ s "&amp;INDEX(CUEs!$B:$B,INT((ROW()-1)/7)*57+MOD(ROW()-1,7)+50),"")</f>
        <v/>
      </c>
    </row>
    <row r="123" spans="1:1" x14ac:dyDescent="0.25">
      <c r="A123" t="str" cm="1">
        <f t="array" ref="A123">IF(INDEX(CUEs!$A:$A,INT((ROW()-1)/7)*57+MOD(ROW()-1,7)+50)&lt;&gt;"","set "&amp;INDEX(CUEs!$A:$A,INT((ROW()-1)/7)*57+MOD(ROW()-1,7)+50)&amp;"=/ s "&amp;INDEX(CUEs!$B:$B,INT((ROW()-1)/7)*57+MOD(ROW()-1,7)+50),"")</f>
        <v/>
      </c>
    </row>
    <row r="124" spans="1:1" x14ac:dyDescent="0.25">
      <c r="A124" t="str" cm="1">
        <f t="array" ref="A124">IF(INDEX(CUEs!$A:$A,INT((ROW()-1)/7)*57+MOD(ROW()-1,7)+50)&lt;&gt;"","set "&amp;INDEX(CUEs!$A:$A,INT((ROW()-1)/7)*57+MOD(ROW()-1,7)+50)&amp;"=/ s "&amp;INDEX(CUEs!$B:$B,INT((ROW()-1)/7)*57+MOD(ROW()-1,7)+50),"")</f>
        <v/>
      </c>
    </row>
    <row r="125" spans="1:1" x14ac:dyDescent="0.25">
      <c r="A125" t="str" cm="1">
        <f t="array" ref="A125">IF(INDEX(CUEs!$A:$A,INT((ROW()-1)/7)*57+MOD(ROW()-1,7)+50)&lt;&gt;"","set "&amp;INDEX(CUEs!$A:$A,INT((ROW()-1)/7)*57+MOD(ROW()-1,7)+50)&amp;"=/ s "&amp;INDEX(CUEs!$B:$B,INT((ROW()-1)/7)*57+MOD(ROW()-1,7)+50),"")</f>
        <v/>
      </c>
    </row>
    <row r="126" spans="1:1" x14ac:dyDescent="0.25">
      <c r="A126" t="str" cm="1">
        <f t="array" ref="A126">IF(INDEX(CUEs!$A:$A,INT((ROW()-1)/7)*57+MOD(ROW()-1,7)+50)&lt;&gt;"","set "&amp;INDEX(CUEs!$A:$A,INT((ROW()-1)/7)*57+MOD(ROW()-1,7)+50)&amp;"=/ s "&amp;INDEX(CUEs!$B:$B,INT((ROW()-1)/7)*57+MOD(ROW()-1,7)+50),"")</f>
        <v/>
      </c>
    </row>
    <row r="127" spans="1:1" x14ac:dyDescent="0.25">
      <c r="A127" t="str" cm="1">
        <f t="array" ref="A127">IF(INDEX(CUEs!$A:$A,INT((ROW()-1)/7)*57+MOD(ROW()-1,7)+50)&lt;&gt;"","set "&amp;INDEX(CUEs!$A:$A,INT((ROW()-1)/7)*57+MOD(ROW()-1,7)+50)&amp;"=/ s "&amp;INDEX(CUEs!$B:$B,INT((ROW()-1)/7)*57+MOD(ROW()-1,7)+50),"")</f>
        <v/>
      </c>
    </row>
    <row r="128" spans="1:1" x14ac:dyDescent="0.25">
      <c r="A128" t="str" cm="1">
        <f t="array" ref="A128">IF(INDEX(CUEs!$A:$A,INT((ROW()-1)/7)*57+MOD(ROW()-1,7)+50)&lt;&gt;"","set "&amp;INDEX(CUEs!$A:$A,INT((ROW()-1)/7)*57+MOD(ROW()-1,7)+50)&amp;"=/ s "&amp;INDEX(CUEs!$B:$B,INT((ROW()-1)/7)*57+MOD(ROW()-1,7)+50),"")</f>
        <v/>
      </c>
    </row>
    <row r="129" spans="1:1" x14ac:dyDescent="0.25">
      <c r="A129" t="str" cm="1">
        <f t="array" ref="A129">IF(INDEX(CUEs!$A:$A,INT((ROW()-1)/7)*57+MOD(ROW()-1,7)+50)&lt;&gt;"","set "&amp;INDEX(CUEs!$A:$A,INT((ROW()-1)/7)*57+MOD(ROW()-1,7)+50)&amp;"=/ s "&amp;INDEX(CUEs!$B:$B,INT((ROW()-1)/7)*57+MOD(ROW()-1,7)+50),"")</f>
        <v/>
      </c>
    </row>
    <row r="130" spans="1:1" x14ac:dyDescent="0.25">
      <c r="A130" t="str" cm="1">
        <f t="array" ref="A130">IF(INDEX(CUEs!$A:$A,INT((ROW()-1)/7)*57+MOD(ROW()-1,7)+50)&lt;&gt;"","set "&amp;INDEX(CUEs!$A:$A,INT((ROW()-1)/7)*57+MOD(ROW()-1,7)+50)&amp;"=/ s "&amp;INDEX(CUEs!$B:$B,INT((ROW()-1)/7)*57+MOD(ROW()-1,7)+50),"")</f>
        <v/>
      </c>
    </row>
    <row r="131" spans="1:1" x14ac:dyDescent="0.25">
      <c r="A131" t="str" cm="1">
        <f t="array" ref="A131">IF(INDEX(CUEs!$A:$A,INT((ROW()-1)/7)*57+MOD(ROW()-1,7)+50)&lt;&gt;"","set "&amp;INDEX(CUEs!$A:$A,INT((ROW()-1)/7)*57+MOD(ROW()-1,7)+50)&amp;"=/ s "&amp;INDEX(CUEs!$B:$B,INT((ROW()-1)/7)*57+MOD(ROW()-1,7)+50),"")</f>
        <v/>
      </c>
    </row>
    <row r="132" spans="1:1" x14ac:dyDescent="0.25">
      <c r="A132" t="str" cm="1">
        <f t="array" ref="A132">IF(INDEX(CUEs!$A:$A,INT((ROW()-1)/7)*57+MOD(ROW()-1,7)+50)&lt;&gt;"","set "&amp;INDEX(CUEs!$A:$A,INT((ROW()-1)/7)*57+MOD(ROW()-1,7)+50)&amp;"=/ s "&amp;INDEX(CUEs!$B:$B,INT((ROW()-1)/7)*57+MOD(ROW()-1,7)+50),"")</f>
        <v/>
      </c>
    </row>
    <row r="133" spans="1:1" x14ac:dyDescent="0.25">
      <c r="A133" t="str" cm="1">
        <f t="array" ref="A133">IF(INDEX(CUEs!$A:$A,INT((ROW()-1)/7)*57+MOD(ROW()-1,7)+50)&lt;&gt;"","set "&amp;INDEX(CUEs!$A:$A,INT((ROW()-1)/7)*57+MOD(ROW()-1,7)+50)&amp;"=/ s "&amp;INDEX(CUEs!$B:$B,INT((ROW()-1)/7)*57+MOD(ROW()-1,7)+50),"")</f>
        <v/>
      </c>
    </row>
    <row r="134" spans="1:1" x14ac:dyDescent="0.25">
      <c r="A134" t="str" cm="1">
        <f t="array" ref="A134">IF(INDEX(CUEs!$A:$A,INT((ROW()-1)/7)*57+MOD(ROW()-1,7)+50)&lt;&gt;"","set "&amp;INDEX(CUEs!$A:$A,INT((ROW()-1)/7)*57+MOD(ROW()-1,7)+50)&amp;"=/ s "&amp;INDEX(CUEs!$B:$B,INT((ROW()-1)/7)*57+MOD(ROW()-1,7)+50),"")</f>
        <v/>
      </c>
    </row>
    <row r="135" spans="1:1" x14ac:dyDescent="0.25">
      <c r="A135" t="str" cm="1">
        <f t="array" ref="A135">IF(INDEX(CUEs!$A:$A,INT((ROW()-1)/7)*57+MOD(ROW()-1,7)+50)&lt;&gt;"","set "&amp;INDEX(CUEs!$A:$A,INT((ROW()-1)/7)*57+MOD(ROW()-1,7)+50)&amp;"=/ s "&amp;INDEX(CUEs!$B:$B,INT((ROW()-1)/7)*57+MOD(ROW()-1,7)+50),"")</f>
        <v/>
      </c>
    </row>
    <row r="136" spans="1:1" x14ac:dyDescent="0.25">
      <c r="A136" t="str" cm="1">
        <f t="array" ref="A136">IF(INDEX(CUEs!$A:$A,INT((ROW()-1)/7)*57+MOD(ROW()-1,7)+50)&lt;&gt;"","set "&amp;INDEX(CUEs!$A:$A,INT((ROW()-1)/7)*57+MOD(ROW()-1,7)+50)&amp;"=/ s "&amp;INDEX(CUEs!$B:$B,INT((ROW()-1)/7)*57+MOD(ROW()-1,7)+50),"")</f>
        <v/>
      </c>
    </row>
    <row r="137" spans="1:1" x14ac:dyDescent="0.25">
      <c r="A137" t="str" cm="1">
        <f t="array" ref="A137">IF(INDEX(CUEs!$A:$A,INT((ROW()-1)/7)*57+MOD(ROW()-1,7)+50)&lt;&gt;"","set "&amp;INDEX(CUEs!$A:$A,INT((ROW()-1)/7)*57+MOD(ROW()-1,7)+50)&amp;"=/ s "&amp;INDEX(CUEs!$B:$B,INT((ROW()-1)/7)*57+MOD(ROW()-1,7)+50),"")</f>
        <v/>
      </c>
    </row>
    <row r="138" spans="1:1" x14ac:dyDescent="0.25">
      <c r="A138" t="str" cm="1">
        <f t="array" ref="A138">IF(INDEX(CUEs!$A:$A,INT((ROW()-1)/7)*57+MOD(ROW()-1,7)+50)&lt;&gt;"","set "&amp;INDEX(CUEs!$A:$A,INT((ROW()-1)/7)*57+MOD(ROW()-1,7)+50)&amp;"=/ s "&amp;INDEX(CUEs!$B:$B,INT((ROW()-1)/7)*57+MOD(ROW()-1,7)+50),"")</f>
        <v/>
      </c>
    </row>
    <row r="139" spans="1:1" x14ac:dyDescent="0.25">
      <c r="A139" t="str" cm="1">
        <f t="array" ref="A139">IF(INDEX(CUEs!$A:$A,INT((ROW()-1)/7)*57+MOD(ROW()-1,7)+50)&lt;&gt;"","set "&amp;INDEX(CUEs!$A:$A,INT((ROW()-1)/7)*57+MOD(ROW()-1,7)+50)&amp;"=/ s "&amp;INDEX(CUEs!$B:$B,INT((ROW()-1)/7)*57+MOD(ROW()-1,7)+50),"")</f>
        <v/>
      </c>
    </row>
    <row r="140" spans="1:1" x14ac:dyDescent="0.25">
      <c r="A140" t="str" cm="1">
        <f t="array" ref="A140">IF(INDEX(CUEs!$A:$A,INT((ROW()-1)/7)*57+MOD(ROW()-1,7)+50)&lt;&gt;"","set "&amp;INDEX(CUEs!$A:$A,INT((ROW()-1)/7)*57+MOD(ROW()-1,7)+50)&amp;"=/ s "&amp;INDEX(CUEs!$B:$B,INT((ROW()-1)/7)*57+MOD(ROW()-1,7)+50),"")</f>
        <v/>
      </c>
    </row>
    <row r="141" spans="1:1" x14ac:dyDescent="0.25">
      <c r="A141" t="str" cm="1">
        <f t="array" ref="A141">IF(INDEX(CUEs!$A:$A,INT((ROW()-1)/7)*57+MOD(ROW()-1,7)+50)&lt;&gt;"","set "&amp;INDEX(CUEs!$A:$A,INT((ROW()-1)/7)*57+MOD(ROW()-1,7)+50)&amp;"=/ s "&amp;INDEX(CUEs!$B:$B,INT((ROW()-1)/7)*57+MOD(ROW()-1,7)+50),"")</f>
        <v/>
      </c>
    </row>
    <row r="142" spans="1:1" x14ac:dyDescent="0.25">
      <c r="A142" t="str" cm="1">
        <f t="array" ref="A142">IF(INDEX(CUEs!$A:$A,INT((ROW()-1)/7)*57+MOD(ROW()-1,7)+50)&lt;&gt;"","set "&amp;INDEX(CUEs!$A:$A,INT((ROW()-1)/7)*57+MOD(ROW()-1,7)+50)&amp;"=/ s "&amp;INDEX(CUEs!$B:$B,INT((ROW()-1)/7)*57+MOD(ROW()-1,7)+50),"")</f>
        <v/>
      </c>
    </row>
    <row r="143" spans="1:1" x14ac:dyDescent="0.25">
      <c r="A143" t="str" cm="1">
        <f t="array" ref="A143">IF(INDEX(CUEs!$A:$A,INT((ROW()-1)/7)*57+MOD(ROW()-1,7)+50)&lt;&gt;"","set "&amp;INDEX(CUEs!$A:$A,INT((ROW()-1)/7)*57+MOD(ROW()-1,7)+50)&amp;"=/ s "&amp;INDEX(CUEs!$B:$B,INT((ROW()-1)/7)*57+MOD(ROW()-1,7)+50),"")</f>
        <v/>
      </c>
    </row>
    <row r="144" spans="1:1" x14ac:dyDescent="0.25">
      <c r="A144" t="str" cm="1">
        <f t="array" ref="A144">IF(INDEX(CUEs!$A:$A,INT((ROW()-1)/7)*57+MOD(ROW()-1,7)+50)&lt;&gt;"","set "&amp;INDEX(CUEs!$A:$A,INT((ROW()-1)/7)*57+MOD(ROW()-1,7)+50)&amp;"=/ s "&amp;INDEX(CUEs!$B:$B,INT((ROW()-1)/7)*57+MOD(ROW()-1,7)+50),"")</f>
        <v/>
      </c>
    </row>
    <row r="145" spans="1:1" x14ac:dyDescent="0.25">
      <c r="A145" t="str" cm="1">
        <f t="array" ref="A145">IF(INDEX(CUEs!$A:$A,INT((ROW()-1)/7)*57+MOD(ROW()-1,7)+50)&lt;&gt;"","set "&amp;INDEX(CUEs!$A:$A,INT((ROW()-1)/7)*57+MOD(ROW()-1,7)+50)&amp;"=/ s "&amp;INDEX(CUEs!$B:$B,INT((ROW()-1)/7)*57+MOD(ROW()-1,7)+50),"")</f>
        <v/>
      </c>
    </row>
    <row r="146" spans="1:1" x14ac:dyDescent="0.25">
      <c r="A146" t="str" cm="1">
        <f t="array" ref="A146">IF(INDEX(CUEs!$A:$A,INT((ROW()-1)/7)*57+MOD(ROW()-1,7)+50)&lt;&gt;"","set "&amp;INDEX(CUEs!$A:$A,INT((ROW()-1)/7)*57+MOD(ROW()-1,7)+50)&amp;"=/ s "&amp;INDEX(CUEs!$B:$B,INT((ROW()-1)/7)*57+MOD(ROW()-1,7)+50),"")</f>
        <v/>
      </c>
    </row>
    <row r="147" spans="1:1" x14ac:dyDescent="0.25">
      <c r="A147" t="str" cm="1">
        <f t="array" ref="A147">IF(INDEX(CUEs!$A:$A,INT((ROW()-1)/7)*57+MOD(ROW()-1,7)+50)&lt;&gt;"","set "&amp;INDEX(CUEs!$A:$A,INT((ROW()-1)/7)*57+MOD(ROW()-1,7)+50)&amp;"=/ s "&amp;INDEX(CUEs!$B:$B,INT((ROW()-1)/7)*57+MOD(ROW()-1,7)+50),"")</f>
        <v/>
      </c>
    </row>
    <row r="148" spans="1:1" x14ac:dyDescent="0.25">
      <c r="A148" t="str" cm="1">
        <f t="array" ref="A148">IF(INDEX(CUEs!$A:$A,INT((ROW()-1)/7)*57+MOD(ROW()-1,7)+50)&lt;&gt;"","set "&amp;INDEX(CUEs!$A:$A,INT((ROW()-1)/7)*57+MOD(ROW()-1,7)+50)&amp;"=/ s "&amp;INDEX(CUEs!$B:$B,INT((ROW()-1)/7)*57+MOD(ROW()-1,7)+50),"")</f>
        <v/>
      </c>
    </row>
    <row r="149" spans="1:1" x14ac:dyDescent="0.25">
      <c r="A149" t="str" cm="1">
        <f t="array" ref="A149">IF(INDEX(CUEs!$A:$A,INT((ROW()-1)/7)*57+MOD(ROW()-1,7)+50)&lt;&gt;"","set "&amp;INDEX(CUEs!$A:$A,INT((ROW()-1)/7)*57+MOD(ROW()-1,7)+50)&amp;"=/ s "&amp;INDEX(CUEs!$B:$B,INT((ROW()-1)/7)*57+MOD(ROW()-1,7)+50),"")</f>
        <v/>
      </c>
    </row>
    <row r="150" spans="1:1" x14ac:dyDescent="0.25">
      <c r="A150" t="str" cm="1">
        <f t="array" ref="A150">IF(INDEX(CUEs!$A:$A,INT((ROW()-1)/7)*57+MOD(ROW()-1,7)+50)&lt;&gt;"","set "&amp;INDEX(CUEs!$A:$A,INT((ROW()-1)/7)*57+MOD(ROW()-1,7)+50)&amp;"=/ s "&amp;INDEX(CUEs!$B:$B,INT((ROW()-1)/7)*57+MOD(ROW()-1,7)+50),"")</f>
        <v/>
      </c>
    </row>
    <row r="151" spans="1:1" x14ac:dyDescent="0.25">
      <c r="A151" t="str" cm="1">
        <f t="array" ref="A151">IF(INDEX(CUEs!$A:$A,INT((ROW()-1)/7)*57+MOD(ROW()-1,7)+50)&lt;&gt;"","set "&amp;INDEX(CUEs!$A:$A,INT((ROW()-1)/7)*57+MOD(ROW()-1,7)+50)&amp;"=/ s "&amp;INDEX(CUEs!$B:$B,INT((ROW()-1)/7)*57+MOD(ROW()-1,7)+50),"")</f>
        <v/>
      </c>
    </row>
    <row r="152" spans="1:1" x14ac:dyDescent="0.25">
      <c r="A152" t="str" cm="1">
        <f t="array" ref="A152">IF(INDEX(CUEs!$A:$A,INT((ROW()-1)/7)*57+MOD(ROW()-1,7)+50)&lt;&gt;"","set "&amp;INDEX(CUEs!$A:$A,INT((ROW()-1)/7)*57+MOD(ROW()-1,7)+50)&amp;"=/ s "&amp;INDEX(CUEs!$B:$B,INT((ROW()-1)/7)*57+MOD(ROW()-1,7)+50),"")</f>
        <v/>
      </c>
    </row>
    <row r="153" spans="1:1" x14ac:dyDescent="0.25">
      <c r="A153" t="str" cm="1">
        <f t="array" ref="A153">IF(INDEX(CUEs!$A:$A,INT((ROW()-1)/7)*57+MOD(ROW()-1,7)+50)&lt;&gt;"","set "&amp;INDEX(CUEs!$A:$A,INT((ROW()-1)/7)*57+MOD(ROW()-1,7)+50)&amp;"=/ s "&amp;INDEX(CUEs!$B:$B,INT((ROW()-1)/7)*57+MOD(ROW()-1,7)+50),"")</f>
        <v/>
      </c>
    </row>
    <row r="154" spans="1:1" x14ac:dyDescent="0.25">
      <c r="A154" t="str" cm="1">
        <f t="array" ref="A154">IF(INDEX(CUEs!$A:$A,INT((ROW()-1)/7)*57+MOD(ROW()-1,7)+50)&lt;&gt;"","set "&amp;INDEX(CUEs!$A:$A,INT((ROW()-1)/7)*57+MOD(ROW()-1,7)+50)&amp;"=/ s "&amp;INDEX(CUEs!$B:$B,INT((ROW()-1)/7)*57+MOD(ROW()-1,7)+50),"")</f>
        <v/>
      </c>
    </row>
    <row r="155" spans="1:1" x14ac:dyDescent="0.25">
      <c r="A155" t="str" cm="1">
        <f t="array" ref="A155">IF(INDEX(CUEs!$A:$A,INT((ROW()-1)/7)*57+MOD(ROW()-1,7)+50)&lt;&gt;"","set "&amp;INDEX(CUEs!$A:$A,INT((ROW()-1)/7)*57+MOD(ROW()-1,7)+50)&amp;"=/ s "&amp;INDEX(CUEs!$B:$B,INT((ROW()-1)/7)*57+MOD(ROW()-1,7)+50),"")</f>
        <v/>
      </c>
    </row>
    <row r="156" spans="1:1" x14ac:dyDescent="0.25">
      <c r="A156" t="str" cm="1">
        <f t="array" ref="A156">IF(INDEX(CUEs!$A:$A,INT((ROW()-1)/7)*57+MOD(ROW()-1,7)+50)&lt;&gt;"","set "&amp;INDEX(CUEs!$A:$A,INT((ROW()-1)/7)*57+MOD(ROW()-1,7)+50)&amp;"=/ s "&amp;INDEX(CUEs!$B:$B,INT((ROW()-1)/7)*57+MOD(ROW()-1,7)+50),"")</f>
        <v/>
      </c>
    </row>
    <row r="157" spans="1:1" x14ac:dyDescent="0.25">
      <c r="A157" t="str" cm="1">
        <f t="array" ref="A157">IF(INDEX(CUEs!$A:$A,INT((ROW()-1)/7)*57+MOD(ROW()-1,7)+50)&lt;&gt;"","set "&amp;INDEX(CUEs!$A:$A,INT((ROW()-1)/7)*57+MOD(ROW()-1,7)+50)&amp;"=/ s "&amp;INDEX(CUEs!$B:$B,INT((ROW()-1)/7)*57+MOD(ROW()-1,7)+50),"")</f>
        <v/>
      </c>
    </row>
    <row r="158" spans="1:1" x14ac:dyDescent="0.25">
      <c r="A158" t="str" cm="1">
        <f t="array" ref="A158">IF(INDEX(CUEs!$A:$A,INT((ROW()-1)/7)*57+MOD(ROW()-1,7)+50)&lt;&gt;"","set "&amp;INDEX(CUEs!$A:$A,INT((ROW()-1)/7)*57+MOD(ROW()-1,7)+50)&amp;"=/ s "&amp;INDEX(CUEs!$B:$B,INT((ROW()-1)/7)*57+MOD(ROW()-1,7)+50),"")</f>
        <v/>
      </c>
    </row>
    <row r="159" spans="1:1" x14ac:dyDescent="0.25">
      <c r="A159" t="str" cm="1">
        <f t="array" ref="A159">IF(INDEX(CUEs!$A:$A,INT((ROW()-1)/7)*57+MOD(ROW()-1,7)+50)&lt;&gt;"","set "&amp;INDEX(CUEs!$A:$A,INT((ROW()-1)/7)*57+MOD(ROW()-1,7)+50)&amp;"=/ s "&amp;INDEX(CUEs!$B:$B,INT((ROW()-1)/7)*57+MOD(ROW()-1,7)+50),"")</f>
        <v/>
      </c>
    </row>
    <row r="160" spans="1:1" x14ac:dyDescent="0.25">
      <c r="A160" t="str" cm="1">
        <f t="array" ref="A160">IF(INDEX(CUEs!$A:$A,INT((ROW()-1)/7)*57+MOD(ROW()-1,7)+50)&lt;&gt;"","set "&amp;INDEX(CUEs!$A:$A,INT((ROW()-1)/7)*57+MOD(ROW()-1,7)+50)&amp;"=/ s "&amp;INDEX(CUEs!$B:$B,INT((ROW()-1)/7)*57+MOD(ROW()-1,7)+50),"")</f>
        <v/>
      </c>
    </row>
    <row r="161" spans="1:1" x14ac:dyDescent="0.25">
      <c r="A161" t="str" cm="1">
        <f t="array" ref="A161">IF(INDEX(CUEs!$A:$A,INT((ROW()-1)/7)*57+MOD(ROW()-1,7)+50)&lt;&gt;"","set "&amp;INDEX(CUEs!$A:$A,INT((ROW()-1)/7)*57+MOD(ROW()-1,7)+50)&amp;"=/ s "&amp;INDEX(CUEs!$B:$B,INT((ROW()-1)/7)*57+MOD(ROW()-1,7)+50),"")</f>
        <v/>
      </c>
    </row>
    <row r="162" spans="1:1" x14ac:dyDescent="0.25">
      <c r="A162" t="str" cm="1">
        <f t="array" ref="A162">IF(INDEX(CUEs!$A:$A,INT((ROW()-1)/7)*57+MOD(ROW()-1,7)+50)&lt;&gt;"","set "&amp;INDEX(CUEs!$A:$A,INT((ROW()-1)/7)*57+MOD(ROW()-1,7)+50)&amp;"=/ s "&amp;INDEX(CUEs!$B:$B,INT((ROW()-1)/7)*57+MOD(ROW()-1,7)+50),"")</f>
        <v/>
      </c>
    </row>
    <row r="163" spans="1:1" x14ac:dyDescent="0.25">
      <c r="A163" t="str" cm="1">
        <f t="array" ref="A163">IF(INDEX(CUEs!$A:$A,INT((ROW()-1)/7)*57+MOD(ROW()-1,7)+50)&lt;&gt;"","set "&amp;INDEX(CUEs!$A:$A,INT((ROW()-1)/7)*57+MOD(ROW()-1,7)+50)&amp;"=/ s "&amp;INDEX(CUEs!$B:$B,INT((ROW()-1)/7)*57+MOD(ROW()-1,7)+50),"")</f>
        <v/>
      </c>
    </row>
    <row r="164" spans="1:1" x14ac:dyDescent="0.25">
      <c r="A164" t="str" cm="1">
        <f t="array" ref="A164">IF(INDEX(CUEs!$A:$A,INT((ROW()-1)/7)*57+MOD(ROW()-1,7)+50)&lt;&gt;"","set "&amp;INDEX(CUEs!$A:$A,INT((ROW()-1)/7)*57+MOD(ROW()-1,7)+50)&amp;"=/ s "&amp;INDEX(CUEs!$B:$B,INT((ROW()-1)/7)*57+MOD(ROW()-1,7)+50),"")</f>
        <v/>
      </c>
    </row>
    <row r="165" spans="1:1" x14ac:dyDescent="0.25">
      <c r="A165" t="str" cm="1">
        <f t="array" ref="A165">IF(INDEX(CUEs!$A:$A,INT((ROW()-1)/7)*57+MOD(ROW()-1,7)+50)&lt;&gt;"","set "&amp;INDEX(CUEs!$A:$A,INT((ROW()-1)/7)*57+MOD(ROW()-1,7)+50)&amp;"=/ s "&amp;INDEX(CUEs!$B:$B,INT((ROW()-1)/7)*57+MOD(ROW()-1,7)+50),"")</f>
        <v/>
      </c>
    </row>
    <row r="166" spans="1:1" x14ac:dyDescent="0.25">
      <c r="A166" t="str" cm="1">
        <f t="array" ref="A166">IF(INDEX(CUEs!$A:$A,INT((ROW()-1)/7)*57+MOD(ROW()-1,7)+50)&lt;&gt;"","set "&amp;INDEX(CUEs!$A:$A,INT((ROW()-1)/7)*57+MOD(ROW()-1,7)+50)&amp;"=/ s "&amp;INDEX(CUEs!$B:$B,INT((ROW()-1)/7)*57+MOD(ROW()-1,7)+50),"")</f>
        <v/>
      </c>
    </row>
    <row r="167" spans="1:1" x14ac:dyDescent="0.25">
      <c r="A167" t="str" cm="1">
        <f t="array" ref="A167">IF(INDEX(CUEs!$A:$A,INT((ROW()-1)/7)*57+MOD(ROW()-1,7)+50)&lt;&gt;"","set "&amp;INDEX(CUEs!$A:$A,INT((ROW()-1)/7)*57+MOD(ROW()-1,7)+50)&amp;"=/ s "&amp;INDEX(CUEs!$B:$B,INT((ROW()-1)/7)*57+MOD(ROW()-1,7)+50),"")</f>
        <v/>
      </c>
    </row>
    <row r="168" spans="1:1" x14ac:dyDescent="0.25">
      <c r="A168" t="str" cm="1">
        <f t="array" ref="A168">IF(INDEX(CUEs!$A:$A,INT((ROW()-1)/7)*57+MOD(ROW()-1,7)+50)&lt;&gt;"","set "&amp;INDEX(CUEs!$A:$A,INT((ROW()-1)/7)*57+MOD(ROW()-1,7)+50)&amp;"=/ s "&amp;INDEX(CUEs!$B:$B,INT((ROW()-1)/7)*57+MOD(ROW()-1,7)+50),"")</f>
        <v/>
      </c>
    </row>
    <row r="169" spans="1:1" x14ac:dyDescent="0.25">
      <c r="A169" t="str" cm="1">
        <f t="array" ref="A169">IF(INDEX(CUEs!$A:$A,INT((ROW()-1)/7)*57+MOD(ROW()-1,7)+50)&lt;&gt;"","set "&amp;INDEX(CUEs!$A:$A,INT((ROW()-1)/7)*57+MOD(ROW()-1,7)+50)&amp;"=/ s "&amp;INDEX(CUEs!$B:$B,INT((ROW()-1)/7)*57+MOD(ROW()-1,7)+50),"")</f>
        <v/>
      </c>
    </row>
    <row r="170" spans="1:1" x14ac:dyDescent="0.25">
      <c r="A170" t="str" cm="1">
        <f t="array" ref="A170">IF(INDEX(CUEs!$A:$A,INT((ROW()-1)/7)*57+MOD(ROW()-1,7)+50)&lt;&gt;"","set "&amp;INDEX(CUEs!$A:$A,INT((ROW()-1)/7)*57+MOD(ROW()-1,7)+50)&amp;"=/ s "&amp;INDEX(CUEs!$B:$B,INT((ROW()-1)/7)*57+MOD(ROW()-1,7)+50),"")</f>
        <v/>
      </c>
    </row>
    <row r="171" spans="1:1" x14ac:dyDescent="0.25">
      <c r="A171" t="str" cm="1">
        <f t="array" ref="A171">IF(INDEX(CUEs!$A:$A,INT((ROW()-1)/7)*57+MOD(ROW()-1,7)+50)&lt;&gt;"","set "&amp;INDEX(CUEs!$A:$A,INT((ROW()-1)/7)*57+MOD(ROW()-1,7)+50)&amp;"=/ s "&amp;INDEX(CUEs!$B:$B,INT((ROW()-1)/7)*57+MOD(ROW()-1,7)+50),"")</f>
        <v/>
      </c>
    </row>
    <row r="172" spans="1:1" x14ac:dyDescent="0.25">
      <c r="A172" t="str" cm="1">
        <f t="array" ref="A172">IF(INDEX(CUEs!$A:$A,INT((ROW()-1)/7)*57+MOD(ROW()-1,7)+50)&lt;&gt;"","set "&amp;INDEX(CUEs!$A:$A,INT((ROW()-1)/7)*57+MOD(ROW()-1,7)+50)&amp;"=/ s "&amp;INDEX(CUEs!$B:$B,INT((ROW()-1)/7)*57+MOD(ROW()-1,7)+50),"")</f>
        <v/>
      </c>
    </row>
    <row r="173" spans="1:1" x14ac:dyDescent="0.25">
      <c r="A173" t="str" cm="1">
        <f t="array" ref="A173">IF(INDEX(CUEs!$A:$A,INT((ROW()-1)/7)*57+MOD(ROW()-1,7)+50)&lt;&gt;"","set "&amp;INDEX(CUEs!$A:$A,INT((ROW()-1)/7)*57+MOD(ROW()-1,7)+50)&amp;"=/ s "&amp;INDEX(CUEs!$B:$B,INT((ROW()-1)/7)*57+MOD(ROW()-1,7)+50),"")</f>
        <v/>
      </c>
    </row>
    <row r="174" spans="1:1" x14ac:dyDescent="0.25">
      <c r="A174" t="str" cm="1">
        <f t="array" ref="A174">IF(INDEX(CUEs!$A:$A,INT((ROW()-1)/7)*57+MOD(ROW()-1,7)+50)&lt;&gt;"","set "&amp;INDEX(CUEs!$A:$A,INT((ROW()-1)/7)*57+MOD(ROW()-1,7)+50)&amp;"=/ s "&amp;INDEX(CUEs!$B:$B,INT((ROW()-1)/7)*57+MOD(ROW()-1,7)+50),"")</f>
        <v/>
      </c>
    </row>
    <row r="175" spans="1:1" x14ac:dyDescent="0.25">
      <c r="A175" t="str" cm="1">
        <f t="array" ref="A175">IF(INDEX(CUEs!$A:$A,INT((ROW()-1)/7)*57+MOD(ROW()-1,7)+50)&lt;&gt;"","set "&amp;INDEX(CUEs!$A:$A,INT((ROW()-1)/7)*57+MOD(ROW()-1,7)+50)&amp;"=/ s "&amp;INDEX(CUEs!$B:$B,INT((ROW()-1)/7)*57+MOD(ROW()-1,7)+50),"")</f>
        <v/>
      </c>
    </row>
    <row r="176" spans="1:1" x14ac:dyDescent="0.25">
      <c r="A176" t="str" cm="1">
        <f t="array" ref="A176">IF(INDEX(CUEs!$A:$A,INT((ROW()-1)/7)*57+MOD(ROW()-1,7)+50)&lt;&gt;"","set "&amp;INDEX(CUEs!$A:$A,INT((ROW()-1)/7)*57+MOD(ROW()-1,7)+50)&amp;"=/ s "&amp;INDEX(CUEs!$B:$B,INT((ROW()-1)/7)*57+MOD(ROW()-1,7)+50),"")</f>
        <v/>
      </c>
    </row>
    <row r="177" spans="1:1" x14ac:dyDescent="0.25">
      <c r="A177" t="str" cm="1">
        <f t="array" ref="A177">IF(INDEX(CUEs!$A:$A,INT((ROW()-1)/7)*57+MOD(ROW()-1,7)+50)&lt;&gt;"","set "&amp;INDEX(CUEs!$A:$A,INT((ROW()-1)/7)*57+MOD(ROW()-1,7)+50)&amp;"=/ s "&amp;INDEX(CUEs!$B:$B,INT((ROW()-1)/7)*57+MOD(ROW()-1,7)+50),"")</f>
        <v/>
      </c>
    </row>
    <row r="178" spans="1:1" x14ac:dyDescent="0.25">
      <c r="A178" t="str" cm="1">
        <f t="array" ref="A178">IF(INDEX(CUEs!$A:$A,INT((ROW()-1)/7)*57+MOD(ROW()-1,7)+50)&lt;&gt;"","set "&amp;INDEX(CUEs!$A:$A,INT((ROW()-1)/7)*57+MOD(ROW()-1,7)+50)&amp;"=/ s "&amp;INDEX(CUEs!$B:$B,INT((ROW()-1)/7)*57+MOD(ROW()-1,7)+50),"")</f>
        <v/>
      </c>
    </row>
    <row r="179" spans="1:1" x14ac:dyDescent="0.25">
      <c r="A179" t="str" cm="1">
        <f t="array" ref="A179">IF(INDEX(CUEs!$A:$A,INT((ROW()-1)/7)*57+MOD(ROW()-1,7)+50)&lt;&gt;"","set "&amp;INDEX(CUEs!$A:$A,INT((ROW()-1)/7)*57+MOD(ROW()-1,7)+50)&amp;"=/ s "&amp;INDEX(CUEs!$B:$B,INT((ROW()-1)/7)*57+MOD(ROW()-1,7)+50),"")</f>
        <v/>
      </c>
    </row>
    <row r="180" spans="1:1" x14ac:dyDescent="0.25">
      <c r="A180" t="str" cm="1">
        <f t="array" ref="A180">IF(INDEX(CUEs!$A:$A,INT((ROW()-1)/7)*57+MOD(ROW()-1,7)+50)&lt;&gt;"","set "&amp;INDEX(CUEs!$A:$A,INT((ROW()-1)/7)*57+MOD(ROW()-1,7)+50)&amp;"=/ s "&amp;INDEX(CUEs!$B:$B,INT((ROW()-1)/7)*57+MOD(ROW()-1,7)+50),"")</f>
        <v/>
      </c>
    </row>
    <row r="181" spans="1:1" x14ac:dyDescent="0.25">
      <c r="A181" t="str" cm="1">
        <f t="array" ref="A181">IF(INDEX(CUEs!$A:$A,INT((ROW()-1)/7)*57+MOD(ROW()-1,7)+50)&lt;&gt;"","set "&amp;INDEX(CUEs!$A:$A,INT((ROW()-1)/7)*57+MOD(ROW()-1,7)+50)&amp;"=/ s "&amp;INDEX(CUEs!$B:$B,INT((ROW()-1)/7)*57+MOD(ROW()-1,7)+50),"")</f>
        <v/>
      </c>
    </row>
    <row r="182" spans="1:1" x14ac:dyDescent="0.25">
      <c r="A182" t="str" cm="1">
        <f t="array" ref="A182">IF(INDEX(CUEs!$A:$A,INT((ROW()-1)/7)*57+MOD(ROW()-1,7)+50)&lt;&gt;"","set "&amp;INDEX(CUEs!$A:$A,INT((ROW()-1)/7)*57+MOD(ROW()-1,7)+50)&amp;"=/ s "&amp;INDEX(CUEs!$B:$B,INT((ROW()-1)/7)*57+MOD(ROW()-1,7)+50),"")</f>
        <v/>
      </c>
    </row>
    <row r="183" spans="1:1" x14ac:dyDescent="0.25">
      <c r="A183" t="str" cm="1">
        <f t="array" ref="A183">IF(INDEX(CUEs!$A:$A,INT((ROW()-1)/7)*57+MOD(ROW()-1,7)+50)&lt;&gt;"","set "&amp;INDEX(CUEs!$A:$A,INT((ROW()-1)/7)*57+MOD(ROW()-1,7)+50)&amp;"=/ s "&amp;INDEX(CUEs!$B:$B,INT((ROW()-1)/7)*57+MOD(ROW()-1,7)+50),"")</f>
        <v/>
      </c>
    </row>
    <row r="184" spans="1:1" x14ac:dyDescent="0.25">
      <c r="A184" t="str" cm="1">
        <f t="array" ref="A184">IF(INDEX(CUEs!$A:$A,INT((ROW()-1)/7)*57+MOD(ROW()-1,7)+50)&lt;&gt;"","set "&amp;INDEX(CUEs!$A:$A,INT((ROW()-1)/7)*57+MOD(ROW()-1,7)+50)&amp;"=/ s "&amp;INDEX(CUEs!$B:$B,INT((ROW()-1)/7)*57+MOD(ROW()-1,7)+50),"")</f>
        <v/>
      </c>
    </row>
    <row r="185" spans="1:1" x14ac:dyDescent="0.25">
      <c r="A185" t="str" cm="1">
        <f t="array" ref="A185">IF(INDEX(CUEs!$A:$A,INT((ROW()-1)/7)*57+MOD(ROW()-1,7)+50)&lt;&gt;"","set "&amp;INDEX(CUEs!$A:$A,INT((ROW()-1)/7)*57+MOD(ROW()-1,7)+50)&amp;"=/ s "&amp;INDEX(CUEs!$B:$B,INT((ROW()-1)/7)*57+MOD(ROW()-1,7)+50),"")</f>
        <v/>
      </c>
    </row>
    <row r="186" spans="1:1" x14ac:dyDescent="0.25">
      <c r="A186" t="str" cm="1">
        <f t="array" ref="A186">IF(INDEX(CUEs!$A:$A,INT((ROW()-1)/7)*57+MOD(ROW()-1,7)+50)&lt;&gt;"","set "&amp;INDEX(CUEs!$A:$A,INT((ROW()-1)/7)*57+MOD(ROW()-1,7)+50)&amp;"=/ s "&amp;INDEX(CUEs!$B:$B,INT((ROW()-1)/7)*57+MOD(ROW()-1,7)+50),"")</f>
        <v/>
      </c>
    </row>
    <row r="187" spans="1:1" x14ac:dyDescent="0.25">
      <c r="A187" t="str" cm="1">
        <f t="array" ref="A187">IF(INDEX(CUEs!$A:$A,INT((ROW()-1)/7)*57+MOD(ROW()-1,7)+50)&lt;&gt;"","set "&amp;INDEX(CUEs!$A:$A,INT((ROW()-1)/7)*57+MOD(ROW()-1,7)+50)&amp;"=/ s "&amp;INDEX(CUEs!$B:$B,INT((ROW()-1)/7)*57+MOD(ROW()-1,7)+50),"")</f>
        <v/>
      </c>
    </row>
    <row r="188" spans="1:1" x14ac:dyDescent="0.25">
      <c r="A188" t="str" cm="1">
        <f t="array" ref="A188">IF(INDEX(CUEs!$A:$A,INT((ROW()-1)/7)*57+MOD(ROW()-1,7)+50)&lt;&gt;"","set "&amp;INDEX(CUEs!$A:$A,INT((ROW()-1)/7)*57+MOD(ROW()-1,7)+50)&amp;"=/ s "&amp;INDEX(CUEs!$B:$B,INT((ROW()-1)/7)*57+MOD(ROW()-1,7)+50),"")</f>
        <v/>
      </c>
    </row>
    <row r="189" spans="1:1" x14ac:dyDescent="0.25">
      <c r="A189" t="str" cm="1">
        <f t="array" ref="A189">IF(INDEX(CUEs!$A:$A,INT((ROW()-1)/7)*57+MOD(ROW()-1,7)+50)&lt;&gt;"","set "&amp;INDEX(CUEs!$A:$A,INT((ROW()-1)/7)*57+MOD(ROW()-1,7)+50)&amp;"=/ s "&amp;INDEX(CUEs!$B:$B,INT((ROW()-1)/7)*57+MOD(ROW()-1,7)+50),"")</f>
        <v/>
      </c>
    </row>
    <row r="190" spans="1:1" x14ac:dyDescent="0.25">
      <c r="A190" t="str" cm="1">
        <f t="array" ref="A190">IF(INDEX(CUEs!$A:$A,INT((ROW()-1)/7)*57+MOD(ROW()-1,7)+50)&lt;&gt;"","set "&amp;INDEX(CUEs!$A:$A,INT((ROW()-1)/7)*57+MOD(ROW()-1,7)+50)&amp;"=/ s "&amp;INDEX(CUEs!$B:$B,INT((ROW()-1)/7)*57+MOD(ROW()-1,7)+50),"")</f>
        <v/>
      </c>
    </row>
    <row r="191" spans="1:1" x14ac:dyDescent="0.25">
      <c r="A191" t="str" cm="1">
        <f t="array" ref="A191">IF(INDEX(CUEs!$A:$A,INT((ROW()-1)/7)*57+MOD(ROW()-1,7)+50)&lt;&gt;"","set "&amp;INDEX(CUEs!$A:$A,INT((ROW()-1)/7)*57+MOD(ROW()-1,7)+50)&amp;"=/ s "&amp;INDEX(CUEs!$B:$B,INT((ROW()-1)/7)*57+MOD(ROW()-1,7)+50),"")</f>
        <v/>
      </c>
    </row>
    <row r="192" spans="1:1" x14ac:dyDescent="0.25">
      <c r="A192" t="str" cm="1">
        <f t="array" ref="A192">IF(INDEX(CUEs!$A:$A,INT((ROW()-1)/7)*57+MOD(ROW()-1,7)+50)&lt;&gt;"","set "&amp;INDEX(CUEs!$A:$A,INT((ROW()-1)/7)*57+MOD(ROW()-1,7)+50)&amp;"=/ s "&amp;INDEX(CUEs!$B:$B,INT((ROW()-1)/7)*57+MOD(ROW()-1,7)+50),"")</f>
        <v/>
      </c>
    </row>
    <row r="193" spans="1:1" x14ac:dyDescent="0.25">
      <c r="A193" t="str" cm="1">
        <f t="array" ref="A193">IF(INDEX(CUEs!$A:$A,INT((ROW()-1)/7)*57+MOD(ROW()-1,7)+50)&lt;&gt;"","set "&amp;INDEX(CUEs!$A:$A,INT((ROW()-1)/7)*57+MOD(ROW()-1,7)+50)&amp;"=/ s "&amp;INDEX(CUEs!$B:$B,INT((ROW()-1)/7)*57+MOD(ROW()-1,7)+50),"")</f>
        <v/>
      </c>
    </row>
    <row r="194" spans="1:1" x14ac:dyDescent="0.25">
      <c r="A194" t="str" cm="1">
        <f t="array" ref="A194">IF(INDEX(CUEs!$A:$A,INT((ROW()-1)/7)*57+MOD(ROW()-1,7)+50)&lt;&gt;"","set "&amp;INDEX(CUEs!$A:$A,INT((ROW()-1)/7)*57+MOD(ROW()-1,7)+50)&amp;"=/ s "&amp;INDEX(CUEs!$B:$B,INT((ROW()-1)/7)*57+MOD(ROW()-1,7)+50),"")</f>
        <v/>
      </c>
    </row>
    <row r="195" spans="1:1" x14ac:dyDescent="0.25">
      <c r="A195" t="str" cm="1">
        <f t="array" ref="A195">IF(INDEX(CUEs!$A:$A,INT((ROW()-1)/7)*57+MOD(ROW()-1,7)+50)&lt;&gt;"","set "&amp;INDEX(CUEs!$A:$A,INT((ROW()-1)/7)*57+MOD(ROW()-1,7)+50)&amp;"=/ s "&amp;INDEX(CUEs!$B:$B,INT((ROW()-1)/7)*57+MOD(ROW()-1,7)+50),"")</f>
        <v/>
      </c>
    </row>
    <row r="196" spans="1:1" x14ac:dyDescent="0.25">
      <c r="A196" t="str" cm="1">
        <f t="array" ref="A196">IF(INDEX(CUEs!$A:$A,INT((ROW()-1)/7)*57+MOD(ROW()-1,7)+50)&lt;&gt;"","set "&amp;INDEX(CUEs!$A:$A,INT((ROW()-1)/7)*57+MOD(ROW()-1,7)+50)&amp;"=/ s "&amp;INDEX(CUEs!$B:$B,INT((ROW()-1)/7)*57+MOD(ROW()-1,7)+50),"")</f>
        <v/>
      </c>
    </row>
    <row r="197" spans="1:1" x14ac:dyDescent="0.25">
      <c r="A197" t="str" cm="1">
        <f t="array" ref="A197">IF(INDEX(CUEs!$A:$A,INT((ROW()-1)/7)*57+MOD(ROW()-1,7)+50)&lt;&gt;"","set "&amp;INDEX(CUEs!$A:$A,INT((ROW()-1)/7)*57+MOD(ROW()-1,7)+50)&amp;"=/ s "&amp;INDEX(CUEs!$B:$B,INT((ROW()-1)/7)*57+MOD(ROW()-1,7)+50),"")</f>
        <v/>
      </c>
    </row>
    <row r="198" spans="1:1" x14ac:dyDescent="0.25">
      <c r="A198" t="str" cm="1">
        <f t="array" ref="A198">IF(INDEX(CUEs!$A:$A,INT((ROW()-1)/7)*57+MOD(ROW()-1,7)+50)&lt;&gt;"","set "&amp;INDEX(CUEs!$A:$A,INT((ROW()-1)/7)*57+MOD(ROW()-1,7)+50)&amp;"=/ s "&amp;INDEX(CUEs!$B:$B,INT((ROW()-1)/7)*57+MOD(ROW()-1,7)+50),"")</f>
        <v/>
      </c>
    </row>
    <row r="199" spans="1:1" x14ac:dyDescent="0.25">
      <c r="A199" t="str" cm="1">
        <f t="array" ref="A199">IF(INDEX(CUEs!$A:$A,INT((ROW()-1)/7)*57+MOD(ROW()-1,7)+50)&lt;&gt;"","set "&amp;INDEX(CUEs!$A:$A,INT((ROW()-1)/7)*57+MOD(ROW()-1,7)+50)&amp;"=/ s "&amp;INDEX(CUEs!$B:$B,INT((ROW()-1)/7)*57+MOD(ROW()-1,7)+50),"")</f>
        <v/>
      </c>
    </row>
    <row r="200" spans="1:1" x14ac:dyDescent="0.25">
      <c r="A200" t="str" cm="1">
        <f t="array" ref="A200">IF(INDEX(CUEs!$A:$A,INT((ROW()-1)/7)*57+MOD(ROW()-1,7)+50)&lt;&gt;"","set "&amp;INDEX(CUEs!$A:$A,INT((ROW()-1)/7)*57+MOD(ROW()-1,7)+50)&amp;"=/ s "&amp;INDEX(CUEs!$B:$B,INT((ROW()-1)/7)*57+MOD(ROW()-1,7)+50),"")</f>
        <v/>
      </c>
    </row>
    <row r="201" spans="1:1" x14ac:dyDescent="0.25">
      <c r="A201" t="str" cm="1">
        <f t="array" ref="A201">IF(INDEX(CUEs!$A:$A,INT((ROW()-1)/7)*57+MOD(ROW()-1,7)+50)&lt;&gt;"","set "&amp;INDEX(CUEs!$A:$A,INT((ROW()-1)/7)*57+MOD(ROW()-1,7)+50)&amp;"=/ s "&amp;INDEX(CUEs!$B:$B,INT((ROW()-1)/7)*57+MOD(ROW()-1,7)+50),"")</f>
        <v/>
      </c>
    </row>
    <row r="202" spans="1:1" x14ac:dyDescent="0.25">
      <c r="A202" t="str" cm="1">
        <f t="array" ref="A202">IF(INDEX(CUEs!$A:$A,INT((ROW()-1)/7)*57+MOD(ROW()-1,7)+50)&lt;&gt;"","set "&amp;INDEX(CUEs!$A:$A,INT((ROW()-1)/7)*57+MOD(ROW()-1,7)+50)&amp;"=/ s "&amp;INDEX(CUEs!$B:$B,INT((ROW()-1)/7)*57+MOD(ROW()-1,7)+50),"")</f>
        <v/>
      </c>
    </row>
    <row r="203" spans="1:1" x14ac:dyDescent="0.25">
      <c r="A203" t="str" cm="1">
        <f t="array" ref="A203">IF(INDEX(CUEs!$A:$A,INT((ROW()-1)/7)*57+MOD(ROW()-1,7)+50)&lt;&gt;"","set "&amp;INDEX(CUEs!$A:$A,INT((ROW()-1)/7)*57+MOD(ROW()-1,7)+50)&amp;"=/ s "&amp;INDEX(CUEs!$B:$B,INT((ROW()-1)/7)*57+MOD(ROW()-1,7)+50),"")</f>
        <v/>
      </c>
    </row>
    <row r="204" spans="1:1" x14ac:dyDescent="0.25">
      <c r="A204" t="str" cm="1">
        <f t="array" ref="A204">IF(INDEX(CUEs!$A:$A,INT((ROW()-1)/7)*57+MOD(ROW()-1,7)+50)&lt;&gt;"","set "&amp;INDEX(CUEs!$A:$A,INT((ROW()-1)/7)*57+MOD(ROW()-1,7)+50)&amp;"=/ s "&amp;INDEX(CUEs!$B:$B,INT((ROW()-1)/7)*57+MOD(ROW()-1,7)+50),"")</f>
        <v/>
      </c>
    </row>
    <row r="205" spans="1:1" x14ac:dyDescent="0.25">
      <c r="A205" t="str" cm="1">
        <f t="array" ref="A205">IF(INDEX(CUEs!$A:$A,INT((ROW()-1)/7)*57+MOD(ROW()-1,7)+50)&lt;&gt;"","set "&amp;INDEX(CUEs!$A:$A,INT((ROW()-1)/7)*57+MOD(ROW()-1,7)+50)&amp;"=/ s "&amp;INDEX(CUEs!$B:$B,INT((ROW()-1)/7)*57+MOD(ROW()-1,7)+50),"")</f>
        <v/>
      </c>
    </row>
    <row r="206" spans="1:1" x14ac:dyDescent="0.25">
      <c r="A206" t="str" cm="1">
        <f t="array" ref="A206">IF(INDEX(CUEs!$A:$A,INT((ROW()-1)/7)*57+MOD(ROW()-1,7)+50)&lt;&gt;"","set "&amp;INDEX(CUEs!$A:$A,INT((ROW()-1)/7)*57+MOD(ROW()-1,7)+50)&amp;"=/ s "&amp;INDEX(CUEs!$B:$B,INT((ROW()-1)/7)*57+MOD(ROW()-1,7)+50),"")</f>
        <v/>
      </c>
    </row>
    <row r="207" spans="1:1" x14ac:dyDescent="0.25">
      <c r="A207" t="str" cm="1">
        <f t="array" ref="A207">IF(INDEX(CUEs!$A:$A,INT((ROW()-1)/7)*57+MOD(ROW()-1,7)+50)&lt;&gt;"","set "&amp;INDEX(CUEs!$A:$A,INT((ROW()-1)/7)*57+MOD(ROW()-1,7)+50)&amp;"=/ s "&amp;INDEX(CUEs!$B:$B,INT((ROW()-1)/7)*57+MOD(ROW()-1,7)+50),"")</f>
        <v/>
      </c>
    </row>
    <row r="208" spans="1:1" x14ac:dyDescent="0.25">
      <c r="A208" t="str" cm="1">
        <f t="array" ref="A208">IF(INDEX(CUEs!$A:$A,INT((ROW()-1)/7)*57+MOD(ROW()-1,7)+50)&lt;&gt;"","set "&amp;INDEX(CUEs!$A:$A,INT((ROW()-1)/7)*57+MOD(ROW()-1,7)+50)&amp;"=/ s "&amp;INDEX(CUEs!$B:$B,INT((ROW()-1)/7)*57+MOD(ROW()-1,7)+50),"")</f>
        <v/>
      </c>
    </row>
    <row r="209" spans="1:1" x14ac:dyDescent="0.25">
      <c r="A209" t="str" cm="1">
        <f t="array" ref="A209">IF(INDEX(CUEs!$A:$A,INT((ROW()-1)/7)*57+MOD(ROW()-1,7)+50)&lt;&gt;"","set "&amp;INDEX(CUEs!$A:$A,INT((ROW()-1)/7)*57+MOD(ROW()-1,7)+50)&amp;"=/ s "&amp;INDEX(CUEs!$B:$B,INT((ROW()-1)/7)*57+MOD(ROW()-1,7)+50),"")</f>
        <v/>
      </c>
    </row>
    <row r="210" spans="1:1" x14ac:dyDescent="0.25">
      <c r="A210" t="str" cm="1">
        <f t="array" ref="A210">IF(INDEX(CUEs!$A:$A,INT((ROW()-1)/7)*57+MOD(ROW()-1,7)+50)&lt;&gt;"","set "&amp;INDEX(CUEs!$A:$A,INT((ROW()-1)/7)*57+MOD(ROW()-1,7)+50)&amp;"=/ s "&amp;INDEX(CUEs!$B:$B,INT((ROW()-1)/7)*57+MOD(ROW()-1,7)+50),"")</f>
        <v/>
      </c>
    </row>
    <row r="211" spans="1:1" x14ac:dyDescent="0.25">
      <c r="A211" t="str" cm="1">
        <f t="array" ref="A211">IF(INDEX(CUEs!$A:$A,INT((ROW()-1)/7)*57+MOD(ROW()-1,7)+50)&lt;&gt;"","set "&amp;INDEX(CUEs!$A:$A,INT((ROW()-1)/7)*57+MOD(ROW()-1,7)+50)&amp;"=/ s "&amp;INDEX(CUEs!$B:$B,INT((ROW()-1)/7)*57+MOD(ROW()-1,7)+50),"")</f>
        <v/>
      </c>
    </row>
    <row r="212" spans="1:1" x14ac:dyDescent="0.25">
      <c r="A212" t="str" cm="1">
        <f t="array" ref="A212">IF(INDEX(CUEs!$A:$A,INT((ROW()-1)/7)*57+MOD(ROW()-1,7)+50)&lt;&gt;"","set "&amp;INDEX(CUEs!$A:$A,INT((ROW()-1)/7)*57+MOD(ROW()-1,7)+50)&amp;"=/ s "&amp;INDEX(CUEs!$B:$B,INT((ROW()-1)/7)*57+MOD(ROW()-1,7)+50),"")</f>
        <v/>
      </c>
    </row>
    <row r="213" spans="1:1" x14ac:dyDescent="0.25">
      <c r="A213" t="str" cm="1">
        <f t="array" ref="A213">IF(INDEX(CUEs!$A:$A,INT((ROW()-1)/7)*57+MOD(ROW()-1,7)+50)&lt;&gt;"","set "&amp;INDEX(CUEs!$A:$A,INT((ROW()-1)/7)*57+MOD(ROW()-1,7)+50)&amp;"=/ s "&amp;INDEX(CUEs!$B:$B,INT((ROW()-1)/7)*57+MOD(ROW()-1,7)+50),"")</f>
        <v/>
      </c>
    </row>
    <row r="214" spans="1:1" x14ac:dyDescent="0.25">
      <c r="A214" t="str" cm="1">
        <f t="array" ref="A214">IF(INDEX(CUEs!$A:$A,INT((ROW()-1)/7)*57+MOD(ROW()-1,7)+50)&lt;&gt;"","set "&amp;INDEX(CUEs!$A:$A,INT((ROW()-1)/7)*57+MOD(ROW()-1,7)+50)&amp;"=/ s "&amp;INDEX(CUEs!$B:$B,INT((ROW()-1)/7)*57+MOD(ROW()-1,7)+50),"")</f>
        <v/>
      </c>
    </row>
    <row r="215" spans="1:1" x14ac:dyDescent="0.25">
      <c r="A215" t="str" cm="1">
        <f t="array" ref="A215">IF(INDEX(CUEs!$A:$A,INT((ROW()-1)/7)*57+MOD(ROW()-1,7)+50)&lt;&gt;"","set "&amp;INDEX(CUEs!$A:$A,INT((ROW()-1)/7)*57+MOD(ROW()-1,7)+50)&amp;"=/ s "&amp;INDEX(CUEs!$B:$B,INT((ROW()-1)/7)*57+MOD(ROW()-1,7)+50),"")</f>
        <v/>
      </c>
    </row>
    <row r="216" spans="1:1" x14ac:dyDescent="0.25">
      <c r="A216" t="str" cm="1">
        <f t="array" ref="A216">IF(INDEX(CUEs!$A:$A,INT((ROW()-1)/7)*57+MOD(ROW()-1,7)+50)&lt;&gt;"","set "&amp;INDEX(CUEs!$A:$A,INT((ROW()-1)/7)*57+MOD(ROW()-1,7)+50)&amp;"=/ s "&amp;INDEX(CUEs!$B:$B,INT((ROW()-1)/7)*57+MOD(ROW()-1,7)+50),"")</f>
        <v/>
      </c>
    </row>
    <row r="217" spans="1:1" x14ac:dyDescent="0.25">
      <c r="A217" t="str" cm="1">
        <f t="array" ref="A217">IF(INDEX(CUEs!$A:$A,INT((ROW()-1)/7)*57+MOD(ROW()-1,7)+50)&lt;&gt;"","set "&amp;INDEX(CUEs!$A:$A,INT((ROW()-1)/7)*57+MOD(ROW()-1,7)+50)&amp;"=/ s "&amp;INDEX(CUEs!$B:$B,INT((ROW()-1)/7)*57+MOD(ROW()-1,7)+50),"")</f>
        <v/>
      </c>
    </row>
    <row r="218" spans="1:1" x14ac:dyDescent="0.25">
      <c r="A218" t="str" cm="1">
        <f t="array" ref="A218">IF(INDEX(CUEs!$A:$A,INT((ROW()-1)/7)*57+MOD(ROW()-1,7)+50)&lt;&gt;"","set "&amp;INDEX(CUEs!$A:$A,INT((ROW()-1)/7)*57+MOD(ROW()-1,7)+50)&amp;"=/ s "&amp;INDEX(CUEs!$B:$B,INT((ROW()-1)/7)*57+MOD(ROW()-1,7)+50),"")</f>
        <v/>
      </c>
    </row>
    <row r="219" spans="1:1" x14ac:dyDescent="0.25">
      <c r="A219" t="str" cm="1">
        <f t="array" ref="A219">IF(INDEX(CUEs!$A:$A,INT((ROW()-1)/7)*57+MOD(ROW()-1,7)+50)&lt;&gt;"","set "&amp;INDEX(CUEs!$A:$A,INT((ROW()-1)/7)*57+MOD(ROW()-1,7)+50)&amp;"=/ s "&amp;INDEX(CUEs!$B:$B,INT((ROW()-1)/7)*57+MOD(ROW()-1,7)+50),"")</f>
        <v/>
      </c>
    </row>
    <row r="220" spans="1:1" x14ac:dyDescent="0.25">
      <c r="A220" t="str" cm="1">
        <f t="array" ref="A220">IF(INDEX(CUEs!$A:$A,INT((ROW()-1)/7)*57+MOD(ROW()-1,7)+50)&lt;&gt;"","set "&amp;INDEX(CUEs!$A:$A,INT((ROW()-1)/7)*57+MOD(ROW()-1,7)+50)&amp;"=/ s "&amp;INDEX(CUEs!$B:$B,INT((ROW()-1)/7)*57+MOD(ROW()-1,7)+50),"")</f>
        <v/>
      </c>
    </row>
    <row r="221" spans="1:1" x14ac:dyDescent="0.25">
      <c r="A221" t="str" cm="1">
        <f t="array" ref="A221">IF(INDEX(CUEs!$A:$A,INT((ROW()-1)/7)*57+MOD(ROW()-1,7)+50)&lt;&gt;"","set "&amp;INDEX(CUEs!$A:$A,INT((ROW()-1)/7)*57+MOD(ROW()-1,7)+50)&amp;"=/ s "&amp;INDEX(CUEs!$B:$B,INT((ROW()-1)/7)*57+MOD(ROW()-1,7)+50),"")</f>
        <v/>
      </c>
    </row>
    <row r="222" spans="1:1" x14ac:dyDescent="0.25">
      <c r="A222" t="str" cm="1">
        <f t="array" ref="A222">IF(INDEX(CUEs!$A:$A,INT((ROW()-1)/7)*57+MOD(ROW()-1,7)+50)&lt;&gt;"","set "&amp;INDEX(CUEs!$A:$A,INT((ROW()-1)/7)*57+MOD(ROW()-1,7)+50)&amp;"=/ s "&amp;INDEX(CUEs!$B:$B,INT((ROW()-1)/7)*57+MOD(ROW()-1,7)+50),"")</f>
        <v/>
      </c>
    </row>
    <row r="223" spans="1:1" x14ac:dyDescent="0.25">
      <c r="A223" t="str" cm="1">
        <f t="array" ref="A223">IF(INDEX(CUEs!$A:$A,INT((ROW()-1)/7)*57+MOD(ROW()-1,7)+50)&lt;&gt;"","set "&amp;INDEX(CUEs!$A:$A,INT((ROW()-1)/7)*57+MOD(ROW()-1,7)+50)&amp;"=/ s "&amp;INDEX(CUEs!$B:$B,INT((ROW()-1)/7)*57+MOD(ROW()-1,7)+50),"")</f>
        <v/>
      </c>
    </row>
    <row r="224" spans="1:1" x14ac:dyDescent="0.25">
      <c r="A224" t="str" cm="1">
        <f t="array" ref="A224">IF(INDEX(CUEs!$A:$A,INT((ROW()-1)/7)*57+MOD(ROW()-1,7)+50)&lt;&gt;"","set "&amp;INDEX(CUEs!$A:$A,INT((ROW()-1)/7)*57+MOD(ROW()-1,7)+50)&amp;"=/ s "&amp;INDEX(CUEs!$B:$B,INT((ROW()-1)/7)*57+MOD(ROW()-1,7)+50),"")</f>
        <v/>
      </c>
    </row>
    <row r="225" spans="1:1" x14ac:dyDescent="0.25">
      <c r="A225" t="str" cm="1">
        <f t="array" ref="A225">IF(INDEX(CUEs!$A:$A,INT((ROW()-1)/7)*57+MOD(ROW()-1,7)+50)&lt;&gt;"","set "&amp;INDEX(CUEs!$A:$A,INT((ROW()-1)/7)*57+MOD(ROW()-1,7)+50)&amp;"=/ s "&amp;INDEX(CUEs!$B:$B,INT((ROW()-1)/7)*57+MOD(ROW()-1,7)+50),"")</f>
        <v/>
      </c>
    </row>
    <row r="226" spans="1:1" x14ac:dyDescent="0.25">
      <c r="A226" t="str" cm="1">
        <f t="array" ref="A226">IF(INDEX(CUEs!$A:$A,INT((ROW()-1)/7)*57+MOD(ROW()-1,7)+50)&lt;&gt;"","set "&amp;INDEX(CUEs!$A:$A,INT((ROW()-1)/7)*57+MOD(ROW()-1,7)+50)&amp;"=/ s "&amp;INDEX(CUEs!$B:$B,INT((ROW()-1)/7)*57+MOD(ROW()-1,7)+50),"")</f>
        <v/>
      </c>
    </row>
    <row r="227" spans="1:1" x14ac:dyDescent="0.25">
      <c r="A227" t="str" cm="1">
        <f t="array" ref="A227">IF(INDEX(CUEs!$A:$A,INT((ROW()-1)/7)*57+MOD(ROW()-1,7)+50)&lt;&gt;"","set "&amp;INDEX(CUEs!$A:$A,INT((ROW()-1)/7)*57+MOD(ROW()-1,7)+50)&amp;"=/ s "&amp;INDEX(CUEs!$B:$B,INT((ROW()-1)/7)*57+MOD(ROW()-1,7)+50),"")</f>
        <v/>
      </c>
    </row>
    <row r="228" spans="1:1" x14ac:dyDescent="0.25">
      <c r="A228" t="str" cm="1">
        <f t="array" ref="A228">IF(INDEX(CUEs!$A:$A,INT((ROW()-1)/7)*57+MOD(ROW()-1,7)+50)&lt;&gt;"","set "&amp;INDEX(CUEs!$A:$A,INT((ROW()-1)/7)*57+MOD(ROW()-1,7)+50)&amp;"=/ s "&amp;INDEX(CUEs!$B:$B,INT((ROW()-1)/7)*57+MOD(ROW()-1,7)+50),"")</f>
        <v/>
      </c>
    </row>
    <row r="229" spans="1:1" x14ac:dyDescent="0.25">
      <c r="A229" t="str" cm="1">
        <f t="array" ref="A229">IF(INDEX(CUEs!$A:$A,INT((ROW()-1)/7)*57+MOD(ROW()-1,7)+50)&lt;&gt;"","set "&amp;INDEX(CUEs!$A:$A,INT((ROW()-1)/7)*57+MOD(ROW()-1,7)+50)&amp;"=/ s "&amp;INDEX(CUEs!$B:$B,INT((ROW()-1)/7)*57+MOD(ROW()-1,7)+50),"")</f>
        <v/>
      </c>
    </row>
    <row r="230" spans="1:1" x14ac:dyDescent="0.25">
      <c r="A230" t="str" cm="1">
        <f t="array" ref="A230">IF(INDEX(CUEs!$A:$A,INT((ROW()-1)/7)*57+MOD(ROW()-1,7)+50)&lt;&gt;"","set "&amp;INDEX(CUEs!$A:$A,INT((ROW()-1)/7)*57+MOD(ROW()-1,7)+50)&amp;"=/ s "&amp;INDEX(CUEs!$B:$B,INT((ROW()-1)/7)*57+MOD(ROW()-1,7)+50),"")</f>
        <v/>
      </c>
    </row>
    <row r="231" spans="1:1" x14ac:dyDescent="0.25">
      <c r="A231" t="str" cm="1">
        <f t="array" ref="A231">IF(INDEX(CUEs!$A:$A,INT((ROW()-1)/7)*57+MOD(ROW()-1,7)+50)&lt;&gt;"","set "&amp;INDEX(CUEs!$A:$A,INT((ROW()-1)/7)*57+MOD(ROW()-1,7)+50)&amp;"=/ s "&amp;INDEX(CUEs!$B:$B,INT((ROW()-1)/7)*57+MOD(ROW()-1,7)+50),"")</f>
        <v/>
      </c>
    </row>
    <row r="232" spans="1:1" x14ac:dyDescent="0.25">
      <c r="A232" t="str" cm="1">
        <f t="array" ref="A232">IF(INDEX(CUEs!$A:$A,INT((ROW()-1)/7)*57+MOD(ROW()-1,7)+50)&lt;&gt;"","set "&amp;INDEX(CUEs!$A:$A,INT((ROW()-1)/7)*57+MOD(ROW()-1,7)+50)&amp;"=/ s "&amp;INDEX(CUEs!$B:$B,INT((ROW()-1)/7)*57+MOD(ROW()-1,7)+50),"")</f>
        <v/>
      </c>
    </row>
    <row r="233" spans="1:1" x14ac:dyDescent="0.25">
      <c r="A233" t="str" cm="1">
        <f t="array" ref="A233">IF(INDEX(CUEs!$A:$A,INT((ROW()-1)/7)*57+MOD(ROW()-1,7)+50)&lt;&gt;"","set "&amp;INDEX(CUEs!$A:$A,INT((ROW()-1)/7)*57+MOD(ROW()-1,7)+50)&amp;"=/ s "&amp;INDEX(CUEs!$B:$B,INT((ROW()-1)/7)*57+MOD(ROW()-1,7)+50),"")</f>
        <v/>
      </c>
    </row>
    <row r="234" spans="1:1" x14ac:dyDescent="0.25">
      <c r="A234" t="str" cm="1">
        <f t="array" ref="A234">IF(INDEX(CUEs!$A:$A,INT((ROW()-1)/7)*57+MOD(ROW()-1,7)+50)&lt;&gt;"","set "&amp;INDEX(CUEs!$A:$A,INT((ROW()-1)/7)*57+MOD(ROW()-1,7)+50)&amp;"=/ s "&amp;INDEX(CUEs!$B:$B,INT((ROW()-1)/7)*57+MOD(ROW()-1,7)+50),"")</f>
        <v/>
      </c>
    </row>
    <row r="235" spans="1:1" x14ac:dyDescent="0.25">
      <c r="A235" t="str" cm="1">
        <f t="array" ref="A235">IF(INDEX(CUEs!$A:$A,INT((ROW()-1)/7)*57+MOD(ROW()-1,7)+50)&lt;&gt;"","set "&amp;INDEX(CUEs!$A:$A,INT((ROW()-1)/7)*57+MOD(ROW()-1,7)+50)&amp;"=/ s "&amp;INDEX(CUEs!$B:$B,INT((ROW()-1)/7)*57+MOD(ROW()-1,7)+50),"")</f>
        <v/>
      </c>
    </row>
    <row r="236" spans="1:1" x14ac:dyDescent="0.25">
      <c r="A236" t="str" cm="1">
        <f t="array" ref="A236">IF(INDEX(CUEs!$A:$A,INT((ROW()-1)/7)*57+MOD(ROW()-1,7)+50)&lt;&gt;"","set "&amp;INDEX(CUEs!$A:$A,INT((ROW()-1)/7)*57+MOD(ROW()-1,7)+50)&amp;"=/ s "&amp;INDEX(CUEs!$B:$B,INT((ROW()-1)/7)*57+MOD(ROW()-1,7)+50),"")</f>
        <v/>
      </c>
    </row>
    <row r="237" spans="1:1" x14ac:dyDescent="0.25">
      <c r="A237" t="str" cm="1">
        <f t="array" ref="A237">IF(INDEX(CUEs!$A:$A,INT((ROW()-1)/7)*57+MOD(ROW()-1,7)+50)&lt;&gt;"","set "&amp;INDEX(CUEs!$A:$A,INT((ROW()-1)/7)*57+MOD(ROW()-1,7)+50)&amp;"=/ s "&amp;INDEX(CUEs!$B:$B,INT((ROW()-1)/7)*57+MOD(ROW()-1,7)+50),"")</f>
        <v/>
      </c>
    </row>
    <row r="238" spans="1:1" x14ac:dyDescent="0.25">
      <c r="A238" t="str" cm="1">
        <f t="array" ref="A238">IF(INDEX(CUEs!$A:$A,INT((ROW()-1)/7)*57+MOD(ROW()-1,7)+50)&lt;&gt;"","set "&amp;INDEX(CUEs!$A:$A,INT((ROW()-1)/7)*57+MOD(ROW()-1,7)+50)&amp;"=/ s "&amp;INDEX(CUEs!$B:$B,INT((ROW()-1)/7)*57+MOD(ROW()-1,7)+50),"")</f>
        <v/>
      </c>
    </row>
    <row r="239" spans="1:1" x14ac:dyDescent="0.25">
      <c r="A239" t="str" cm="1">
        <f t="array" ref="A239">IF(INDEX(CUEs!$A:$A,INT((ROW()-1)/7)*57+MOD(ROW()-1,7)+50)&lt;&gt;"","set "&amp;INDEX(CUEs!$A:$A,INT((ROW()-1)/7)*57+MOD(ROW()-1,7)+50)&amp;"=/ s "&amp;INDEX(CUEs!$B:$B,INT((ROW()-1)/7)*57+MOD(ROW()-1,7)+50),"")</f>
        <v/>
      </c>
    </row>
    <row r="240" spans="1:1" x14ac:dyDescent="0.25">
      <c r="A240" t="str" cm="1">
        <f t="array" ref="A240">IF(INDEX(CUEs!$A:$A,INT((ROW()-1)/7)*57+MOD(ROW()-1,7)+50)&lt;&gt;"","set "&amp;INDEX(CUEs!$A:$A,INT((ROW()-1)/7)*57+MOD(ROW()-1,7)+50)&amp;"=/ s "&amp;INDEX(CUEs!$B:$B,INT((ROW()-1)/7)*57+MOD(ROW()-1,7)+50),"")</f>
        <v/>
      </c>
    </row>
    <row r="241" spans="1:1" x14ac:dyDescent="0.25">
      <c r="A241" t="str" cm="1">
        <f t="array" ref="A241">IF(INDEX(CUEs!$A:$A,INT((ROW()-1)/7)*57+MOD(ROW()-1,7)+50)&lt;&gt;"","set "&amp;INDEX(CUEs!$A:$A,INT((ROW()-1)/7)*57+MOD(ROW()-1,7)+50)&amp;"=/ s "&amp;INDEX(CUEs!$B:$B,INT((ROW()-1)/7)*57+MOD(ROW()-1,7)+50),"")</f>
        <v/>
      </c>
    </row>
    <row r="242" spans="1:1" x14ac:dyDescent="0.25">
      <c r="A242" t="str" cm="1">
        <f t="array" ref="A242">IF(INDEX(CUEs!$A:$A,INT((ROW()-1)/7)*57+MOD(ROW()-1,7)+50)&lt;&gt;"","set "&amp;INDEX(CUEs!$A:$A,INT((ROW()-1)/7)*57+MOD(ROW()-1,7)+50)&amp;"=/ s "&amp;INDEX(CUEs!$B:$B,INT((ROW()-1)/7)*57+MOD(ROW()-1,7)+50),"")</f>
        <v/>
      </c>
    </row>
    <row r="243" spans="1:1" x14ac:dyDescent="0.25">
      <c r="A243" t="str" cm="1">
        <f t="array" ref="A243">IF(INDEX(CUEs!$A:$A,INT((ROW()-1)/7)*57+MOD(ROW()-1,7)+50)&lt;&gt;"","set "&amp;INDEX(CUEs!$A:$A,INT((ROW()-1)/7)*57+MOD(ROW()-1,7)+50)&amp;"=/ s "&amp;INDEX(CUEs!$B:$B,INT((ROW()-1)/7)*57+MOD(ROW()-1,7)+50),"")</f>
        <v/>
      </c>
    </row>
    <row r="244" spans="1:1" x14ac:dyDescent="0.25">
      <c r="A244" t="str" cm="1">
        <f t="array" ref="A244">IF(INDEX(CUEs!$A:$A,INT((ROW()-1)/7)*57+MOD(ROW()-1,7)+50)&lt;&gt;"","set "&amp;INDEX(CUEs!$A:$A,INT((ROW()-1)/7)*57+MOD(ROW()-1,7)+50)&amp;"=/ s "&amp;INDEX(CUEs!$B:$B,INT((ROW()-1)/7)*57+MOD(ROW()-1,7)+50),"")</f>
        <v/>
      </c>
    </row>
    <row r="245" spans="1:1" x14ac:dyDescent="0.25">
      <c r="A245" t="str" cm="1">
        <f t="array" ref="A245">IF(INDEX(CUEs!$A:$A,INT((ROW()-1)/7)*57+MOD(ROW()-1,7)+50)&lt;&gt;"","set "&amp;INDEX(CUEs!$A:$A,INT((ROW()-1)/7)*57+MOD(ROW()-1,7)+50)&amp;"=/ s "&amp;INDEX(CUEs!$B:$B,INT((ROW()-1)/7)*57+MOD(ROW()-1,7)+50),"")</f>
        <v/>
      </c>
    </row>
    <row r="246" spans="1:1" x14ac:dyDescent="0.25">
      <c r="A246" t="str" cm="1">
        <f t="array" ref="A246">IF(INDEX(CUEs!$A:$A,INT((ROW()-1)/7)*57+MOD(ROW()-1,7)+50)&lt;&gt;"","set "&amp;INDEX(CUEs!$A:$A,INT((ROW()-1)/7)*57+MOD(ROW()-1,7)+50)&amp;"=/ s "&amp;INDEX(CUEs!$B:$B,INT((ROW()-1)/7)*57+MOD(ROW()-1,7)+50),"")</f>
        <v/>
      </c>
    </row>
    <row r="247" spans="1:1" x14ac:dyDescent="0.25">
      <c r="A247" t="str" cm="1">
        <f t="array" ref="A247">IF(INDEX(CUEs!$A:$A,INT((ROW()-1)/7)*57+MOD(ROW()-1,7)+50)&lt;&gt;"","set "&amp;INDEX(CUEs!$A:$A,INT((ROW()-1)/7)*57+MOD(ROW()-1,7)+50)&amp;"=/ s "&amp;INDEX(CUEs!$B:$B,INT((ROW()-1)/7)*57+MOD(ROW()-1,7)+50),"")</f>
        <v/>
      </c>
    </row>
    <row r="248" spans="1:1" x14ac:dyDescent="0.25">
      <c r="A248" t="str" cm="1">
        <f t="array" ref="A248">IF(INDEX(CUEs!$A:$A,INT((ROW()-1)/7)*57+MOD(ROW()-1,7)+50)&lt;&gt;"","set "&amp;INDEX(CUEs!$A:$A,INT((ROW()-1)/7)*57+MOD(ROW()-1,7)+50)&amp;"=/ s "&amp;INDEX(CUEs!$B:$B,INT((ROW()-1)/7)*57+MOD(ROW()-1,7)+50),"")</f>
        <v/>
      </c>
    </row>
    <row r="249" spans="1:1" x14ac:dyDescent="0.25">
      <c r="A249" t="str" cm="1">
        <f t="array" ref="A249">IF(INDEX(CUEs!$A:$A,INT((ROW()-1)/7)*57+MOD(ROW()-1,7)+50)&lt;&gt;"","set "&amp;INDEX(CUEs!$A:$A,INT((ROW()-1)/7)*57+MOD(ROW()-1,7)+50)&amp;"=/ s "&amp;INDEX(CUEs!$B:$B,INT((ROW()-1)/7)*57+MOD(ROW()-1,7)+50),"")</f>
        <v/>
      </c>
    </row>
    <row r="250" spans="1:1" x14ac:dyDescent="0.25">
      <c r="A250" t="str" cm="1">
        <f t="array" ref="A250">IF(INDEX(CUEs!$A:$A,INT((ROW()-1)/7)*57+MOD(ROW()-1,7)+50)&lt;&gt;"","set "&amp;INDEX(CUEs!$A:$A,INT((ROW()-1)/7)*57+MOD(ROW()-1,7)+50)&amp;"=/ s "&amp;INDEX(CUEs!$B:$B,INT((ROW()-1)/7)*57+MOD(ROW()-1,7)+50),"")</f>
        <v/>
      </c>
    </row>
    <row r="251" spans="1:1" x14ac:dyDescent="0.25">
      <c r="A251" t="str" cm="1">
        <f t="array" ref="A251">IF(INDEX(CUEs!$A:$A,INT((ROW()-1)/7)*57+MOD(ROW()-1,7)+50)&lt;&gt;"","set "&amp;INDEX(CUEs!$A:$A,INT((ROW()-1)/7)*57+MOD(ROW()-1,7)+50)&amp;"=/ s "&amp;INDEX(CUEs!$B:$B,INT((ROW()-1)/7)*57+MOD(ROW()-1,7)+50),"")</f>
        <v/>
      </c>
    </row>
    <row r="252" spans="1:1" x14ac:dyDescent="0.25">
      <c r="A252" t="str" cm="1">
        <f t="array" ref="A252">IF(INDEX(CUEs!$A:$A,INT((ROW()-1)/7)*57+MOD(ROW()-1,7)+50)&lt;&gt;"","set "&amp;INDEX(CUEs!$A:$A,INT((ROW()-1)/7)*57+MOD(ROW()-1,7)+50)&amp;"=/ s "&amp;INDEX(CUEs!$B:$B,INT((ROW()-1)/7)*57+MOD(ROW()-1,7)+50),"")</f>
        <v/>
      </c>
    </row>
    <row r="253" spans="1:1" x14ac:dyDescent="0.25">
      <c r="A253" t="str" cm="1">
        <f t="array" ref="A253">IF(INDEX(CUEs!$A:$A,INT((ROW()-1)/7)*57+MOD(ROW()-1,7)+50)&lt;&gt;"","set "&amp;INDEX(CUEs!$A:$A,INT((ROW()-1)/7)*57+MOD(ROW()-1,7)+50)&amp;"=/ s "&amp;INDEX(CUEs!$B:$B,INT((ROW()-1)/7)*57+MOD(ROW()-1,7)+50),"")</f>
        <v/>
      </c>
    </row>
    <row r="254" spans="1:1" x14ac:dyDescent="0.25">
      <c r="A254" t="str" cm="1">
        <f t="array" ref="A254">IF(INDEX(CUEs!$A:$A,INT((ROW()-1)/7)*57+MOD(ROW()-1,7)+50)&lt;&gt;"","set "&amp;INDEX(CUEs!$A:$A,INT((ROW()-1)/7)*57+MOD(ROW()-1,7)+50)&amp;"=/ s "&amp;INDEX(CUEs!$B:$B,INT((ROW()-1)/7)*57+MOD(ROW()-1,7)+50),"")</f>
        <v/>
      </c>
    </row>
    <row r="255" spans="1:1" x14ac:dyDescent="0.25">
      <c r="A255" t="str" cm="1">
        <f t="array" ref="A255">IF(INDEX(CUEs!$A:$A,INT((ROW()-1)/7)*57+MOD(ROW()-1,7)+50)&lt;&gt;"","set "&amp;INDEX(CUEs!$A:$A,INT((ROW()-1)/7)*57+MOD(ROW()-1,7)+50)&amp;"=/ s "&amp;INDEX(CUEs!$B:$B,INT((ROW()-1)/7)*57+MOD(ROW()-1,7)+50),"")</f>
        <v/>
      </c>
    </row>
    <row r="256" spans="1:1" x14ac:dyDescent="0.25">
      <c r="A256" t="str" cm="1">
        <f t="array" ref="A256">IF(INDEX(CUEs!$A:$A,INT((ROW()-1)/7)*57+MOD(ROW()-1,7)+50)&lt;&gt;"","set "&amp;INDEX(CUEs!$A:$A,INT((ROW()-1)/7)*57+MOD(ROW()-1,7)+50)&amp;"=/ s "&amp;INDEX(CUEs!$B:$B,INT((ROW()-1)/7)*57+MOD(ROW()-1,7)+50),"")</f>
        <v/>
      </c>
    </row>
    <row r="257" spans="1:1" x14ac:dyDescent="0.25">
      <c r="A257" t="str" cm="1">
        <f t="array" ref="A257">IF(INDEX(CUEs!$A:$A,INT((ROW()-1)/7)*57+MOD(ROW()-1,7)+50)&lt;&gt;"","set "&amp;INDEX(CUEs!$A:$A,INT((ROW()-1)/7)*57+MOD(ROW()-1,7)+50)&amp;"=/ s "&amp;INDEX(CUEs!$B:$B,INT((ROW()-1)/7)*57+MOD(ROW()-1,7)+50),"")</f>
        <v/>
      </c>
    </row>
    <row r="258" spans="1:1" x14ac:dyDescent="0.25">
      <c r="A258" t="str" cm="1">
        <f t="array" ref="A258">IF(INDEX(CUEs!$A:$A,INT((ROW()-1)/7)*57+MOD(ROW()-1,7)+50)&lt;&gt;"","set "&amp;INDEX(CUEs!$A:$A,INT((ROW()-1)/7)*57+MOD(ROW()-1,7)+50)&amp;"=/ s "&amp;INDEX(CUEs!$B:$B,INT((ROW()-1)/7)*57+MOD(ROW()-1,7)+50),"")</f>
        <v/>
      </c>
    </row>
    <row r="259" spans="1:1" x14ac:dyDescent="0.25">
      <c r="A259" t="str" cm="1">
        <f t="array" ref="A259">IF(INDEX(CUEs!$A:$A,INT((ROW()-1)/7)*57+MOD(ROW()-1,7)+50)&lt;&gt;"","set "&amp;INDEX(CUEs!$A:$A,INT((ROW()-1)/7)*57+MOD(ROW()-1,7)+50)&amp;"=/ s "&amp;INDEX(CUEs!$B:$B,INT((ROW()-1)/7)*57+MOD(ROW()-1,7)+50),"")</f>
        <v/>
      </c>
    </row>
    <row r="260" spans="1:1" x14ac:dyDescent="0.25">
      <c r="A260" t="str" cm="1">
        <f t="array" ref="A260">IF(INDEX(CUEs!$A:$A,INT((ROW()-1)/7)*57+MOD(ROW()-1,7)+50)&lt;&gt;"","set "&amp;INDEX(CUEs!$A:$A,INT((ROW()-1)/7)*57+MOD(ROW()-1,7)+50)&amp;"=/ s "&amp;INDEX(CUEs!$B:$B,INT((ROW()-1)/7)*57+MOD(ROW()-1,7)+50),"")</f>
        <v/>
      </c>
    </row>
    <row r="261" spans="1:1" x14ac:dyDescent="0.25">
      <c r="A261" t="str" cm="1">
        <f t="array" ref="A261">IF(INDEX(CUEs!$A:$A,INT((ROW()-1)/7)*57+MOD(ROW()-1,7)+50)&lt;&gt;"","set "&amp;INDEX(CUEs!$A:$A,INT((ROW()-1)/7)*57+MOD(ROW()-1,7)+50)&amp;"=/ s "&amp;INDEX(CUEs!$B:$B,INT((ROW()-1)/7)*57+MOD(ROW()-1,7)+50),"")</f>
        <v/>
      </c>
    </row>
    <row r="262" spans="1:1" x14ac:dyDescent="0.25">
      <c r="A262" t="str" cm="1">
        <f t="array" ref="A262">IF(INDEX(CUEs!$A:$A,INT((ROW()-1)/7)*57+MOD(ROW()-1,7)+50)&lt;&gt;"","set "&amp;INDEX(CUEs!$A:$A,INT((ROW()-1)/7)*57+MOD(ROW()-1,7)+50)&amp;"=/ s "&amp;INDEX(CUEs!$B:$B,INT((ROW()-1)/7)*57+MOD(ROW()-1,7)+50),"")</f>
        <v/>
      </c>
    </row>
    <row r="263" spans="1:1" x14ac:dyDescent="0.25">
      <c r="A263" t="str" cm="1">
        <f t="array" ref="A263">IF(INDEX(CUEs!$A:$A,INT((ROW()-1)/7)*57+MOD(ROW()-1,7)+50)&lt;&gt;"","set "&amp;INDEX(CUEs!$A:$A,INT((ROW()-1)/7)*57+MOD(ROW()-1,7)+50)&amp;"=/ s "&amp;INDEX(CUEs!$B:$B,INT((ROW()-1)/7)*57+MOD(ROW()-1,7)+50),"")</f>
        <v/>
      </c>
    </row>
    <row r="264" spans="1:1" x14ac:dyDescent="0.25">
      <c r="A264" t="str" cm="1">
        <f t="array" ref="A264">IF(INDEX(CUEs!$A:$A,INT((ROW()-1)/7)*57+MOD(ROW()-1,7)+50)&lt;&gt;"","set "&amp;INDEX(CUEs!$A:$A,INT((ROW()-1)/7)*57+MOD(ROW()-1,7)+50)&amp;"=/ s "&amp;INDEX(CUEs!$B:$B,INT((ROW()-1)/7)*57+MOD(ROW()-1,7)+50),"")</f>
        <v/>
      </c>
    </row>
    <row r="265" spans="1:1" x14ac:dyDescent="0.25">
      <c r="A265" t="str" cm="1">
        <f t="array" ref="A265">IF(INDEX(CUEs!$A:$A,INT((ROW()-1)/7)*57+MOD(ROW()-1,7)+50)&lt;&gt;"","set "&amp;INDEX(CUEs!$A:$A,INT((ROW()-1)/7)*57+MOD(ROW()-1,7)+50)&amp;"=/ s "&amp;INDEX(CUEs!$B:$B,INT((ROW()-1)/7)*57+MOD(ROW()-1,7)+50),"")</f>
        <v/>
      </c>
    </row>
    <row r="266" spans="1:1" x14ac:dyDescent="0.25">
      <c r="A266" t="str" cm="1">
        <f t="array" ref="A266">IF(INDEX(CUEs!$A:$A,INT((ROW()-1)/7)*57+MOD(ROW()-1,7)+50)&lt;&gt;"","set "&amp;INDEX(CUEs!$A:$A,INT((ROW()-1)/7)*57+MOD(ROW()-1,7)+50)&amp;"=/ s "&amp;INDEX(CUEs!$B:$B,INT((ROW()-1)/7)*57+MOD(ROW()-1,7)+50),"")</f>
        <v/>
      </c>
    </row>
    <row r="267" spans="1:1" x14ac:dyDescent="0.25">
      <c r="A267" t="str" cm="1">
        <f t="array" ref="A267">IF(INDEX(CUEs!$A:$A,INT((ROW()-1)/7)*57+MOD(ROW()-1,7)+50)&lt;&gt;"","set "&amp;INDEX(CUEs!$A:$A,INT((ROW()-1)/7)*57+MOD(ROW()-1,7)+50)&amp;"=/ s "&amp;INDEX(CUEs!$B:$B,INT((ROW()-1)/7)*57+MOD(ROW()-1,7)+50),"")</f>
        <v/>
      </c>
    </row>
    <row r="268" spans="1:1" x14ac:dyDescent="0.25">
      <c r="A268" t="str" cm="1">
        <f t="array" ref="A268">IF(INDEX(CUEs!$A:$A,INT((ROW()-1)/7)*57+MOD(ROW()-1,7)+50)&lt;&gt;"","set "&amp;INDEX(CUEs!$A:$A,INT((ROW()-1)/7)*57+MOD(ROW()-1,7)+50)&amp;"=/ s "&amp;INDEX(CUEs!$B:$B,INT((ROW()-1)/7)*57+MOD(ROW()-1,7)+50),"")</f>
        <v/>
      </c>
    </row>
    <row r="269" spans="1:1" x14ac:dyDescent="0.25">
      <c r="A269" t="str" cm="1">
        <f t="array" ref="A269">IF(INDEX(CUEs!$A:$A,INT((ROW()-1)/7)*57+MOD(ROW()-1,7)+50)&lt;&gt;"","set "&amp;INDEX(CUEs!$A:$A,INT((ROW()-1)/7)*57+MOD(ROW()-1,7)+50)&amp;"=/ s "&amp;INDEX(CUEs!$B:$B,INT((ROW()-1)/7)*57+MOD(ROW()-1,7)+50),"")</f>
        <v/>
      </c>
    </row>
    <row r="270" spans="1:1" x14ac:dyDescent="0.25">
      <c r="A270" t="str" cm="1">
        <f t="array" ref="A270">IF(INDEX(CUEs!$A:$A,INT((ROW()-1)/7)*57+MOD(ROW()-1,7)+50)&lt;&gt;"","set "&amp;INDEX(CUEs!$A:$A,INT((ROW()-1)/7)*57+MOD(ROW()-1,7)+50)&amp;"=/ s "&amp;INDEX(CUEs!$B:$B,INT((ROW()-1)/7)*57+MOD(ROW()-1,7)+50),"")</f>
        <v/>
      </c>
    </row>
    <row r="271" spans="1:1" x14ac:dyDescent="0.25">
      <c r="A271" t="str" cm="1">
        <f t="array" ref="A271">IF(INDEX(CUEs!$A:$A,INT((ROW()-1)/7)*57+MOD(ROW()-1,7)+50)&lt;&gt;"","set "&amp;INDEX(CUEs!$A:$A,INT((ROW()-1)/7)*57+MOD(ROW()-1,7)+50)&amp;"=/ s "&amp;INDEX(CUEs!$B:$B,INT((ROW()-1)/7)*57+MOD(ROW()-1,7)+50),"")</f>
        <v/>
      </c>
    </row>
    <row r="272" spans="1:1" x14ac:dyDescent="0.25">
      <c r="A272" t="str" cm="1">
        <f t="array" ref="A272">IF(INDEX(CUEs!$A:$A,INT((ROW()-1)/7)*57+MOD(ROW()-1,7)+50)&lt;&gt;"","set "&amp;INDEX(CUEs!$A:$A,INT((ROW()-1)/7)*57+MOD(ROW()-1,7)+50)&amp;"=/ s "&amp;INDEX(CUEs!$B:$B,INT((ROW()-1)/7)*57+MOD(ROW()-1,7)+50),"")</f>
        <v/>
      </c>
    </row>
    <row r="273" spans="1:1" x14ac:dyDescent="0.25">
      <c r="A273" t="str" cm="1">
        <f t="array" ref="A273">IF(INDEX(CUEs!$A:$A,INT((ROW()-1)/7)*57+MOD(ROW()-1,7)+50)&lt;&gt;"","set "&amp;INDEX(CUEs!$A:$A,INT((ROW()-1)/7)*57+MOD(ROW()-1,7)+50)&amp;"=/ s "&amp;INDEX(CUEs!$B:$B,INT((ROW()-1)/7)*57+MOD(ROW()-1,7)+50),"")</f>
        <v/>
      </c>
    </row>
    <row r="274" spans="1:1" x14ac:dyDescent="0.25">
      <c r="A274" t="str" cm="1">
        <f t="array" ref="A274">IF(INDEX(CUEs!$A:$A,INT((ROW()-1)/7)*57+MOD(ROW()-1,7)+50)&lt;&gt;"","set "&amp;INDEX(CUEs!$A:$A,INT((ROW()-1)/7)*57+MOD(ROW()-1,7)+50)&amp;"=/ s "&amp;INDEX(CUEs!$B:$B,INT((ROW()-1)/7)*57+MOD(ROW()-1,7)+50),"")</f>
        <v/>
      </c>
    </row>
    <row r="275" spans="1:1" x14ac:dyDescent="0.25">
      <c r="A275" t="str" cm="1">
        <f t="array" ref="A275">IF(INDEX(CUEs!$A:$A,INT((ROW()-1)/7)*57+MOD(ROW()-1,7)+50)&lt;&gt;"","set "&amp;INDEX(CUEs!$A:$A,INT((ROW()-1)/7)*57+MOD(ROW()-1,7)+50)&amp;"=/ s "&amp;INDEX(CUEs!$B:$B,INT((ROW()-1)/7)*57+MOD(ROW()-1,7)+50),"")</f>
        <v/>
      </c>
    </row>
    <row r="276" spans="1:1" x14ac:dyDescent="0.25">
      <c r="A276" t="str" cm="1">
        <f t="array" ref="A276">IF(INDEX(CUEs!$A:$A,INT((ROW()-1)/7)*57+MOD(ROW()-1,7)+50)&lt;&gt;"","set "&amp;INDEX(CUEs!$A:$A,INT((ROW()-1)/7)*57+MOD(ROW()-1,7)+50)&amp;"=/ s "&amp;INDEX(CUEs!$B:$B,INT((ROW()-1)/7)*57+MOD(ROW()-1,7)+50),"")</f>
        <v/>
      </c>
    </row>
    <row r="277" spans="1:1" x14ac:dyDescent="0.25">
      <c r="A277" t="str" cm="1">
        <f t="array" ref="A277">IF(INDEX(CUEs!$A:$A,INT((ROW()-1)/7)*57+MOD(ROW()-1,7)+50)&lt;&gt;"","set "&amp;INDEX(CUEs!$A:$A,INT((ROW()-1)/7)*57+MOD(ROW()-1,7)+50)&amp;"=/ s "&amp;INDEX(CUEs!$B:$B,INT((ROW()-1)/7)*57+MOD(ROW()-1,7)+50),"")</f>
        <v/>
      </c>
    </row>
    <row r="278" spans="1:1" x14ac:dyDescent="0.25">
      <c r="A278" t="str" cm="1">
        <f t="array" ref="A278">IF(INDEX(CUEs!$A:$A,INT((ROW()-1)/7)*57+MOD(ROW()-1,7)+50)&lt;&gt;"","set "&amp;INDEX(CUEs!$A:$A,INT((ROW()-1)/7)*57+MOD(ROW()-1,7)+50)&amp;"=/ s "&amp;INDEX(CUEs!$B:$B,INT((ROW()-1)/7)*57+MOD(ROW()-1,7)+50),"")</f>
        <v/>
      </c>
    </row>
    <row r="279" spans="1:1" x14ac:dyDescent="0.25">
      <c r="A279" t="str" cm="1">
        <f t="array" ref="A279">IF(INDEX(CUEs!$A:$A,INT((ROW()-1)/7)*57+MOD(ROW()-1,7)+50)&lt;&gt;"","set "&amp;INDEX(CUEs!$A:$A,INT((ROW()-1)/7)*57+MOD(ROW()-1,7)+50)&amp;"=/ s "&amp;INDEX(CUEs!$B:$B,INT((ROW()-1)/7)*57+MOD(ROW()-1,7)+50),"")</f>
        <v/>
      </c>
    </row>
    <row r="280" spans="1:1" x14ac:dyDescent="0.25">
      <c r="A280" t="str" cm="1">
        <f t="array" ref="A280">IF(INDEX(CUEs!$A:$A,INT((ROW()-1)/7)*57+MOD(ROW()-1,7)+50)&lt;&gt;"","set "&amp;INDEX(CUEs!$A:$A,INT((ROW()-1)/7)*57+MOD(ROW()-1,7)+50)&amp;"=/ s "&amp;INDEX(CUEs!$B:$B,INT((ROW()-1)/7)*57+MOD(ROW()-1,7)+50),"")</f>
        <v/>
      </c>
    </row>
    <row r="281" spans="1:1" x14ac:dyDescent="0.25">
      <c r="A281" t="str" cm="1">
        <f t="array" ref="A281">IF(INDEX(CUEs!$A:$A,INT((ROW()-1)/7)*57+MOD(ROW()-1,7)+50)&lt;&gt;"","set "&amp;INDEX(CUEs!$A:$A,INT((ROW()-1)/7)*57+MOD(ROW()-1,7)+50)&amp;"=/ s "&amp;INDEX(CUEs!$B:$B,INT((ROW()-1)/7)*57+MOD(ROW()-1,7)+50),"")</f>
        <v/>
      </c>
    </row>
    <row r="282" spans="1:1" x14ac:dyDescent="0.25">
      <c r="A282" t="str" cm="1">
        <f t="array" ref="A282">IF(INDEX(CUEs!$A:$A,INT((ROW()-1)/7)*57+MOD(ROW()-1,7)+50)&lt;&gt;"","set "&amp;INDEX(CUEs!$A:$A,INT((ROW()-1)/7)*57+MOD(ROW()-1,7)+50)&amp;"=/ s "&amp;INDEX(CUEs!$B:$B,INT((ROW()-1)/7)*57+MOD(ROW()-1,7)+50),"")</f>
        <v/>
      </c>
    </row>
    <row r="283" spans="1:1" x14ac:dyDescent="0.25">
      <c r="A283" t="str" cm="1">
        <f t="array" ref="A283">IF(INDEX(CUEs!$A:$A,INT((ROW()-1)/7)*57+MOD(ROW()-1,7)+50)&lt;&gt;"","set "&amp;INDEX(CUEs!$A:$A,INT((ROW()-1)/7)*57+MOD(ROW()-1,7)+50)&amp;"=/ s "&amp;INDEX(CUEs!$B:$B,INT((ROW()-1)/7)*57+MOD(ROW()-1,7)+50),"")</f>
        <v/>
      </c>
    </row>
    <row r="284" spans="1:1" x14ac:dyDescent="0.25">
      <c r="A284" t="str" cm="1">
        <f t="array" ref="A284">IF(INDEX(CUEs!$A:$A,INT((ROW()-1)/7)*57+MOD(ROW()-1,7)+50)&lt;&gt;"","set "&amp;INDEX(CUEs!$A:$A,INT((ROW()-1)/7)*57+MOD(ROW()-1,7)+50)&amp;"=/ s "&amp;INDEX(CUEs!$B:$B,INT((ROW()-1)/7)*57+MOD(ROW()-1,7)+50),"")</f>
        <v/>
      </c>
    </row>
    <row r="285" spans="1:1" x14ac:dyDescent="0.25">
      <c r="A285" t="str" cm="1">
        <f t="array" ref="A285">IF(INDEX(CUEs!$A:$A,INT((ROW()-1)/7)*57+MOD(ROW()-1,7)+50)&lt;&gt;"","set "&amp;INDEX(CUEs!$A:$A,INT((ROW()-1)/7)*57+MOD(ROW()-1,7)+50)&amp;"=/ s "&amp;INDEX(CUEs!$B:$B,INT((ROW()-1)/7)*57+MOD(ROW()-1,7)+50),"")</f>
        <v/>
      </c>
    </row>
    <row r="286" spans="1:1" x14ac:dyDescent="0.25">
      <c r="A286" t="str" cm="1">
        <f t="array" ref="A286">IF(INDEX(CUEs!$A:$A,INT((ROW()-1)/7)*57+MOD(ROW()-1,7)+50)&lt;&gt;"","set "&amp;INDEX(CUEs!$A:$A,INT((ROW()-1)/7)*57+MOD(ROW()-1,7)+50)&amp;"=/ s "&amp;INDEX(CUEs!$B:$B,INT((ROW()-1)/7)*57+MOD(ROW()-1,7)+50),"")</f>
        <v/>
      </c>
    </row>
    <row r="287" spans="1:1" x14ac:dyDescent="0.25">
      <c r="A287" t="str" cm="1">
        <f t="array" ref="A287">IF(INDEX(CUEs!$A:$A,INT((ROW()-1)/7)*57+MOD(ROW()-1,7)+50)&lt;&gt;"","set "&amp;INDEX(CUEs!$A:$A,INT((ROW()-1)/7)*57+MOD(ROW()-1,7)+50)&amp;"=/ s "&amp;INDEX(CUEs!$B:$B,INT((ROW()-1)/7)*57+MOD(ROW()-1,7)+50),"")</f>
        <v/>
      </c>
    </row>
    <row r="288" spans="1:1" x14ac:dyDescent="0.25">
      <c r="A288" t="str" cm="1">
        <f t="array" ref="A288">IF(INDEX(CUEs!$A:$A,INT((ROW()-1)/7)*57+MOD(ROW()-1,7)+50)&lt;&gt;"","set "&amp;INDEX(CUEs!$A:$A,INT((ROW()-1)/7)*57+MOD(ROW()-1,7)+50)&amp;"=/ s "&amp;INDEX(CUEs!$B:$B,INT((ROW()-1)/7)*57+MOD(ROW()-1,7)+50),"")</f>
        <v/>
      </c>
    </row>
    <row r="289" spans="1:1" x14ac:dyDescent="0.25">
      <c r="A289" t="str" cm="1">
        <f t="array" ref="A289">IF(INDEX(CUEs!$A:$A,INT((ROW()-1)/7)*57+MOD(ROW()-1,7)+50)&lt;&gt;"","set "&amp;INDEX(CUEs!$A:$A,INT((ROW()-1)/7)*57+MOD(ROW()-1,7)+50)&amp;"=/ s "&amp;INDEX(CUEs!$B:$B,INT((ROW()-1)/7)*57+MOD(ROW()-1,7)+50),"")</f>
        <v/>
      </c>
    </row>
    <row r="290" spans="1:1" x14ac:dyDescent="0.25">
      <c r="A290" t="str" cm="1">
        <f t="array" ref="A290">IF(INDEX(CUEs!$A:$A,INT((ROW()-1)/7)*57+MOD(ROW()-1,7)+50)&lt;&gt;"","set "&amp;INDEX(CUEs!$A:$A,INT((ROW()-1)/7)*57+MOD(ROW()-1,7)+50)&amp;"=/ s "&amp;INDEX(CUEs!$B:$B,INT((ROW()-1)/7)*57+MOD(ROW()-1,7)+50),"")</f>
        <v/>
      </c>
    </row>
    <row r="291" spans="1:1" x14ac:dyDescent="0.25">
      <c r="A291" t="str" cm="1">
        <f t="array" ref="A291">IF(INDEX(CUEs!$A:$A,INT((ROW()-1)/7)*57+MOD(ROW()-1,7)+50)&lt;&gt;"","set "&amp;INDEX(CUEs!$A:$A,INT((ROW()-1)/7)*57+MOD(ROW()-1,7)+50)&amp;"=/ s "&amp;INDEX(CUEs!$B:$B,INT((ROW()-1)/7)*57+MOD(ROW()-1,7)+50),"")</f>
        <v/>
      </c>
    </row>
    <row r="292" spans="1:1" x14ac:dyDescent="0.25">
      <c r="A292" t="str" cm="1">
        <f t="array" ref="A292">IF(INDEX(CUEs!$A:$A,INT((ROW()-1)/7)*57+MOD(ROW()-1,7)+50)&lt;&gt;"","set "&amp;INDEX(CUEs!$A:$A,INT((ROW()-1)/7)*57+MOD(ROW()-1,7)+50)&amp;"=/ s "&amp;INDEX(CUEs!$B:$B,INT((ROW()-1)/7)*57+MOD(ROW()-1,7)+50),"")</f>
        <v/>
      </c>
    </row>
    <row r="293" spans="1:1" x14ac:dyDescent="0.25">
      <c r="A293" t="str" cm="1">
        <f t="array" ref="A293">IF(INDEX(CUEs!$A:$A,INT((ROW()-1)/7)*57+MOD(ROW()-1,7)+50)&lt;&gt;"","set "&amp;INDEX(CUEs!$A:$A,INT((ROW()-1)/7)*57+MOD(ROW()-1,7)+50)&amp;"=/ s "&amp;INDEX(CUEs!$B:$B,INT((ROW()-1)/7)*57+MOD(ROW()-1,7)+50),"")</f>
        <v/>
      </c>
    </row>
    <row r="294" spans="1:1" x14ac:dyDescent="0.25">
      <c r="A294" t="str" cm="1">
        <f t="array" ref="A294">IF(INDEX(CUEs!$A:$A,INT((ROW()-1)/7)*57+MOD(ROW()-1,7)+50)&lt;&gt;"","set "&amp;INDEX(CUEs!$A:$A,INT((ROW()-1)/7)*57+MOD(ROW()-1,7)+50)&amp;"=/ s "&amp;INDEX(CUEs!$B:$B,INT((ROW()-1)/7)*57+MOD(ROW()-1,7)+50),"")</f>
        <v/>
      </c>
    </row>
    <row r="295" spans="1:1" x14ac:dyDescent="0.25">
      <c r="A295" t="str" cm="1">
        <f t="array" ref="A295">IF(INDEX(CUEs!$A:$A,INT((ROW()-1)/7)*57+MOD(ROW()-1,7)+50)&lt;&gt;"","set "&amp;INDEX(CUEs!$A:$A,INT((ROW()-1)/7)*57+MOD(ROW()-1,7)+50)&amp;"=/ s "&amp;INDEX(CUEs!$B:$B,INT((ROW()-1)/7)*57+MOD(ROW()-1,7)+50),"")</f>
        <v/>
      </c>
    </row>
    <row r="296" spans="1:1" x14ac:dyDescent="0.25">
      <c r="A296" t="str" cm="1">
        <f t="array" ref="A296">IF(INDEX(CUEs!$A:$A,INT((ROW()-1)/7)*57+MOD(ROW()-1,7)+50)&lt;&gt;"","set "&amp;INDEX(CUEs!$A:$A,INT((ROW()-1)/7)*57+MOD(ROW()-1,7)+50)&amp;"=/ s "&amp;INDEX(CUEs!$B:$B,INT((ROW()-1)/7)*57+MOD(ROW()-1,7)+50),"")</f>
        <v/>
      </c>
    </row>
    <row r="297" spans="1:1" x14ac:dyDescent="0.25">
      <c r="A297" t="str" cm="1">
        <f t="array" ref="A297">IF(INDEX(CUEs!$A:$A,INT((ROW()-1)/7)*57+MOD(ROW()-1,7)+50)&lt;&gt;"","set "&amp;INDEX(CUEs!$A:$A,INT((ROW()-1)/7)*57+MOD(ROW()-1,7)+50)&amp;"=/ s "&amp;INDEX(CUEs!$B:$B,INT((ROW()-1)/7)*57+MOD(ROW()-1,7)+50),"")</f>
        <v/>
      </c>
    </row>
    <row r="298" spans="1:1" x14ac:dyDescent="0.25">
      <c r="A298" t="str" cm="1">
        <f t="array" ref="A298">IF(INDEX(CUEs!$A:$A,INT((ROW()-1)/7)*57+MOD(ROW()-1,7)+50)&lt;&gt;"","set "&amp;INDEX(CUEs!$A:$A,INT((ROW()-1)/7)*57+MOD(ROW()-1,7)+50)&amp;"=/ s "&amp;INDEX(CUEs!$B:$B,INT((ROW()-1)/7)*57+MOD(ROW()-1,7)+50),"")</f>
        <v/>
      </c>
    </row>
    <row r="299" spans="1:1" x14ac:dyDescent="0.25">
      <c r="A299" t="str" cm="1">
        <f t="array" ref="A299">IF(INDEX(CUEs!$A:$A,INT((ROW()-1)/7)*57+MOD(ROW()-1,7)+50)&lt;&gt;"","set "&amp;INDEX(CUEs!$A:$A,INT((ROW()-1)/7)*57+MOD(ROW()-1,7)+50)&amp;"=/ s "&amp;INDEX(CUEs!$B:$B,INT((ROW()-1)/7)*57+MOD(ROW()-1,7)+50),"")</f>
        <v/>
      </c>
    </row>
    <row r="300" spans="1:1" x14ac:dyDescent="0.25">
      <c r="A300" t="str" cm="1">
        <f t="array" ref="A300">IF(INDEX(CUEs!$A:$A,INT((ROW()-1)/7)*57+MOD(ROW()-1,7)+50)&lt;&gt;"","set "&amp;INDEX(CUEs!$A:$A,INT((ROW()-1)/7)*57+MOD(ROW()-1,7)+50)&amp;"=/ s "&amp;INDEX(CUEs!$B:$B,INT((ROW()-1)/7)*57+MOD(ROW()-1,7)+50),"")</f>
        <v/>
      </c>
    </row>
    <row r="301" spans="1:1" x14ac:dyDescent="0.25">
      <c r="A301" t="str" cm="1">
        <f t="array" ref="A301">IF(INDEX(CUEs!$A:$A,INT((ROW()-1)/7)*57+MOD(ROW()-1,7)+50)&lt;&gt;"","set "&amp;INDEX(CUEs!$A:$A,INT((ROW()-1)/7)*57+MOD(ROW()-1,7)+50)&amp;"=/ s "&amp;INDEX(CUEs!$B:$B,INT((ROW()-1)/7)*57+MOD(ROW()-1,7)+50),"")</f>
        <v/>
      </c>
    </row>
    <row r="302" spans="1:1" x14ac:dyDescent="0.25">
      <c r="A302" t="str" cm="1">
        <f t="array" ref="A302">IF(INDEX(CUEs!$A:$A,INT((ROW()-1)/7)*57+MOD(ROW()-1,7)+50)&lt;&gt;"","set "&amp;INDEX(CUEs!$A:$A,INT((ROW()-1)/7)*57+MOD(ROW()-1,7)+50)&amp;"=/ s "&amp;INDEX(CUEs!$B:$B,INT((ROW()-1)/7)*57+MOD(ROW()-1,7)+50),"")</f>
        <v/>
      </c>
    </row>
    <row r="303" spans="1:1" x14ac:dyDescent="0.25">
      <c r="A303" t="str" cm="1">
        <f t="array" ref="A303">IF(INDEX(CUEs!$A:$A,INT((ROW()-1)/7)*57+MOD(ROW()-1,7)+50)&lt;&gt;"","set "&amp;INDEX(CUEs!$A:$A,INT((ROW()-1)/7)*57+MOD(ROW()-1,7)+50)&amp;"=/ s "&amp;INDEX(CUEs!$B:$B,INT((ROW()-1)/7)*57+MOD(ROW()-1,7)+50),"")</f>
        <v/>
      </c>
    </row>
    <row r="304" spans="1:1" x14ac:dyDescent="0.25">
      <c r="A304" t="str" cm="1">
        <f t="array" ref="A304">IF(INDEX(CUEs!$A:$A,INT((ROW()-1)/7)*57+MOD(ROW()-1,7)+50)&lt;&gt;"","set "&amp;INDEX(CUEs!$A:$A,INT((ROW()-1)/7)*57+MOD(ROW()-1,7)+50)&amp;"=/ s "&amp;INDEX(CUEs!$B:$B,INT((ROW()-1)/7)*57+MOD(ROW()-1,7)+50),"")</f>
        <v/>
      </c>
    </row>
    <row r="305" spans="1:1" x14ac:dyDescent="0.25">
      <c r="A305" t="str" cm="1">
        <f t="array" ref="A305">IF(INDEX(CUEs!$A:$A,INT((ROW()-1)/7)*57+MOD(ROW()-1,7)+50)&lt;&gt;"","set "&amp;INDEX(CUEs!$A:$A,INT((ROW()-1)/7)*57+MOD(ROW()-1,7)+50)&amp;"=/ s "&amp;INDEX(CUEs!$B:$B,INT((ROW()-1)/7)*57+MOD(ROW()-1,7)+50),"")</f>
        <v/>
      </c>
    </row>
    <row r="306" spans="1:1" x14ac:dyDescent="0.25">
      <c r="A306" t="str" cm="1">
        <f t="array" ref="A306">IF(INDEX(CUEs!$A:$A,INT((ROW()-1)/7)*57+MOD(ROW()-1,7)+50)&lt;&gt;"","set "&amp;INDEX(CUEs!$A:$A,INT((ROW()-1)/7)*57+MOD(ROW()-1,7)+50)&amp;"=/ s "&amp;INDEX(CUEs!$B:$B,INT((ROW()-1)/7)*57+MOD(ROW()-1,7)+50),"")</f>
        <v/>
      </c>
    </row>
    <row r="307" spans="1:1" x14ac:dyDescent="0.25">
      <c r="A307" t="str" cm="1">
        <f t="array" ref="A307">IF(INDEX(CUEs!$A:$A,INT((ROW()-1)/7)*57+MOD(ROW()-1,7)+50)&lt;&gt;"","set "&amp;INDEX(CUEs!$A:$A,INT((ROW()-1)/7)*57+MOD(ROW()-1,7)+50)&amp;"=/ s "&amp;INDEX(CUEs!$B:$B,INT((ROW()-1)/7)*57+MOD(ROW()-1,7)+50),"")</f>
        <v/>
      </c>
    </row>
    <row r="308" spans="1:1" x14ac:dyDescent="0.25">
      <c r="A308" t="str" cm="1">
        <f t="array" ref="A308">IF(INDEX(CUEs!$A:$A,INT((ROW()-1)/7)*57+MOD(ROW()-1,7)+50)&lt;&gt;"","set "&amp;INDEX(CUEs!$A:$A,INT((ROW()-1)/7)*57+MOD(ROW()-1,7)+50)&amp;"=/ s "&amp;INDEX(CUEs!$B:$B,INT((ROW()-1)/7)*57+MOD(ROW()-1,7)+50),"")</f>
        <v/>
      </c>
    </row>
    <row r="309" spans="1:1" x14ac:dyDescent="0.25">
      <c r="A309" t="str" cm="1">
        <f t="array" ref="A309">IF(INDEX(CUEs!$A:$A,INT((ROW()-1)/7)*57+MOD(ROW()-1,7)+50)&lt;&gt;"","set "&amp;INDEX(CUEs!$A:$A,INT((ROW()-1)/7)*57+MOD(ROW()-1,7)+50)&amp;"=/ s "&amp;INDEX(CUEs!$B:$B,INT((ROW()-1)/7)*57+MOD(ROW()-1,7)+50),"")</f>
        <v/>
      </c>
    </row>
    <row r="310" spans="1:1" x14ac:dyDescent="0.25">
      <c r="A310" t="str" cm="1">
        <f t="array" ref="A310">IF(INDEX(CUEs!$A:$A,INT((ROW()-1)/7)*57+MOD(ROW()-1,7)+50)&lt;&gt;"","set "&amp;INDEX(CUEs!$A:$A,INT((ROW()-1)/7)*57+MOD(ROW()-1,7)+50)&amp;"=/ s "&amp;INDEX(CUEs!$B:$B,INT((ROW()-1)/7)*57+MOD(ROW()-1,7)+50),"")</f>
        <v/>
      </c>
    </row>
    <row r="311" spans="1:1" x14ac:dyDescent="0.25">
      <c r="A311" t="str" cm="1">
        <f t="array" ref="A311">IF(INDEX(CUEs!$A:$A,INT((ROW()-1)/7)*57+MOD(ROW()-1,7)+50)&lt;&gt;"","set "&amp;INDEX(CUEs!$A:$A,INT((ROW()-1)/7)*57+MOD(ROW()-1,7)+50)&amp;"=/ s "&amp;INDEX(CUEs!$B:$B,INT((ROW()-1)/7)*57+MOD(ROW()-1,7)+50),"")</f>
        <v/>
      </c>
    </row>
    <row r="312" spans="1:1" x14ac:dyDescent="0.25">
      <c r="A312" t="str" cm="1">
        <f t="array" ref="A312">IF(INDEX(CUEs!$A:$A,INT((ROW()-1)/7)*57+MOD(ROW()-1,7)+50)&lt;&gt;"","set "&amp;INDEX(CUEs!$A:$A,INT((ROW()-1)/7)*57+MOD(ROW()-1,7)+50)&amp;"=/ s "&amp;INDEX(CUEs!$B:$B,INT((ROW()-1)/7)*57+MOD(ROW()-1,7)+50),"")</f>
        <v/>
      </c>
    </row>
    <row r="313" spans="1:1" x14ac:dyDescent="0.25">
      <c r="A313" t="str" cm="1">
        <f t="array" ref="A313">IF(INDEX(CUEs!$A:$A,INT((ROW()-1)/7)*57+MOD(ROW()-1,7)+50)&lt;&gt;"","set "&amp;INDEX(CUEs!$A:$A,INT((ROW()-1)/7)*57+MOD(ROW()-1,7)+50)&amp;"=/ s "&amp;INDEX(CUEs!$B:$B,INT((ROW()-1)/7)*57+MOD(ROW()-1,7)+50),"")</f>
        <v/>
      </c>
    </row>
    <row r="314" spans="1:1" x14ac:dyDescent="0.25">
      <c r="A314" t="str" cm="1">
        <f t="array" ref="A314">IF(INDEX(CUEs!$A:$A,INT((ROW()-1)/7)*57+MOD(ROW()-1,7)+50)&lt;&gt;"","set "&amp;INDEX(CUEs!$A:$A,INT((ROW()-1)/7)*57+MOD(ROW()-1,7)+50)&amp;"=/ s "&amp;INDEX(CUEs!$B:$B,INT((ROW()-1)/7)*57+MOD(ROW()-1,7)+50),"")</f>
        <v/>
      </c>
    </row>
    <row r="315" spans="1:1" x14ac:dyDescent="0.25">
      <c r="A315" t="str" cm="1">
        <f t="array" ref="A315">IF(INDEX(CUEs!$A:$A,INT((ROW()-1)/7)*57+MOD(ROW()-1,7)+50)&lt;&gt;"","set "&amp;INDEX(CUEs!$A:$A,INT((ROW()-1)/7)*57+MOD(ROW()-1,7)+50)&amp;"=/ s "&amp;INDEX(CUEs!$B:$B,INT((ROW()-1)/7)*57+MOD(ROW()-1,7)+50),"")</f>
        <v/>
      </c>
    </row>
    <row r="316" spans="1:1" x14ac:dyDescent="0.25">
      <c r="A316" t="str" cm="1">
        <f t="array" ref="A316">IF(INDEX(CUEs!$A:$A,INT((ROW()-1)/7)*57+MOD(ROW()-1,7)+50)&lt;&gt;"","set "&amp;INDEX(CUEs!$A:$A,INT((ROW()-1)/7)*57+MOD(ROW()-1,7)+50)&amp;"=/ s "&amp;INDEX(CUEs!$B:$B,INT((ROW()-1)/7)*57+MOD(ROW()-1,7)+50),"")</f>
        <v/>
      </c>
    </row>
    <row r="317" spans="1:1" x14ac:dyDescent="0.25">
      <c r="A317" t="str" cm="1">
        <f t="array" ref="A317">IF(INDEX(CUEs!$A:$A,INT((ROW()-1)/7)*57+MOD(ROW()-1,7)+50)&lt;&gt;"","set "&amp;INDEX(CUEs!$A:$A,INT((ROW()-1)/7)*57+MOD(ROW()-1,7)+50)&amp;"=/ s "&amp;INDEX(CUEs!$B:$B,INT((ROW()-1)/7)*57+MOD(ROW()-1,7)+50),"")</f>
        <v/>
      </c>
    </row>
    <row r="318" spans="1:1" x14ac:dyDescent="0.25">
      <c r="A318" t="str" cm="1">
        <f t="array" ref="A318">IF(INDEX(CUEs!$A:$A,INT((ROW()-1)/7)*57+MOD(ROW()-1,7)+50)&lt;&gt;"","set "&amp;INDEX(CUEs!$A:$A,INT((ROW()-1)/7)*57+MOD(ROW()-1,7)+50)&amp;"=/ s "&amp;INDEX(CUEs!$B:$B,INT((ROW()-1)/7)*57+MOD(ROW()-1,7)+50),"")</f>
        <v/>
      </c>
    </row>
    <row r="319" spans="1:1" x14ac:dyDescent="0.25">
      <c r="A319" t="str" cm="1">
        <f t="array" ref="A319">IF(INDEX(CUEs!$A:$A,INT((ROW()-1)/7)*57+MOD(ROW()-1,7)+50)&lt;&gt;"","set "&amp;INDEX(CUEs!$A:$A,INT((ROW()-1)/7)*57+MOD(ROW()-1,7)+50)&amp;"=/ s "&amp;INDEX(CUEs!$B:$B,INT((ROW()-1)/7)*57+MOD(ROW()-1,7)+50),"")</f>
        <v/>
      </c>
    </row>
    <row r="320" spans="1:1" x14ac:dyDescent="0.25">
      <c r="A320" t="str" cm="1">
        <f t="array" ref="A320">IF(INDEX(CUEs!$A:$A,INT((ROW()-1)/7)*57+MOD(ROW()-1,7)+50)&lt;&gt;"","set "&amp;INDEX(CUEs!$A:$A,INT((ROW()-1)/7)*57+MOD(ROW()-1,7)+50)&amp;"=/ s "&amp;INDEX(CUEs!$B:$B,INT((ROW()-1)/7)*57+MOD(ROW()-1,7)+50),"")</f>
        <v/>
      </c>
    </row>
    <row r="321" spans="1:1" x14ac:dyDescent="0.25">
      <c r="A321" t="str" cm="1">
        <f t="array" ref="A321">IF(INDEX(CUEs!$A:$A,INT((ROW()-1)/7)*57+MOD(ROW()-1,7)+50)&lt;&gt;"","set "&amp;INDEX(CUEs!$A:$A,INT((ROW()-1)/7)*57+MOD(ROW()-1,7)+50)&amp;"=/ s "&amp;INDEX(CUEs!$B:$B,INT((ROW()-1)/7)*57+MOD(ROW()-1,7)+50),"")</f>
        <v/>
      </c>
    </row>
    <row r="322" spans="1:1" x14ac:dyDescent="0.25">
      <c r="A322" t="str" cm="1">
        <f t="array" ref="A322">IF(INDEX(CUEs!$A:$A,INT((ROW()-1)/7)*57+MOD(ROW()-1,7)+50)&lt;&gt;"","set "&amp;INDEX(CUEs!$A:$A,INT((ROW()-1)/7)*57+MOD(ROW()-1,7)+50)&amp;"=/ s "&amp;INDEX(CUEs!$B:$B,INT((ROW()-1)/7)*57+MOD(ROW()-1,7)+50),"")</f>
        <v/>
      </c>
    </row>
    <row r="323" spans="1:1" x14ac:dyDescent="0.25">
      <c r="A323" t="str" cm="1">
        <f t="array" ref="A323">IF(INDEX(CUEs!$A:$A,INT((ROW()-1)/7)*57+MOD(ROW()-1,7)+50)&lt;&gt;"","set "&amp;INDEX(CUEs!$A:$A,INT((ROW()-1)/7)*57+MOD(ROW()-1,7)+50)&amp;"=/ s "&amp;INDEX(CUEs!$B:$B,INT((ROW()-1)/7)*57+MOD(ROW()-1,7)+50),"")</f>
        <v/>
      </c>
    </row>
    <row r="324" spans="1:1" x14ac:dyDescent="0.25">
      <c r="A324" t="str" cm="1">
        <f t="array" ref="A324">IF(INDEX(CUEs!$A:$A,INT((ROW()-1)/7)*57+MOD(ROW()-1,7)+50)&lt;&gt;"","set "&amp;INDEX(CUEs!$A:$A,INT((ROW()-1)/7)*57+MOD(ROW()-1,7)+50)&amp;"=/ s "&amp;INDEX(CUEs!$B:$B,INT((ROW()-1)/7)*57+MOD(ROW()-1,7)+50),"")</f>
        <v/>
      </c>
    </row>
    <row r="325" spans="1:1" x14ac:dyDescent="0.25">
      <c r="A325" t="str" cm="1">
        <f t="array" ref="A325">IF(INDEX(CUEs!$A:$A,INT((ROW()-1)/7)*57+MOD(ROW()-1,7)+50)&lt;&gt;"","set "&amp;INDEX(CUEs!$A:$A,INT((ROW()-1)/7)*57+MOD(ROW()-1,7)+50)&amp;"=/ s "&amp;INDEX(CUEs!$B:$B,INT((ROW()-1)/7)*57+MOD(ROW()-1,7)+50),"")</f>
        <v/>
      </c>
    </row>
    <row r="326" spans="1:1" x14ac:dyDescent="0.25">
      <c r="A326" t="str" cm="1">
        <f t="array" ref="A326">IF(INDEX(CUEs!$A:$A,INT((ROW()-1)/7)*57+MOD(ROW()-1,7)+50)&lt;&gt;"","set "&amp;INDEX(CUEs!$A:$A,INT((ROW()-1)/7)*57+MOD(ROW()-1,7)+50)&amp;"=/ s "&amp;INDEX(CUEs!$B:$B,INT((ROW()-1)/7)*57+MOD(ROW()-1,7)+50),"")</f>
        <v/>
      </c>
    </row>
    <row r="327" spans="1:1" x14ac:dyDescent="0.25">
      <c r="A327" t="str" cm="1">
        <f t="array" ref="A327">IF(INDEX(CUEs!$A:$A,INT((ROW()-1)/7)*57+MOD(ROW()-1,7)+50)&lt;&gt;"","set "&amp;INDEX(CUEs!$A:$A,INT((ROW()-1)/7)*57+MOD(ROW()-1,7)+50)&amp;"=/ s "&amp;INDEX(CUEs!$B:$B,INT((ROW()-1)/7)*57+MOD(ROW()-1,7)+50),"")</f>
        <v/>
      </c>
    </row>
    <row r="328" spans="1:1" x14ac:dyDescent="0.25">
      <c r="A328" t="str" cm="1">
        <f t="array" ref="A328">IF(INDEX(CUEs!$A:$A,INT((ROW()-1)/7)*57+MOD(ROW()-1,7)+50)&lt;&gt;"","set "&amp;INDEX(CUEs!$A:$A,INT((ROW()-1)/7)*57+MOD(ROW()-1,7)+50)&amp;"=/ s "&amp;INDEX(CUEs!$B:$B,INT((ROW()-1)/7)*57+MOD(ROW()-1,7)+50),"")</f>
        <v/>
      </c>
    </row>
    <row r="329" spans="1:1" x14ac:dyDescent="0.25">
      <c r="A329" t="str" cm="1">
        <f t="array" ref="A329">IF(INDEX(CUEs!$A:$A,INT((ROW()-1)/7)*57+MOD(ROW()-1,7)+50)&lt;&gt;"","set "&amp;INDEX(CUEs!$A:$A,INT((ROW()-1)/7)*57+MOD(ROW()-1,7)+50)&amp;"=/ s "&amp;INDEX(CUEs!$B:$B,INT((ROW()-1)/7)*57+MOD(ROW()-1,7)+50),"")</f>
        <v/>
      </c>
    </row>
    <row r="330" spans="1:1" x14ac:dyDescent="0.25">
      <c r="A330" t="str" cm="1">
        <f t="array" ref="A330">IF(INDEX(CUEs!$A:$A,INT((ROW()-1)/7)*57+MOD(ROW()-1,7)+50)&lt;&gt;"","set "&amp;INDEX(CUEs!$A:$A,INT((ROW()-1)/7)*57+MOD(ROW()-1,7)+50)&amp;"=/ s "&amp;INDEX(CUEs!$B:$B,INT((ROW()-1)/7)*57+MOD(ROW()-1,7)+50),"")</f>
        <v/>
      </c>
    </row>
    <row r="331" spans="1:1" x14ac:dyDescent="0.25">
      <c r="A331" t="str" cm="1">
        <f t="array" ref="A331">IF(INDEX(CUEs!$A:$A,INT((ROW()-1)/7)*57+MOD(ROW()-1,7)+50)&lt;&gt;"","set "&amp;INDEX(CUEs!$A:$A,INT((ROW()-1)/7)*57+MOD(ROW()-1,7)+50)&amp;"=/ s "&amp;INDEX(CUEs!$B:$B,INT((ROW()-1)/7)*57+MOD(ROW()-1,7)+50),"")</f>
        <v/>
      </c>
    </row>
    <row r="332" spans="1:1" x14ac:dyDescent="0.25">
      <c r="A332" t="str" cm="1">
        <f t="array" ref="A332">IF(INDEX(CUEs!$A:$A,INT((ROW()-1)/7)*57+MOD(ROW()-1,7)+50)&lt;&gt;"","set "&amp;INDEX(CUEs!$A:$A,INT((ROW()-1)/7)*57+MOD(ROW()-1,7)+50)&amp;"=/ s "&amp;INDEX(CUEs!$B:$B,INT((ROW()-1)/7)*57+MOD(ROW()-1,7)+50),"")</f>
        <v/>
      </c>
    </row>
    <row r="333" spans="1:1" x14ac:dyDescent="0.25">
      <c r="A333" t="str" cm="1">
        <f t="array" ref="A333">IF(INDEX(CUEs!$A:$A,INT((ROW()-1)/7)*57+MOD(ROW()-1,7)+50)&lt;&gt;"","set "&amp;INDEX(CUEs!$A:$A,INT((ROW()-1)/7)*57+MOD(ROW()-1,7)+50)&amp;"=/ s "&amp;INDEX(CUEs!$B:$B,INT((ROW()-1)/7)*57+MOD(ROW()-1,7)+50),"")</f>
        <v/>
      </c>
    </row>
    <row r="334" spans="1:1" x14ac:dyDescent="0.25">
      <c r="A334" t="str" cm="1">
        <f t="array" ref="A334">IF(INDEX(CUEs!$A:$A,INT((ROW()-1)/7)*57+MOD(ROW()-1,7)+50)&lt;&gt;"","set "&amp;INDEX(CUEs!$A:$A,INT((ROW()-1)/7)*57+MOD(ROW()-1,7)+50)&amp;"=/ s "&amp;INDEX(CUEs!$B:$B,INT((ROW()-1)/7)*57+MOD(ROW()-1,7)+50),"")</f>
        <v/>
      </c>
    </row>
    <row r="335" spans="1:1" x14ac:dyDescent="0.25">
      <c r="A335" t="str" cm="1">
        <f t="array" ref="A335">IF(INDEX(CUEs!$A:$A,INT((ROW()-1)/7)*57+MOD(ROW()-1,7)+50)&lt;&gt;"","set "&amp;INDEX(CUEs!$A:$A,INT((ROW()-1)/7)*57+MOD(ROW()-1,7)+50)&amp;"=/ s "&amp;INDEX(CUEs!$B:$B,INT((ROW()-1)/7)*57+MOD(ROW()-1,7)+50),"")</f>
        <v/>
      </c>
    </row>
    <row r="336" spans="1:1" x14ac:dyDescent="0.25">
      <c r="A336" t="str" cm="1">
        <f t="array" ref="A336">IF(INDEX(CUEs!$A:$A,INT((ROW()-1)/7)*57+MOD(ROW()-1,7)+50)&lt;&gt;"","set "&amp;INDEX(CUEs!$A:$A,INT((ROW()-1)/7)*57+MOD(ROW()-1,7)+50)&amp;"=/ s "&amp;INDEX(CUEs!$B:$B,INT((ROW()-1)/7)*57+MOD(ROW()-1,7)+50),"")</f>
        <v/>
      </c>
    </row>
    <row r="337" spans="1:1" x14ac:dyDescent="0.25">
      <c r="A337" t="str" cm="1">
        <f t="array" ref="A337">IF(INDEX(CUEs!$A:$A,INT((ROW()-1)/7)*57+MOD(ROW()-1,7)+50)&lt;&gt;"","set "&amp;INDEX(CUEs!$A:$A,INT((ROW()-1)/7)*57+MOD(ROW()-1,7)+50)&amp;"=/ s "&amp;INDEX(CUEs!$B:$B,INT((ROW()-1)/7)*57+MOD(ROW()-1,7)+50),"")</f>
        <v/>
      </c>
    </row>
    <row r="338" spans="1:1" x14ac:dyDescent="0.25">
      <c r="A338" t="str" cm="1">
        <f t="array" ref="A338">IF(INDEX(CUEs!$A:$A,INT((ROW()-1)/7)*57+MOD(ROW()-1,7)+50)&lt;&gt;"","set "&amp;INDEX(CUEs!$A:$A,INT((ROW()-1)/7)*57+MOD(ROW()-1,7)+50)&amp;"=/ s "&amp;INDEX(CUEs!$B:$B,INT((ROW()-1)/7)*57+MOD(ROW()-1,7)+50),"")</f>
        <v/>
      </c>
    </row>
    <row r="339" spans="1:1" x14ac:dyDescent="0.25">
      <c r="A339" t="str" cm="1">
        <f t="array" ref="A339">IF(INDEX(CUEs!$A:$A,INT((ROW()-1)/7)*57+MOD(ROW()-1,7)+50)&lt;&gt;"","set "&amp;INDEX(CUEs!$A:$A,INT((ROW()-1)/7)*57+MOD(ROW()-1,7)+50)&amp;"=/ s "&amp;INDEX(CUEs!$B:$B,INT((ROW()-1)/7)*57+MOD(ROW()-1,7)+50),"")</f>
        <v/>
      </c>
    </row>
    <row r="340" spans="1:1" x14ac:dyDescent="0.25">
      <c r="A340" t="str" cm="1">
        <f t="array" ref="A340">IF(INDEX(CUEs!$A:$A,INT((ROW()-1)/7)*57+MOD(ROW()-1,7)+50)&lt;&gt;"","set "&amp;INDEX(CUEs!$A:$A,INT((ROW()-1)/7)*57+MOD(ROW()-1,7)+50)&amp;"=/ s "&amp;INDEX(CUEs!$B:$B,INT((ROW()-1)/7)*57+MOD(ROW()-1,7)+50),"")</f>
        <v/>
      </c>
    </row>
    <row r="341" spans="1:1" x14ac:dyDescent="0.25">
      <c r="A341" t="str" cm="1">
        <f t="array" ref="A341">IF(INDEX(CUEs!$A:$A,INT((ROW()-1)/7)*57+MOD(ROW()-1,7)+50)&lt;&gt;"","set "&amp;INDEX(CUEs!$A:$A,INT((ROW()-1)/7)*57+MOD(ROW()-1,7)+50)&amp;"=/ s "&amp;INDEX(CUEs!$B:$B,INT((ROW()-1)/7)*57+MOD(ROW()-1,7)+50),"")</f>
        <v/>
      </c>
    </row>
    <row r="342" spans="1:1" x14ac:dyDescent="0.25">
      <c r="A342" t="str" cm="1">
        <f t="array" ref="A342">IF(INDEX(CUEs!$A:$A,INT((ROW()-1)/7)*57+MOD(ROW()-1,7)+50)&lt;&gt;"","set "&amp;INDEX(CUEs!$A:$A,INT((ROW()-1)/7)*57+MOD(ROW()-1,7)+50)&amp;"=/ s "&amp;INDEX(CUEs!$B:$B,INT((ROW()-1)/7)*57+MOD(ROW()-1,7)+50),"")</f>
        <v/>
      </c>
    </row>
    <row r="343" spans="1:1" x14ac:dyDescent="0.25">
      <c r="A343" t="str" cm="1">
        <f t="array" ref="A343">IF(INDEX(CUEs!$A:$A,INT((ROW()-1)/7)*57+MOD(ROW()-1,7)+50)&lt;&gt;"","set "&amp;INDEX(CUEs!$A:$A,INT((ROW()-1)/7)*57+MOD(ROW()-1,7)+50)&amp;"=/ s "&amp;INDEX(CUEs!$B:$B,INT((ROW()-1)/7)*57+MOD(ROW()-1,7)+50),"")</f>
        <v/>
      </c>
    </row>
    <row r="344" spans="1:1" x14ac:dyDescent="0.25">
      <c r="A344" t="str" cm="1">
        <f t="array" ref="A344">IF(INDEX(CUEs!$A:$A,INT((ROW()-1)/7)*57+MOD(ROW()-1,7)+50)&lt;&gt;"","set "&amp;INDEX(CUEs!$A:$A,INT((ROW()-1)/7)*57+MOD(ROW()-1,7)+50)&amp;"=/ s "&amp;INDEX(CUEs!$B:$B,INT((ROW()-1)/7)*57+MOD(ROW()-1,7)+50),"")</f>
        <v/>
      </c>
    </row>
    <row r="345" spans="1:1" x14ac:dyDescent="0.25">
      <c r="A345" t="str" cm="1">
        <f t="array" ref="A345">IF(INDEX(CUEs!$A:$A,INT((ROW()-1)/7)*57+MOD(ROW()-1,7)+50)&lt;&gt;"","set "&amp;INDEX(CUEs!$A:$A,INT((ROW()-1)/7)*57+MOD(ROW()-1,7)+50)&amp;"=/ s "&amp;INDEX(CUEs!$B:$B,INT((ROW()-1)/7)*57+MOD(ROW()-1,7)+50),"")</f>
        <v/>
      </c>
    </row>
    <row r="346" spans="1:1" x14ac:dyDescent="0.25">
      <c r="A346" t="str" cm="1">
        <f t="array" ref="A346">IF(INDEX(CUEs!$A:$A,INT((ROW()-1)/7)*57+MOD(ROW()-1,7)+50)&lt;&gt;"","set "&amp;INDEX(CUEs!$A:$A,INT((ROW()-1)/7)*57+MOD(ROW()-1,7)+50)&amp;"=/ s "&amp;INDEX(CUEs!$B:$B,INT((ROW()-1)/7)*57+MOD(ROW()-1,7)+50),"")</f>
        <v/>
      </c>
    </row>
    <row r="347" spans="1:1" x14ac:dyDescent="0.25">
      <c r="A347" t="str" cm="1">
        <f t="array" ref="A347">IF(INDEX(CUEs!$A:$A,INT((ROW()-1)/7)*57+MOD(ROW()-1,7)+50)&lt;&gt;"","set "&amp;INDEX(CUEs!$A:$A,INT((ROW()-1)/7)*57+MOD(ROW()-1,7)+50)&amp;"=/ s "&amp;INDEX(CUEs!$B:$B,INT((ROW()-1)/7)*57+MOD(ROW()-1,7)+50),"")</f>
        <v/>
      </c>
    </row>
    <row r="348" spans="1:1" x14ac:dyDescent="0.25">
      <c r="A348" t="str" cm="1">
        <f t="array" ref="A348">IF(INDEX(CUEs!$A:$A,INT((ROW()-1)/7)*57+MOD(ROW()-1,7)+50)&lt;&gt;"","set "&amp;INDEX(CUEs!$A:$A,INT((ROW()-1)/7)*57+MOD(ROW()-1,7)+50)&amp;"=/ s "&amp;INDEX(CUEs!$B:$B,INT((ROW()-1)/7)*57+MOD(ROW()-1,7)+50),"")</f>
        <v/>
      </c>
    </row>
    <row r="349" spans="1:1" x14ac:dyDescent="0.25">
      <c r="A349" t="str" cm="1">
        <f t="array" ref="A349">IF(INDEX(CUEs!$A:$A,INT((ROW()-1)/7)*57+MOD(ROW()-1,7)+50)&lt;&gt;"","set "&amp;INDEX(CUEs!$A:$A,INT((ROW()-1)/7)*57+MOD(ROW()-1,7)+50)&amp;"=/ s "&amp;INDEX(CUEs!$B:$B,INT((ROW()-1)/7)*57+MOD(ROW()-1,7)+50),"")</f>
        <v/>
      </c>
    </row>
    <row r="350" spans="1:1" x14ac:dyDescent="0.25">
      <c r="A350" t="str" cm="1">
        <f t="array" ref="A350">IF(INDEX(CUEs!$A:$A,INT((ROW()-1)/7)*57+MOD(ROW()-1,7)+50)&lt;&gt;"","set "&amp;INDEX(CUEs!$A:$A,INT((ROW()-1)/7)*57+MOD(ROW()-1,7)+50)&amp;"=/ s "&amp;INDEX(CUEs!$B:$B,INT((ROW()-1)/7)*57+MOD(ROW()-1,7)+50),"")</f>
        <v/>
      </c>
    </row>
    <row r="351" spans="1:1" x14ac:dyDescent="0.25">
      <c r="A351" t="str" cm="1">
        <f t="array" ref="A351">IF(INDEX(CUEs!$A:$A,INT((ROW()-1)/7)*57+MOD(ROW()-1,7)+50)&lt;&gt;"","set "&amp;INDEX(CUEs!$A:$A,INT((ROW()-1)/7)*57+MOD(ROW()-1,7)+50)&amp;"=/ s "&amp;INDEX(CUEs!$B:$B,INT((ROW()-1)/7)*57+MOD(ROW()-1,7)+50),"")</f>
        <v/>
      </c>
    </row>
    <row r="352" spans="1:1" x14ac:dyDescent="0.25">
      <c r="A352" t="str" cm="1">
        <f t="array" ref="A352">IF(INDEX(CUEs!$A:$A,INT((ROW()-1)/7)*57+MOD(ROW()-1,7)+50)&lt;&gt;"","set "&amp;INDEX(CUEs!$A:$A,INT((ROW()-1)/7)*57+MOD(ROW()-1,7)+50)&amp;"=/ s "&amp;INDEX(CUEs!$B:$B,INT((ROW()-1)/7)*57+MOD(ROW()-1,7)+50),"")</f>
        <v/>
      </c>
    </row>
    <row r="353" spans="1:1" x14ac:dyDescent="0.25">
      <c r="A353" t="str" cm="1">
        <f t="array" ref="A353">IF(INDEX(CUEs!$A:$A,INT((ROW()-1)/7)*57+MOD(ROW()-1,7)+50)&lt;&gt;"","set "&amp;INDEX(CUEs!$A:$A,INT((ROW()-1)/7)*57+MOD(ROW()-1,7)+50)&amp;"=/ s "&amp;INDEX(CUEs!$B:$B,INT((ROW()-1)/7)*57+MOD(ROW()-1,7)+50),"")</f>
        <v/>
      </c>
    </row>
    <row r="354" spans="1:1" x14ac:dyDescent="0.25">
      <c r="A354" t="str" cm="1">
        <f t="array" ref="A354">IF(INDEX(CUEs!$A:$A,INT((ROW()-1)/7)*57+MOD(ROW()-1,7)+50)&lt;&gt;"","set "&amp;INDEX(CUEs!$A:$A,INT((ROW()-1)/7)*57+MOD(ROW()-1,7)+50)&amp;"=/ s "&amp;INDEX(CUEs!$B:$B,INT((ROW()-1)/7)*57+MOD(ROW()-1,7)+50),"")</f>
        <v/>
      </c>
    </row>
    <row r="355" spans="1:1" x14ac:dyDescent="0.25">
      <c r="A355" t="str" cm="1">
        <f t="array" ref="A355">IF(INDEX(CUEs!$A:$A,INT((ROW()-1)/7)*57+MOD(ROW()-1,7)+50)&lt;&gt;"","set "&amp;INDEX(CUEs!$A:$A,INT((ROW()-1)/7)*57+MOD(ROW()-1,7)+50)&amp;"=/ s "&amp;INDEX(CUEs!$B:$B,INT((ROW()-1)/7)*57+MOD(ROW()-1,7)+50),"")</f>
        <v/>
      </c>
    </row>
    <row r="356" spans="1:1" x14ac:dyDescent="0.25">
      <c r="A356" t="str" cm="1">
        <f t="array" ref="A356">IF(INDEX(CUEs!$A:$A,INT((ROW()-1)/7)*57+MOD(ROW()-1,7)+50)&lt;&gt;"","set "&amp;INDEX(CUEs!$A:$A,INT((ROW()-1)/7)*57+MOD(ROW()-1,7)+50)&amp;"=/ s "&amp;INDEX(CUEs!$B:$B,INT((ROW()-1)/7)*57+MOD(ROW()-1,7)+50),"")</f>
        <v/>
      </c>
    </row>
    <row r="357" spans="1:1" x14ac:dyDescent="0.25">
      <c r="A357" t="str" cm="1">
        <f t="array" ref="A357">IF(INDEX(CUEs!$A:$A,INT((ROW()-1)/7)*57+MOD(ROW()-1,7)+50)&lt;&gt;"","set "&amp;INDEX(CUEs!$A:$A,INT((ROW()-1)/7)*57+MOD(ROW()-1,7)+50)&amp;"=/ s "&amp;INDEX(CUEs!$B:$B,INT((ROW()-1)/7)*57+MOD(ROW()-1,7)+50),"")</f>
        <v/>
      </c>
    </row>
    <row r="358" spans="1:1" x14ac:dyDescent="0.25">
      <c r="A358" t="str" cm="1">
        <f t="array" ref="A358">IF(INDEX(CUEs!$A:$A,INT((ROW()-1)/7)*57+MOD(ROW()-1,7)+50)&lt;&gt;"","set "&amp;INDEX(CUEs!$A:$A,INT((ROW()-1)/7)*57+MOD(ROW()-1,7)+50)&amp;"=/ s "&amp;INDEX(CUEs!$B:$B,INT((ROW()-1)/7)*57+MOD(ROW()-1,7)+50),"")</f>
        <v/>
      </c>
    </row>
    <row r="359" spans="1:1" x14ac:dyDescent="0.25">
      <c r="A359" t="str" cm="1">
        <f t="array" ref="A359">IF(INDEX(CUEs!$A:$A,INT((ROW()-1)/7)*57+MOD(ROW()-1,7)+50)&lt;&gt;"","set "&amp;INDEX(CUEs!$A:$A,INT((ROW()-1)/7)*57+MOD(ROW()-1,7)+50)&amp;"=/ s "&amp;INDEX(CUEs!$B:$B,INT((ROW()-1)/7)*57+MOD(ROW()-1,7)+50),"")</f>
        <v/>
      </c>
    </row>
    <row r="360" spans="1:1" x14ac:dyDescent="0.25">
      <c r="A360" t="str" cm="1">
        <f t="array" ref="A360">IF(INDEX(CUEs!$A:$A,INT((ROW()-1)/7)*57+MOD(ROW()-1,7)+50)&lt;&gt;"","set "&amp;INDEX(CUEs!$A:$A,INT((ROW()-1)/7)*57+MOD(ROW()-1,7)+50)&amp;"=/ s "&amp;INDEX(CUEs!$B:$B,INT((ROW()-1)/7)*57+MOD(ROW()-1,7)+50),"")</f>
        <v/>
      </c>
    </row>
    <row r="361" spans="1:1" x14ac:dyDescent="0.25">
      <c r="A361" t="str" cm="1">
        <f t="array" ref="A361">IF(INDEX(CUEs!$A:$A,INT((ROW()-1)/7)*57+MOD(ROW()-1,7)+50)&lt;&gt;"","set "&amp;INDEX(CUEs!$A:$A,INT((ROW()-1)/7)*57+MOD(ROW()-1,7)+50)&amp;"=/ s "&amp;INDEX(CUEs!$B:$B,INT((ROW()-1)/7)*57+MOD(ROW()-1,7)+50),"")</f>
        <v/>
      </c>
    </row>
    <row r="362" spans="1:1" x14ac:dyDescent="0.25">
      <c r="A362" t="str" cm="1">
        <f t="array" ref="A362">IF(INDEX(CUEs!$A:$A,INT((ROW()-1)/7)*57+MOD(ROW()-1,7)+50)&lt;&gt;"","set "&amp;INDEX(CUEs!$A:$A,INT((ROW()-1)/7)*57+MOD(ROW()-1,7)+50)&amp;"=/ s "&amp;INDEX(CUEs!$B:$B,INT((ROW()-1)/7)*57+MOD(ROW()-1,7)+50),"")</f>
        <v/>
      </c>
    </row>
    <row r="363" spans="1:1" x14ac:dyDescent="0.25">
      <c r="A363" t="str" cm="1">
        <f t="array" ref="A363">IF(INDEX(CUEs!$A:$A,INT((ROW()-1)/7)*57+MOD(ROW()-1,7)+50)&lt;&gt;"","set "&amp;INDEX(CUEs!$A:$A,INT((ROW()-1)/7)*57+MOD(ROW()-1,7)+50)&amp;"=/ s "&amp;INDEX(CUEs!$B:$B,INT((ROW()-1)/7)*57+MOD(ROW()-1,7)+50),"")</f>
        <v/>
      </c>
    </row>
    <row r="364" spans="1:1" x14ac:dyDescent="0.25">
      <c r="A364" t="str" cm="1">
        <f t="array" ref="A364">IF(INDEX(CUEs!$A:$A,INT((ROW()-1)/7)*57+MOD(ROW()-1,7)+50)&lt;&gt;"","set "&amp;INDEX(CUEs!$A:$A,INT((ROW()-1)/7)*57+MOD(ROW()-1,7)+50)&amp;"=/ s "&amp;INDEX(CUEs!$B:$B,INT((ROW()-1)/7)*57+MOD(ROW()-1,7)+50),"")</f>
        <v/>
      </c>
    </row>
    <row r="365" spans="1:1" x14ac:dyDescent="0.25">
      <c r="A365" t="str" cm="1">
        <f t="array" ref="A365">IF(INDEX(CUEs!$A:$A,INT((ROW()-1)/7)*57+MOD(ROW()-1,7)+50)&lt;&gt;"","set "&amp;INDEX(CUEs!$A:$A,INT((ROW()-1)/7)*57+MOD(ROW()-1,7)+50)&amp;"=/ s "&amp;INDEX(CUEs!$B:$B,INT((ROW()-1)/7)*57+MOD(ROW()-1,7)+50),"")</f>
        <v/>
      </c>
    </row>
    <row r="366" spans="1:1" x14ac:dyDescent="0.25">
      <c r="A366" t="str" cm="1">
        <f t="array" ref="A366">IF(INDEX(CUEs!$A:$A,INT((ROW()-1)/7)*57+MOD(ROW()-1,7)+50)&lt;&gt;"","set "&amp;INDEX(CUEs!$A:$A,INT((ROW()-1)/7)*57+MOD(ROW()-1,7)+50)&amp;"=/ s "&amp;INDEX(CUEs!$B:$B,INT((ROW()-1)/7)*57+MOD(ROW()-1,7)+50),"")</f>
        <v/>
      </c>
    </row>
    <row r="367" spans="1:1" x14ac:dyDescent="0.25">
      <c r="A367" t="str" cm="1">
        <f t="array" ref="A367">IF(INDEX(CUEs!$A:$A,INT((ROW()-1)/7)*57+MOD(ROW()-1,7)+50)&lt;&gt;"","set "&amp;INDEX(CUEs!$A:$A,INT((ROW()-1)/7)*57+MOD(ROW()-1,7)+50)&amp;"=/ s "&amp;INDEX(CUEs!$B:$B,INT((ROW()-1)/7)*57+MOD(ROW()-1,7)+50),"")</f>
        <v/>
      </c>
    </row>
    <row r="368" spans="1:1" x14ac:dyDescent="0.25">
      <c r="A368" t="str" cm="1">
        <f t="array" ref="A368">IF(INDEX(CUEs!$A:$A,INT((ROW()-1)/7)*57+MOD(ROW()-1,7)+50)&lt;&gt;"","set "&amp;INDEX(CUEs!$A:$A,INT((ROW()-1)/7)*57+MOD(ROW()-1,7)+50)&amp;"=/ s "&amp;INDEX(CUEs!$B:$B,INT((ROW()-1)/7)*57+MOD(ROW()-1,7)+50),"")</f>
        <v/>
      </c>
    </row>
    <row r="369" spans="1:1" x14ac:dyDescent="0.25">
      <c r="A369" t="str" cm="1">
        <f t="array" ref="A369">IF(INDEX(CUEs!$A:$A,INT((ROW()-1)/7)*57+MOD(ROW()-1,7)+50)&lt;&gt;"","set "&amp;INDEX(CUEs!$A:$A,INT((ROW()-1)/7)*57+MOD(ROW()-1,7)+50)&amp;"=/ s "&amp;INDEX(CUEs!$B:$B,INT((ROW()-1)/7)*57+MOD(ROW()-1,7)+50),"")</f>
        <v/>
      </c>
    </row>
    <row r="370" spans="1:1" x14ac:dyDescent="0.25">
      <c r="A370" t="str" cm="1">
        <f t="array" ref="A370">IF(INDEX(CUEs!$A:$A,INT((ROW()-1)/7)*57+MOD(ROW()-1,7)+50)&lt;&gt;"","set "&amp;INDEX(CUEs!$A:$A,INT((ROW()-1)/7)*57+MOD(ROW()-1,7)+50)&amp;"=/ s "&amp;INDEX(CUEs!$B:$B,INT((ROW()-1)/7)*57+MOD(ROW()-1,7)+50),"")</f>
        <v/>
      </c>
    </row>
    <row r="371" spans="1:1" x14ac:dyDescent="0.25">
      <c r="A371" t="str" cm="1">
        <f t="array" ref="A371">IF(INDEX(CUEs!$A:$A,INT((ROW()-1)/7)*57+MOD(ROW()-1,7)+50)&lt;&gt;"","set "&amp;INDEX(CUEs!$A:$A,INT((ROW()-1)/7)*57+MOD(ROW()-1,7)+50)&amp;"=/ s "&amp;INDEX(CUEs!$B:$B,INT((ROW()-1)/7)*57+MOD(ROW()-1,7)+50),"")</f>
        <v/>
      </c>
    </row>
    <row r="372" spans="1:1" x14ac:dyDescent="0.25">
      <c r="A372" t="str" cm="1">
        <f t="array" ref="A372">IF(INDEX(CUEs!$A:$A,INT((ROW()-1)/7)*57+MOD(ROW()-1,7)+50)&lt;&gt;"","set "&amp;INDEX(CUEs!$A:$A,INT((ROW()-1)/7)*57+MOD(ROW()-1,7)+50)&amp;"=/ s "&amp;INDEX(CUEs!$B:$B,INT((ROW()-1)/7)*57+MOD(ROW()-1,7)+50),"")</f>
        <v/>
      </c>
    </row>
    <row r="373" spans="1:1" x14ac:dyDescent="0.25">
      <c r="A373" t="str" cm="1">
        <f t="array" ref="A373">IF(INDEX(CUEs!$A:$A,INT((ROW()-1)/7)*57+MOD(ROW()-1,7)+50)&lt;&gt;"","set "&amp;INDEX(CUEs!$A:$A,INT((ROW()-1)/7)*57+MOD(ROW()-1,7)+50)&amp;"=/ s "&amp;INDEX(CUEs!$B:$B,INT((ROW()-1)/7)*57+MOD(ROW()-1,7)+50),"")</f>
        <v/>
      </c>
    </row>
    <row r="374" spans="1:1" x14ac:dyDescent="0.25">
      <c r="A374" t="str" cm="1">
        <f t="array" ref="A374">IF(INDEX(CUEs!$A:$A,INT((ROW()-1)/7)*57+MOD(ROW()-1,7)+50)&lt;&gt;"","set "&amp;INDEX(CUEs!$A:$A,INT((ROW()-1)/7)*57+MOD(ROW()-1,7)+50)&amp;"=/ s "&amp;INDEX(CUEs!$B:$B,INT((ROW()-1)/7)*57+MOD(ROW()-1,7)+50),"")</f>
        <v/>
      </c>
    </row>
    <row r="375" spans="1:1" x14ac:dyDescent="0.25">
      <c r="A375" t="str" cm="1">
        <f t="array" ref="A375">IF(INDEX(CUEs!$A:$A,INT((ROW()-1)/7)*57+MOD(ROW()-1,7)+50)&lt;&gt;"","set "&amp;INDEX(CUEs!$A:$A,INT((ROW()-1)/7)*57+MOD(ROW()-1,7)+50)&amp;"=/ s "&amp;INDEX(CUEs!$B:$B,INT((ROW()-1)/7)*57+MOD(ROW()-1,7)+50),"")</f>
        <v/>
      </c>
    </row>
    <row r="376" spans="1:1" x14ac:dyDescent="0.25">
      <c r="A376" t="str" cm="1">
        <f t="array" ref="A376">IF(INDEX(CUEs!$A:$A,INT((ROW()-1)/7)*57+MOD(ROW()-1,7)+50)&lt;&gt;"","set "&amp;INDEX(CUEs!$A:$A,INT((ROW()-1)/7)*57+MOD(ROW()-1,7)+50)&amp;"=/ s "&amp;INDEX(CUEs!$B:$B,INT((ROW()-1)/7)*57+MOD(ROW()-1,7)+50),"")</f>
        <v/>
      </c>
    </row>
    <row r="377" spans="1:1" x14ac:dyDescent="0.25">
      <c r="A377" t="str" cm="1">
        <f t="array" ref="A377">IF(INDEX(CUEs!$A:$A,INT((ROW()-1)/7)*57+MOD(ROW()-1,7)+50)&lt;&gt;"","set "&amp;INDEX(CUEs!$A:$A,INT((ROW()-1)/7)*57+MOD(ROW()-1,7)+50)&amp;"=/ s "&amp;INDEX(CUEs!$B:$B,INT((ROW()-1)/7)*57+MOD(ROW()-1,7)+50),"")</f>
        <v/>
      </c>
    </row>
    <row r="378" spans="1:1" x14ac:dyDescent="0.25">
      <c r="A378" t="str" cm="1">
        <f t="array" ref="A378">IF(INDEX(CUEs!$A:$A,INT((ROW()-1)/7)*57+MOD(ROW()-1,7)+50)&lt;&gt;"","set "&amp;INDEX(CUEs!$A:$A,INT((ROW()-1)/7)*57+MOD(ROW()-1,7)+50)&amp;"=/ s "&amp;INDEX(CUEs!$B:$B,INT((ROW()-1)/7)*57+MOD(ROW()-1,7)+50),"")</f>
        <v/>
      </c>
    </row>
    <row r="379" spans="1:1" x14ac:dyDescent="0.25">
      <c r="A379" t="str" cm="1">
        <f t="array" ref="A379">IF(INDEX(CUEs!$A:$A,INT((ROW()-1)/7)*57+MOD(ROW()-1,7)+50)&lt;&gt;"","set "&amp;INDEX(CUEs!$A:$A,INT((ROW()-1)/7)*57+MOD(ROW()-1,7)+50)&amp;"=/ s "&amp;INDEX(CUEs!$B:$B,INT((ROW()-1)/7)*57+MOD(ROW()-1,7)+50),"")</f>
        <v/>
      </c>
    </row>
    <row r="380" spans="1:1" x14ac:dyDescent="0.25">
      <c r="A380" t="str" cm="1">
        <f t="array" ref="A380">IF(INDEX(CUEs!$A:$A,INT((ROW()-1)/7)*57+MOD(ROW()-1,7)+50)&lt;&gt;"","set "&amp;INDEX(CUEs!$A:$A,INT((ROW()-1)/7)*57+MOD(ROW()-1,7)+50)&amp;"=/ s "&amp;INDEX(CUEs!$B:$B,INT((ROW()-1)/7)*57+MOD(ROW()-1,7)+50),"")</f>
        <v/>
      </c>
    </row>
    <row r="381" spans="1:1" x14ac:dyDescent="0.25">
      <c r="A381" t="str" cm="1">
        <f t="array" ref="A381">IF(INDEX(CUEs!$A:$A,INT((ROW()-1)/7)*57+MOD(ROW()-1,7)+50)&lt;&gt;"","set "&amp;INDEX(CUEs!$A:$A,INT((ROW()-1)/7)*57+MOD(ROW()-1,7)+50)&amp;"=/ s "&amp;INDEX(CUEs!$B:$B,INT((ROW()-1)/7)*57+MOD(ROW()-1,7)+50),"")</f>
        <v/>
      </c>
    </row>
    <row r="382" spans="1:1" x14ac:dyDescent="0.25">
      <c r="A382" t="str" cm="1">
        <f t="array" ref="A382">IF(INDEX(CUEs!$A:$A,INT((ROW()-1)/7)*57+MOD(ROW()-1,7)+50)&lt;&gt;"","set "&amp;INDEX(CUEs!$A:$A,INT((ROW()-1)/7)*57+MOD(ROW()-1,7)+50)&amp;"=/ s "&amp;INDEX(CUEs!$B:$B,INT((ROW()-1)/7)*57+MOD(ROW()-1,7)+50),"")</f>
        <v/>
      </c>
    </row>
    <row r="383" spans="1:1" x14ac:dyDescent="0.25">
      <c r="A383" t="str" cm="1">
        <f t="array" ref="A383">IF(INDEX(CUEs!$A:$A,INT((ROW()-1)/7)*57+MOD(ROW()-1,7)+50)&lt;&gt;"","set "&amp;INDEX(CUEs!$A:$A,INT((ROW()-1)/7)*57+MOD(ROW()-1,7)+50)&amp;"=/ s "&amp;INDEX(CUEs!$B:$B,INT((ROW()-1)/7)*57+MOD(ROW()-1,7)+50),"")</f>
        <v/>
      </c>
    </row>
    <row r="384" spans="1:1" x14ac:dyDescent="0.25">
      <c r="A384" t="str" cm="1">
        <f t="array" ref="A384">IF(INDEX(CUEs!$A:$A,INT((ROW()-1)/7)*57+MOD(ROW()-1,7)+50)&lt;&gt;"","set "&amp;INDEX(CUEs!$A:$A,INT((ROW()-1)/7)*57+MOD(ROW()-1,7)+50)&amp;"=/ s "&amp;INDEX(CUEs!$B:$B,INT((ROW()-1)/7)*57+MOD(ROW()-1,7)+50),"")</f>
        <v/>
      </c>
    </row>
    <row r="385" spans="1:1" x14ac:dyDescent="0.25">
      <c r="A385" t="str" cm="1">
        <f t="array" ref="A385">IF(INDEX(CUEs!$A:$A,INT((ROW()-1)/7)*57+MOD(ROW()-1,7)+50)&lt;&gt;"","set "&amp;INDEX(CUEs!$A:$A,INT((ROW()-1)/7)*57+MOD(ROW()-1,7)+50)&amp;"=/ s "&amp;INDEX(CUEs!$B:$B,INT((ROW()-1)/7)*57+MOD(ROW()-1,7)+50),"")</f>
        <v/>
      </c>
    </row>
    <row r="386" spans="1:1" x14ac:dyDescent="0.25">
      <c r="A386" t="str" cm="1">
        <f t="array" ref="A386">IF(INDEX(CUEs!$A:$A,INT((ROW()-1)/7)*57+MOD(ROW()-1,7)+50)&lt;&gt;"","set "&amp;INDEX(CUEs!$A:$A,INT((ROW()-1)/7)*57+MOD(ROW()-1,7)+50)&amp;"=/ s "&amp;INDEX(CUEs!$B:$B,INT((ROW()-1)/7)*57+MOD(ROW()-1,7)+50),"")</f>
        <v/>
      </c>
    </row>
    <row r="387" spans="1:1" x14ac:dyDescent="0.25">
      <c r="A387" t="str" cm="1">
        <f t="array" ref="A387">IF(INDEX(CUEs!$A:$A,INT((ROW()-1)/7)*57+MOD(ROW()-1,7)+50)&lt;&gt;"","set "&amp;INDEX(CUEs!$A:$A,INT((ROW()-1)/7)*57+MOD(ROW()-1,7)+50)&amp;"=/ s "&amp;INDEX(CUEs!$B:$B,INT((ROW()-1)/7)*57+MOD(ROW()-1,7)+50),"")</f>
        <v/>
      </c>
    </row>
    <row r="388" spans="1:1" x14ac:dyDescent="0.25">
      <c r="A388" t="str" cm="1">
        <f t="array" ref="A388">IF(INDEX(CUEs!$A:$A,INT((ROW()-1)/7)*57+MOD(ROW()-1,7)+50)&lt;&gt;"","set "&amp;INDEX(CUEs!$A:$A,INT((ROW()-1)/7)*57+MOD(ROW()-1,7)+50)&amp;"=/ s "&amp;INDEX(CUEs!$B:$B,INT((ROW()-1)/7)*57+MOD(ROW()-1,7)+50),"")</f>
        <v/>
      </c>
    </row>
    <row r="389" spans="1:1" x14ac:dyDescent="0.25">
      <c r="A389" t="str" cm="1">
        <f t="array" ref="A389">IF(INDEX(CUEs!$A:$A,INT((ROW()-1)/7)*57+MOD(ROW()-1,7)+50)&lt;&gt;"","set "&amp;INDEX(CUEs!$A:$A,INT((ROW()-1)/7)*57+MOD(ROW()-1,7)+50)&amp;"=/ s "&amp;INDEX(CUEs!$B:$B,INT((ROW()-1)/7)*57+MOD(ROW()-1,7)+50),"")</f>
        <v/>
      </c>
    </row>
    <row r="390" spans="1:1" x14ac:dyDescent="0.25">
      <c r="A390" t="str" cm="1">
        <f t="array" ref="A390">IF(INDEX(CUEs!$A:$A,INT((ROW()-1)/7)*57+MOD(ROW()-1,7)+50)&lt;&gt;"","set "&amp;INDEX(CUEs!$A:$A,INT((ROW()-1)/7)*57+MOD(ROW()-1,7)+50)&amp;"=/ s "&amp;INDEX(CUEs!$B:$B,INT((ROW()-1)/7)*57+MOD(ROW()-1,7)+50),"")</f>
        <v/>
      </c>
    </row>
    <row r="391" spans="1:1" x14ac:dyDescent="0.25">
      <c r="A391" t="str" cm="1">
        <f t="array" ref="A391">IF(INDEX(CUEs!$A:$A,INT((ROW()-1)/7)*57+MOD(ROW()-1,7)+50)&lt;&gt;"","set "&amp;INDEX(CUEs!$A:$A,INT((ROW()-1)/7)*57+MOD(ROW()-1,7)+50)&amp;"=/ s "&amp;INDEX(CUEs!$B:$B,INT((ROW()-1)/7)*57+MOD(ROW()-1,7)+50),"")</f>
        <v/>
      </c>
    </row>
    <row r="392" spans="1:1" x14ac:dyDescent="0.25">
      <c r="A392" t="str" cm="1">
        <f t="array" ref="A392">IF(INDEX(CUEs!$A:$A,INT((ROW()-1)/7)*57+MOD(ROW()-1,7)+50)&lt;&gt;"","set "&amp;INDEX(CUEs!$A:$A,INT((ROW()-1)/7)*57+MOD(ROW()-1,7)+50)&amp;"=/ s "&amp;INDEX(CUEs!$B:$B,INT((ROW()-1)/7)*57+MOD(ROW()-1,7)+50),"")</f>
        <v/>
      </c>
    </row>
    <row r="393" spans="1:1" x14ac:dyDescent="0.25">
      <c r="A393" t="str" cm="1">
        <f t="array" ref="A393">IF(INDEX(CUEs!$A:$A,INT((ROW()-1)/7)*57+MOD(ROW()-1,7)+50)&lt;&gt;"","set "&amp;INDEX(CUEs!$A:$A,INT((ROW()-1)/7)*57+MOD(ROW()-1,7)+50)&amp;"=/ s "&amp;INDEX(CUEs!$B:$B,INT((ROW()-1)/7)*57+MOD(ROW()-1,7)+50),"")</f>
        <v/>
      </c>
    </row>
    <row r="394" spans="1:1" x14ac:dyDescent="0.25">
      <c r="A394" t="str" cm="1">
        <f t="array" ref="A394">IF(INDEX(CUEs!$A:$A,INT((ROW()-1)/7)*57+MOD(ROW()-1,7)+50)&lt;&gt;"","set "&amp;INDEX(CUEs!$A:$A,INT((ROW()-1)/7)*57+MOD(ROW()-1,7)+50)&amp;"=/ s "&amp;INDEX(CUEs!$B:$B,INT((ROW()-1)/7)*57+MOD(ROW()-1,7)+50),"")</f>
        <v/>
      </c>
    </row>
    <row r="395" spans="1:1" x14ac:dyDescent="0.25">
      <c r="A395" t="str" cm="1">
        <f t="array" ref="A395">IF(INDEX(CUEs!$A:$A,INT((ROW()-1)/7)*57+MOD(ROW()-1,7)+50)&lt;&gt;"","set "&amp;INDEX(CUEs!$A:$A,INT((ROW()-1)/7)*57+MOD(ROW()-1,7)+50)&amp;"=/ s "&amp;INDEX(CUEs!$B:$B,INT((ROW()-1)/7)*57+MOD(ROW()-1,7)+50),"")</f>
        <v/>
      </c>
    </row>
    <row r="396" spans="1:1" x14ac:dyDescent="0.25">
      <c r="A396" t="str" cm="1">
        <f t="array" ref="A396">IF(INDEX(CUEs!$A:$A,INT((ROW()-1)/7)*57+MOD(ROW()-1,7)+50)&lt;&gt;"","set "&amp;INDEX(CUEs!$A:$A,INT((ROW()-1)/7)*57+MOD(ROW()-1,7)+50)&amp;"=/ s "&amp;INDEX(CUEs!$B:$B,INT((ROW()-1)/7)*57+MOD(ROW()-1,7)+50),"")</f>
        <v/>
      </c>
    </row>
    <row r="397" spans="1:1" x14ac:dyDescent="0.25">
      <c r="A397" t="str" cm="1">
        <f t="array" ref="A397">IF(INDEX(CUEs!$A:$A,INT((ROW()-1)/7)*57+MOD(ROW()-1,7)+50)&lt;&gt;"","set "&amp;INDEX(CUEs!$A:$A,INT((ROW()-1)/7)*57+MOD(ROW()-1,7)+50)&amp;"=/ s "&amp;INDEX(CUEs!$B:$B,INT((ROW()-1)/7)*57+MOD(ROW()-1,7)+50),"")</f>
        <v/>
      </c>
    </row>
    <row r="398" spans="1:1" x14ac:dyDescent="0.25">
      <c r="A398" t="str" cm="1">
        <f t="array" ref="A398">IF(INDEX(CUEs!$A:$A,INT((ROW()-1)/7)*57+MOD(ROW()-1,7)+50)&lt;&gt;"","set "&amp;INDEX(CUEs!$A:$A,INT((ROW()-1)/7)*57+MOD(ROW()-1,7)+50)&amp;"=/ s "&amp;INDEX(CUEs!$B:$B,INT((ROW()-1)/7)*57+MOD(ROW()-1,7)+50),"")</f>
        <v/>
      </c>
    </row>
    <row r="399" spans="1:1" x14ac:dyDescent="0.25">
      <c r="A399" t="str" cm="1">
        <f t="array" ref="A399">IF(INDEX(CUEs!$A:$A,INT((ROW()-1)/7)*57+MOD(ROW()-1,7)+50)&lt;&gt;"","set "&amp;INDEX(CUEs!$A:$A,INT((ROW()-1)/7)*57+MOD(ROW()-1,7)+50)&amp;"=/ s "&amp;INDEX(CUEs!$B:$B,INT((ROW()-1)/7)*57+MOD(ROW()-1,7)+50),"")</f>
        <v/>
      </c>
    </row>
    <row r="400" spans="1:1" x14ac:dyDescent="0.25">
      <c r="A400" t="str" cm="1">
        <f t="array" ref="A400">IF(INDEX(CUEs!$A:$A,INT((ROW()-1)/7)*57+MOD(ROW()-1,7)+50)&lt;&gt;"","set "&amp;INDEX(CUEs!$A:$A,INT((ROW()-1)/7)*57+MOD(ROW()-1,7)+50)&amp;"=/ s "&amp;INDEX(CUEs!$B:$B,INT((ROW()-1)/7)*57+MOD(ROW()-1,7)+50),"")</f>
        <v/>
      </c>
    </row>
    <row r="401" spans="1:1" x14ac:dyDescent="0.25">
      <c r="A401" t="str" cm="1">
        <f t="array" ref="A401">IF(INDEX(CUEs!$A:$A,INT((ROW()-1)/7)*57+MOD(ROW()-1,7)+50)&lt;&gt;"","set "&amp;INDEX(CUEs!$A:$A,INT((ROW()-1)/7)*57+MOD(ROW()-1,7)+50)&amp;"=/ s "&amp;INDEX(CUEs!$B:$B,INT((ROW()-1)/7)*57+MOD(ROW()-1,7)+50),"")</f>
        <v/>
      </c>
    </row>
    <row r="402" spans="1:1" x14ac:dyDescent="0.25">
      <c r="A402" t="str" cm="1">
        <f t="array" ref="A402">IF(INDEX(CUEs!$A:$A,INT((ROW()-1)/7)*57+MOD(ROW()-1,7)+50)&lt;&gt;"","set "&amp;INDEX(CUEs!$A:$A,INT((ROW()-1)/7)*57+MOD(ROW()-1,7)+50)&amp;"=/ s "&amp;INDEX(CUEs!$B:$B,INT((ROW()-1)/7)*57+MOD(ROW()-1,7)+50),"")</f>
        <v/>
      </c>
    </row>
    <row r="403" spans="1:1" x14ac:dyDescent="0.25">
      <c r="A403" t="str" cm="1">
        <f t="array" ref="A403">IF(INDEX(CUEs!$A:$A,INT((ROW()-1)/7)*57+MOD(ROW()-1,7)+50)&lt;&gt;"","set "&amp;INDEX(CUEs!$A:$A,INT((ROW()-1)/7)*57+MOD(ROW()-1,7)+50)&amp;"=/ s "&amp;INDEX(CUEs!$B:$B,INT((ROW()-1)/7)*57+MOD(ROW()-1,7)+50),"")</f>
        <v/>
      </c>
    </row>
    <row r="404" spans="1:1" x14ac:dyDescent="0.25">
      <c r="A404" t="str" cm="1">
        <f t="array" ref="A404">IF(INDEX(CUEs!$A:$A,INT((ROW()-1)/7)*57+MOD(ROW()-1,7)+50)&lt;&gt;"","set "&amp;INDEX(CUEs!$A:$A,INT((ROW()-1)/7)*57+MOD(ROW()-1,7)+50)&amp;"=/ s "&amp;INDEX(CUEs!$B:$B,INT((ROW()-1)/7)*57+MOD(ROW()-1,7)+50),"")</f>
        <v/>
      </c>
    </row>
    <row r="405" spans="1:1" x14ac:dyDescent="0.25">
      <c r="A405" t="str" cm="1">
        <f t="array" ref="A405">IF(INDEX(CUEs!$A:$A,INT((ROW()-1)/7)*57+MOD(ROW()-1,7)+50)&lt;&gt;"","set "&amp;INDEX(CUEs!$A:$A,INT((ROW()-1)/7)*57+MOD(ROW()-1,7)+50)&amp;"=/ s "&amp;INDEX(CUEs!$B:$B,INT((ROW()-1)/7)*57+MOD(ROW()-1,7)+50),"")</f>
        <v/>
      </c>
    </row>
    <row r="406" spans="1:1" x14ac:dyDescent="0.25">
      <c r="A406" t="str" cm="1">
        <f t="array" ref="A406">IF(INDEX(CUEs!$A:$A,INT((ROW()-1)/7)*57+MOD(ROW()-1,7)+50)&lt;&gt;"","set "&amp;INDEX(CUEs!$A:$A,INT((ROW()-1)/7)*57+MOD(ROW()-1,7)+50)&amp;"=/ s "&amp;INDEX(CUEs!$B:$B,INT((ROW()-1)/7)*57+MOD(ROW()-1,7)+50),"")</f>
        <v/>
      </c>
    </row>
    <row r="407" spans="1:1" x14ac:dyDescent="0.25">
      <c r="A407" t="str" cm="1">
        <f t="array" ref="A407">IF(INDEX(CUEs!$A:$A,INT((ROW()-1)/7)*57+MOD(ROW()-1,7)+50)&lt;&gt;"","set "&amp;INDEX(CUEs!$A:$A,INT((ROW()-1)/7)*57+MOD(ROW()-1,7)+50)&amp;"=/ s "&amp;INDEX(CUEs!$B:$B,INT((ROW()-1)/7)*57+MOD(ROW()-1,7)+50),"")</f>
        <v/>
      </c>
    </row>
    <row r="408" spans="1:1" x14ac:dyDescent="0.25">
      <c r="A408" t="str" cm="1">
        <f t="array" ref="A408">IF(INDEX(CUEs!$A:$A,INT((ROW()-1)/7)*57+MOD(ROW()-1,7)+50)&lt;&gt;"","set "&amp;INDEX(CUEs!$A:$A,INT((ROW()-1)/7)*57+MOD(ROW()-1,7)+50)&amp;"=/ s "&amp;INDEX(CUEs!$B:$B,INT((ROW()-1)/7)*57+MOD(ROW()-1,7)+50),"")</f>
        <v/>
      </c>
    </row>
    <row r="409" spans="1:1" x14ac:dyDescent="0.25">
      <c r="A409" t="str" cm="1">
        <f t="array" ref="A409">IF(INDEX(CUEs!$A:$A,INT((ROW()-1)/7)*57+MOD(ROW()-1,7)+50)&lt;&gt;"","set "&amp;INDEX(CUEs!$A:$A,INT((ROW()-1)/7)*57+MOD(ROW()-1,7)+50)&amp;"=/ s "&amp;INDEX(CUEs!$B:$B,INT((ROW()-1)/7)*57+MOD(ROW()-1,7)+50),"")</f>
        <v/>
      </c>
    </row>
    <row r="410" spans="1:1" x14ac:dyDescent="0.25">
      <c r="A410" t="str" cm="1">
        <f t="array" ref="A410">IF(INDEX(CUEs!$A:$A,INT((ROW()-1)/7)*57+MOD(ROW()-1,7)+50)&lt;&gt;"","set "&amp;INDEX(CUEs!$A:$A,INT((ROW()-1)/7)*57+MOD(ROW()-1,7)+50)&amp;"=/ s "&amp;INDEX(CUEs!$B:$B,INT((ROW()-1)/7)*57+MOD(ROW()-1,7)+50),"")</f>
        <v/>
      </c>
    </row>
    <row r="411" spans="1:1" x14ac:dyDescent="0.25">
      <c r="A411" t="str" cm="1">
        <f t="array" ref="A411">IF(INDEX(CUEs!$A:$A,INT((ROW()-1)/7)*57+MOD(ROW()-1,7)+50)&lt;&gt;"","set "&amp;INDEX(CUEs!$A:$A,INT((ROW()-1)/7)*57+MOD(ROW()-1,7)+50)&amp;"=/ s "&amp;INDEX(CUEs!$B:$B,INT((ROW()-1)/7)*57+MOD(ROW()-1,7)+50),"")</f>
        <v/>
      </c>
    </row>
    <row r="412" spans="1:1" x14ac:dyDescent="0.25">
      <c r="A412" t="str" cm="1">
        <f t="array" ref="A412">IF(INDEX(CUEs!$A:$A,INT((ROW()-1)/7)*57+MOD(ROW()-1,7)+50)&lt;&gt;"","set "&amp;INDEX(CUEs!$A:$A,INT((ROW()-1)/7)*57+MOD(ROW()-1,7)+50)&amp;"=/ s "&amp;INDEX(CUEs!$B:$B,INT((ROW()-1)/7)*57+MOD(ROW()-1,7)+50),"")</f>
        <v/>
      </c>
    </row>
    <row r="413" spans="1:1" x14ac:dyDescent="0.25">
      <c r="A413" t="str" cm="1">
        <f t="array" ref="A413">IF(INDEX(CUEs!$A:$A,INT((ROW()-1)/7)*57+MOD(ROW()-1,7)+50)&lt;&gt;"","set "&amp;INDEX(CUEs!$A:$A,INT((ROW()-1)/7)*57+MOD(ROW()-1,7)+50)&amp;"=/ s "&amp;INDEX(CUEs!$B:$B,INT((ROW()-1)/7)*57+MOD(ROW()-1,7)+50),"")</f>
        <v/>
      </c>
    </row>
    <row r="414" spans="1:1" x14ac:dyDescent="0.25">
      <c r="A414" t="str" cm="1">
        <f t="array" ref="A414">IF(INDEX(CUEs!$A:$A,INT((ROW()-1)/7)*57+MOD(ROW()-1,7)+50)&lt;&gt;"","set "&amp;INDEX(CUEs!$A:$A,INT((ROW()-1)/7)*57+MOD(ROW()-1,7)+50)&amp;"=/ s "&amp;INDEX(CUEs!$B:$B,INT((ROW()-1)/7)*57+MOD(ROW()-1,7)+50),"")</f>
        <v/>
      </c>
    </row>
    <row r="415" spans="1:1" x14ac:dyDescent="0.25">
      <c r="A415" t="str" cm="1">
        <f t="array" ref="A415">IF(INDEX(CUEs!$A:$A,INT((ROW()-1)/7)*57+MOD(ROW()-1,7)+50)&lt;&gt;"","set "&amp;INDEX(CUEs!$A:$A,INT((ROW()-1)/7)*57+MOD(ROW()-1,7)+50)&amp;"=/ s "&amp;INDEX(CUEs!$B:$B,INT((ROW()-1)/7)*57+MOD(ROW()-1,7)+50),"")</f>
        <v/>
      </c>
    </row>
    <row r="416" spans="1:1" x14ac:dyDescent="0.25">
      <c r="A416" t="str" cm="1">
        <f t="array" ref="A416">IF(INDEX(CUEs!$A:$A,INT((ROW()-1)/7)*57+MOD(ROW()-1,7)+50)&lt;&gt;"","set "&amp;INDEX(CUEs!$A:$A,INT((ROW()-1)/7)*57+MOD(ROW()-1,7)+50)&amp;"=/ s "&amp;INDEX(CUEs!$B:$B,INT((ROW()-1)/7)*57+MOD(ROW()-1,7)+50),"")</f>
        <v/>
      </c>
    </row>
    <row r="417" spans="1:1" x14ac:dyDescent="0.25">
      <c r="A417" t="str" cm="1">
        <f t="array" ref="A417">IF(INDEX(CUEs!$A:$A,INT((ROW()-1)/7)*57+MOD(ROW()-1,7)+50)&lt;&gt;"","set "&amp;INDEX(CUEs!$A:$A,INT((ROW()-1)/7)*57+MOD(ROW()-1,7)+50)&amp;"=/ s "&amp;INDEX(CUEs!$B:$B,INT((ROW()-1)/7)*57+MOD(ROW()-1,7)+50),"")</f>
        <v/>
      </c>
    </row>
    <row r="418" spans="1:1" x14ac:dyDescent="0.25">
      <c r="A418" t="str" cm="1">
        <f t="array" ref="A418">IF(INDEX(CUEs!$A:$A,INT((ROW()-1)/7)*57+MOD(ROW()-1,7)+50)&lt;&gt;"","set "&amp;INDEX(CUEs!$A:$A,INT((ROW()-1)/7)*57+MOD(ROW()-1,7)+50)&amp;"=/ s "&amp;INDEX(CUEs!$B:$B,INT((ROW()-1)/7)*57+MOD(ROW()-1,7)+50),"")</f>
        <v/>
      </c>
    </row>
    <row r="419" spans="1:1" x14ac:dyDescent="0.25">
      <c r="A419" t="str" cm="1">
        <f t="array" ref="A419">IF(INDEX(CUEs!$A:$A,INT((ROW()-1)/7)*57+MOD(ROW()-1,7)+50)&lt;&gt;"","set "&amp;INDEX(CUEs!$A:$A,INT((ROW()-1)/7)*57+MOD(ROW()-1,7)+50)&amp;"=/ s "&amp;INDEX(CUEs!$B:$B,INT((ROW()-1)/7)*57+MOD(ROW()-1,7)+50),"")</f>
        <v/>
      </c>
    </row>
    <row r="420" spans="1:1" x14ac:dyDescent="0.25">
      <c r="A420" t="str" cm="1">
        <f t="array" ref="A420">IF(INDEX(CUEs!$A:$A,INT((ROW()-1)/7)*57+MOD(ROW()-1,7)+50)&lt;&gt;"","set "&amp;INDEX(CUEs!$A:$A,INT((ROW()-1)/7)*57+MOD(ROW()-1,7)+50)&amp;"=/ s "&amp;INDEX(CUEs!$B:$B,INT((ROW()-1)/7)*57+MOD(ROW()-1,7)+50),"")</f>
        <v/>
      </c>
    </row>
    <row r="421" spans="1:1" x14ac:dyDescent="0.25">
      <c r="A421" t="str" cm="1">
        <f t="array" ref="A421">IF(INDEX(CUEs!$A:$A,INT((ROW()-1)/7)*57+MOD(ROW()-1,7)+50)&lt;&gt;"","set "&amp;INDEX(CUEs!$A:$A,INT((ROW()-1)/7)*57+MOD(ROW()-1,7)+50)&amp;"=/ s "&amp;INDEX(CUEs!$B:$B,INT((ROW()-1)/7)*57+MOD(ROW()-1,7)+50),"")</f>
        <v/>
      </c>
    </row>
    <row r="422" spans="1:1" x14ac:dyDescent="0.25">
      <c r="A422" t="str" cm="1">
        <f t="array" ref="A422">IF(INDEX(CUEs!$A:$A,INT((ROW()-1)/7)*57+MOD(ROW()-1,7)+50)&lt;&gt;"","set "&amp;INDEX(CUEs!$A:$A,INT((ROW()-1)/7)*57+MOD(ROW()-1,7)+50)&amp;"=/ s "&amp;INDEX(CUEs!$B:$B,INT((ROW()-1)/7)*57+MOD(ROW()-1,7)+50),"")</f>
        <v/>
      </c>
    </row>
    <row r="423" spans="1:1" x14ac:dyDescent="0.25">
      <c r="A423" t="str" cm="1">
        <f t="array" ref="A423">IF(INDEX(CUEs!$A:$A,INT((ROW()-1)/7)*57+MOD(ROW()-1,7)+50)&lt;&gt;"","set "&amp;INDEX(CUEs!$A:$A,INT((ROW()-1)/7)*57+MOD(ROW()-1,7)+50)&amp;"=/ s "&amp;INDEX(CUEs!$B:$B,INT((ROW()-1)/7)*57+MOD(ROW()-1,7)+50),"")</f>
        <v/>
      </c>
    </row>
    <row r="424" spans="1:1" x14ac:dyDescent="0.25">
      <c r="A424" t="str" cm="1">
        <f t="array" ref="A424">IF(INDEX(CUEs!$A:$A,INT((ROW()-1)/7)*57+MOD(ROW()-1,7)+50)&lt;&gt;"","set "&amp;INDEX(CUEs!$A:$A,INT((ROW()-1)/7)*57+MOD(ROW()-1,7)+50)&amp;"=/ s "&amp;INDEX(CUEs!$B:$B,INT((ROW()-1)/7)*57+MOD(ROW()-1,7)+50),"")</f>
        <v/>
      </c>
    </row>
    <row r="425" spans="1:1" x14ac:dyDescent="0.25">
      <c r="A425" t="str" cm="1">
        <f t="array" ref="A425">IF(INDEX(CUEs!$A:$A,INT((ROW()-1)/7)*57+MOD(ROW()-1,7)+50)&lt;&gt;"","set "&amp;INDEX(CUEs!$A:$A,INT((ROW()-1)/7)*57+MOD(ROW()-1,7)+50)&amp;"=/ s "&amp;INDEX(CUEs!$B:$B,INT((ROW()-1)/7)*57+MOD(ROW()-1,7)+50),"")</f>
        <v/>
      </c>
    </row>
    <row r="426" spans="1:1" x14ac:dyDescent="0.25">
      <c r="A426" t="str" cm="1">
        <f t="array" ref="A426">IF(INDEX(CUEs!$A:$A,INT((ROW()-1)/7)*57+MOD(ROW()-1,7)+50)&lt;&gt;"","set "&amp;INDEX(CUEs!$A:$A,INT((ROW()-1)/7)*57+MOD(ROW()-1,7)+50)&amp;"=/ s "&amp;INDEX(CUEs!$B:$B,INT((ROW()-1)/7)*57+MOD(ROW()-1,7)+50),"")</f>
        <v/>
      </c>
    </row>
    <row r="427" spans="1:1" x14ac:dyDescent="0.25">
      <c r="A427" t="str" cm="1">
        <f t="array" ref="A427">IF(INDEX(CUEs!$A:$A,INT((ROW()-1)/7)*57+MOD(ROW()-1,7)+50)&lt;&gt;"","set "&amp;INDEX(CUEs!$A:$A,INT((ROW()-1)/7)*57+MOD(ROW()-1,7)+50)&amp;"=/ s "&amp;INDEX(CUEs!$B:$B,INT((ROW()-1)/7)*57+MOD(ROW()-1,7)+50),"")</f>
        <v/>
      </c>
    </row>
    <row r="428" spans="1:1" x14ac:dyDescent="0.25">
      <c r="A428" t="str" cm="1">
        <f t="array" ref="A428">IF(INDEX(CUEs!$A:$A,INT((ROW()-1)/7)*57+MOD(ROW()-1,7)+50)&lt;&gt;"","set "&amp;INDEX(CUEs!$A:$A,INT((ROW()-1)/7)*57+MOD(ROW()-1,7)+50)&amp;"=/ s "&amp;INDEX(CUEs!$B:$B,INT((ROW()-1)/7)*57+MOD(ROW()-1,7)+50),"")</f>
        <v/>
      </c>
    </row>
    <row r="429" spans="1:1" x14ac:dyDescent="0.25">
      <c r="A429" t="str" cm="1">
        <f t="array" ref="A429">IF(INDEX(CUEs!$A:$A,INT((ROW()-1)/7)*57+MOD(ROW()-1,7)+50)&lt;&gt;"","set "&amp;INDEX(CUEs!$A:$A,INT((ROW()-1)/7)*57+MOD(ROW()-1,7)+50)&amp;"=/ s "&amp;INDEX(CUEs!$B:$B,INT((ROW()-1)/7)*57+MOD(ROW()-1,7)+50),"")</f>
        <v/>
      </c>
    </row>
    <row r="430" spans="1:1" x14ac:dyDescent="0.25">
      <c r="A430" t="str" cm="1">
        <f t="array" ref="A430">IF(INDEX(CUEs!$A:$A,INT((ROW()-1)/7)*57+MOD(ROW()-1,7)+50)&lt;&gt;"","set "&amp;INDEX(CUEs!$A:$A,INT((ROW()-1)/7)*57+MOD(ROW()-1,7)+50)&amp;"=/ s "&amp;INDEX(CUEs!$B:$B,INT((ROW()-1)/7)*57+MOD(ROW()-1,7)+50),"")</f>
        <v/>
      </c>
    </row>
    <row r="431" spans="1:1" x14ac:dyDescent="0.25">
      <c r="A431" t="str" cm="1">
        <f t="array" ref="A431">IF(INDEX(CUEs!$A:$A,INT((ROW()-1)/7)*57+MOD(ROW()-1,7)+50)&lt;&gt;"","set "&amp;INDEX(CUEs!$A:$A,INT((ROW()-1)/7)*57+MOD(ROW()-1,7)+50)&amp;"=/ s "&amp;INDEX(CUEs!$B:$B,INT((ROW()-1)/7)*57+MOD(ROW()-1,7)+50),"")</f>
        <v/>
      </c>
    </row>
    <row r="432" spans="1:1" x14ac:dyDescent="0.25">
      <c r="A432" t="str" cm="1">
        <f t="array" ref="A432">IF(INDEX(CUEs!$A:$A,INT((ROW()-1)/7)*57+MOD(ROW()-1,7)+50)&lt;&gt;"","set "&amp;INDEX(CUEs!$A:$A,INT((ROW()-1)/7)*57+MOD(ROW()-1,7)+50)&amp;"=/ s "&amp;INDEX(CUEs!$B:$B,INT((ROW()-1)/7)*57+MOD(ROW()-1,7)+50),"")</f>
        <v/>
      </c>
    </row>
    <row r="433" spans="1:1" x14ac:dyDescent="0.25">
      <c r="A433" t="str" cm="1">
        <f t="array" ref="A433">IF(INDEX(CUEs!$A:$A,INT((ROW()-1)/7)*57+MOD(ROW()-1,7)+50)&lt;&gt;"","set "&amp;INDEX(CUEs!$A:$A,INT((ROW()-1)/7)*57+MOD(ROW()-1,7)+50)&amp;"=/ s "&amp;INDEX(CUEs!$B:$B,INT((ROW()-1)/7)*57+MOD(ROW()-1,7)+50),"")</f>
        <v/>
      </c>
    </row>
    <row r="434" spans="1:1" x14ac:dyDescent="0.25">
      <c r="A434" t="str" cm="1">
        <f t="array" ref="A434">IF(INDEX(CUEs!$A:$A,INT((ROW()-1)/7)*57+MOD(ROW()-1,7)+50)&lt;&gt;"","set "&amp;INDEX(CUEs!$A:$A,INT((ROW()-1)/7)*57+MOD(ROW()-1,7)+50)&amp;"=/ s "&amp;INDEX(CUEs!$B:$B,INT((ROW()-1)/7)*57+MOD(ROW()-1,7)+50),"")</f>
        <v/>
      </c>
    </row>
    <row r="435" spans="1:1" x14ac:dyDescent="0.25">
      <c r="A435" t="str" cm="1">
        <f t="array" ref="A435">IF(INDEX(CUEs!$A:$A,INT((ROW()-1)/7)*57+MOD(ROW()-1,7)+50)&lt;&gt;"","set "&amp;INDEX(CUEs!$A:$A,INT((ROW()-1)/7)*57+MOD(ROW()-1,7)+50)&amp;"=/ s "&amp;INDEX(CUEs!$B:$B,INT((ROW()-1)/7)*57+MOD(ROW()-1,7)+50),"")</f>
        <v/>
      </c>
    </row>
    <row r="436" spans="1:1" x14ac:dyDescent="0.25">
      <c r="A436" t="str" cm="1">
        <f t="array" ref="A436">IF(INDEX(CUEs!$A:$A,INT((ROW()-1)/7)*57+MOD(ROW()-1,7)+50)&lt;&gt;"","set "&amp;INDEX(CUEs!$A:$A,INT((ROW()-1)/7)*57+MOD(ROW()-1,7)+50)&amp;"=/ s "&amp;INDEX(CUEs!$B:$B,INT((ROW()-1)/7)*57+MOD(ROW()-1,7)+50),"")</f>
        <v/>
      </c>
    </row>
    <row r="437" spans="1:1" x14ac:dyDescent="0.25">
      <c r="A437" t="str" cm="1">
        <f t="array" ref="A437">IF(INDEX(CUEs!$A:$A,INT((ROW()-1)/7)*57+MOD(ROW()-1,7)+50)&lt;&gt;"","set "&amp;INDEX(CUEs!$A:$A,INT((ROW()-1)/7)*57+MOD(ROW()-1,7)+50)&amp;"=/ s "&amp;INDEX(CUEs!$B:$B,INT((ROW()-1)/7)*57+MOD(ROW()-1,7)+50),"")</f>
        <v/>
      </c>
    </row>
    <row r="438" spans="1:1" x14ac:dyDescent="0.25">
      <c r="A438" t="str" cm="1">
        <f t="array" ref="A438">IF(INDEX(CUEs!$A:$A,INT((ROW()-1)/7)*57+MOD(ROW()-1,7)+50)&lt;&gt;"","set "&amp;INDEX(CUEs!$A:$A,INT((ROW()-1)/7)*57+MOD(ROW()-1,7)+50)&amp;"=/ s "&amp;INDEX(CUEs!$B:$B,INT((ROW()-1)/7)*57+MOD(ROW()-1,7)+50),"")</f>
        <v/>
      </c>
    </row>
    <row r="439" spans="1:1" x14ac:dyDescent="0.25">
      <c r="A439" t="str" cm="1">
        <f t="array" ref="A439">IF(INDEX(CUEs!$A:$A,INT((ROW()-1)/7)*57+MOD(ROW()-1,7)+50)&lt;&gt;"","set "&amp;INDEX(CUEs!$A:$A,INT((ROW()-1)/7)*57+MOD(ROW()-1,7)+50)&amp;"=/ s "&amp;INDEX(CUEs!$B:$B,INT((ROW()-1)/7)*57+MOD(ROW()-1,7)+50),"")</f>
        <v/>
      </c>
    </row>
    <row r="440" spans="1:1" x14ac:dyDescent="0.25">
      <c r="A440" t="str" cm="1">
        <f t="array" ref="A440">IF(INDEX(CUEs!$A:$A,INT((ROW()-1)/7)*57+MOD(ROW()-1,7)+50)&lt;&gt;"","set "&amp;INDEX(CUEs!$A:$A,INT((ROW()-1)/7)*57+MOD(ROW()-1,7)+50)&amp;"=/ s "&amp;INDEX(CUEs!$B:$B,INT((ROW()-1)/7)*57+MOD(ROW()-1,7)+50),"")</f>
        <v/>
      </c>
    </row>
    <row r="441" spans="1:1" x14ac:dyDescent="0.25">
      <c r="A441" t="str" cm="1">
        <f t="array" ref="A441">IF(INDEX(CUEs!$A:$A,INT((ROW()-1)/7)*57+MOD(ROW()-1,7)+50)&lt;&gt;"","set "&amp;INDEX(CUEs!$A:$A,INT((ROW()-1)/7)*57+MOD(ROW()-1,7)+50)&amp;"=/ s "&amp;INDEX(CUEs!$B:$B,INT((ROW()-1)/7)*57+MOD(ROW()-1,7)+50),"")</f>
        <v/>
      </c>
    </row>
    <row r="442" spans="1:1" x14ac:dyDescent="0.25">
      <c r="A442" t="str" cm="1">
        <f t="array" ref="A442">IF(INDEX(CUEs!$A:$A,INT((ROW()-1)/7)*57+MOD(ROW()-1,7)+50)&lt;&gt;"","set "&amp;INDEX(CUEs!$A:$A,INT((ROW()-1)/7)*57+MOD(ROW()-1,7)+50)&amp;"=/ s "&amp;INDEX(CUEs!$B:$B,INT((ROW()-1)/7)*57+MOD(ROW()-1,7)+50),"")</f>
        <v/>
      </c>
    </row>
    <row r="443" spans="1:1" x14ac:dyDescent="0.25">
      <c r="A443" t="str" cm="1">
        <f t="array" ref="A443">IF(INDEX(CUEs!$A:$A,INT((ROW()-1)/7)*57+MOD(ROW()-1,7)+50)&lt;&gt;"","set "&amp;INDEX(CUEs!$A:$A,INT((ROW()-1)/7)*57+MOD(ROW()-1,7)+50)&amp;"=/ s "&amp;INDEX(CUEs!$B:$B,INT((ROW()-1)/7)*57+MOD(ROW()-1,7)+50),"")</f>
        <v/>
      </c>
    </row>
    <row r="444" spans="1:1" x14ac:dyDescent="0.25">
      <c r="A444" t="str" cm="1">
        <f t="array" ref="A444">IF(INDEX(CUEs!$A:$A,INT((ROW()-1)/7)*57+MOD(ROW()-1,7)+50)&lt;&gt;"","set "&amp;INDEX(CUEs!$A:$A,INT((ROW()-1)/7)*57+MOD(ROW()-1,7)+50)&amp;"=/ s "&amp;INDEX(CUEs!$B:$B,INT((ROW()-1)/7)*57+MOD(ROW()-1,7)+50),"")</f>
        <v/>
      </c>
    </row>
    <row r="445" spans="1:1" x14ac:dyDescent="0.25">
      <c r="A445" t="str" cm="1">
        <f t="array" ref="A445">IF(INDEX(CUEs!$A:$A,INT((ROW()-1)/7)*57+MOD(ROW()-1,7)+50)&lt;&gt;"","set "&amp;INDEX(CUEs!$A:$A,INT((ROW()-1)/7)*57+MOD(ROW()-1,7)+50)&amp;"=/ s "&amp;INDEX(CUEs!$B:$B,INT((ROW()-1)/7)*57+MOD(ROW()-1,7)+50),"")</f>
        <v/>
      </c>
    </row>
    <row r="446" spans="1:1" x14ac:dyDescent="0.25">
      <c r="A446" t="str" cm="1">
        <f t="array" ref="A446">IF(INDEX(CUEs!$A:$A,INT((ROW()-1)/7)*57+MOD(ROW()-1,7)+50)&lt;&gt;"","set "&amp;INDEX(CUEs!$A:$A,INT((ROW()-1)/7)*57+MOD(ROW()-1,7)+50)&amp;"=/ s "&amp;INDEX(CUEs!$B:$B,INT((ROW()-1)/7)*57+MOD(ROW()-1,7)+50),"")</f>
        <v/>
      </c>
    </row>
    <row r="447" spans="1:1" x14ac:dyDescent="0.25">
      <c r="A447" t="str" cm="1">
        <f t="array" ref="A447">IF(INDEX(CUEs!$A:$A,INT((ROW()-1)/7)*57+MOD(ROW()-1,7)+50)&lt;&gt;"","set "&amp;INDEX(CUEs!$A:$A,INT((ROW()-1)/7)*57+MOD(ROW()-1,7)+50)&amp;"=/ s "&amp;INDEX(CUEs!$B:$B,INT((ROW()-1)/7)*57+MOD(ROW()-1,7)+50),"")</f>
        <v/>
      </c>
    </row>
    <row r="448" spans="1:1" x14ac:dyDescent="0.25">
      <c r="A448" t="str" cm="1">
        <f t="array" ref="A448">IF(INDEX(CUEs!$A:$A,INT((ROW()-1)/7)*57+MOD(ROW()-1,7)+50)&lt;&gt;"","set "&amp;INDEX(CUEs!$A:$A,INT((ROW()-1)/7)*57+MOD(ROW()-1,7)+50)&amp;"=/ s "&amp;INDEX(CUEs!$B:$B,INT((ROW()-1)/7)*57+MOD(ROW()-1,7)+50),"")</f>
        <v/>
      </c>
    </row>
    <row r="449" spans="1:1" x14ac:dyDescent="0.25">
      <c r="A449" t="str" cm="1">
        <f t="array" ref="A449">IF(INDEX(CUEs!$A:$A,INT((ROW()-1)/7)*57+MOD(ROW()-1,7)+50)&lt;&gt;"","set "&amp;INDEX(CUEs!$A:$A,INT((ROW()-1)/7)*57+MOD(ROW()-1,7)+50)&amp;"=/ s "&amp;INDEX(CUEs!$B:$B,INT((ROW()-1)/7)*57+MOD(ROW()-1,7)+50),"")</f>
        <v/>
      </c>
    </row>
    <row r="450" spans="1:1" x14ac:dyDescent="0.25">
      <c r="A450" t="str" cm="1">
        <f t="array" ref="A450">IF(INDEX(CUEs!$A:$A,INT((ROW()-1)/7)*57+MOD(ROW()-1,7)+50)&lt;&gt;"","set "&amp;INDEX(CUEs!$A:$A,INT((ROW()-1)/7)*57+MOD(ROW()-1,7)+50)&amp;"=/ s "&amp;INDEX(CUEs!$B:$B,INT((ROW()-1)/7)*57+MOD(ROW()-1,7)+50),"")</f>
        <v/>
      </c>
    </row>
    <row r="451" spans="1:1" x14ac:dyDescent="0.25">
      <c r="A451" t="str" cm="1">
        <f t="array" ref="A451">IF(INDEX(CUEs!$A:$A,INT((ROW()-1)/7)*57+MOD(ROW()-1,7)+50)&lt;&gt;"","set "&amp;INDEX(CUEs!$A:$A,INT((ROW()-1)/7)*57+MOD(ROW()-1,7)+50)&amp;"=/ s "&amp;INDEX(CUEs!$B:$B,INT((ROW()-1)/7)*57+MOD(ROW()-1,7)+50),"")</f>
        <v/>
      </c>
    </row>
    <row r="452" spans="1:1" x14ac:dyDescent="0.25">
      <c r="A452" t="str" cm="1">
        <f t="array" ref="A452">IF(INDEX(CUEs!$A:$A,INT((ROW()-1)/7)*57+MOD(ROW()-1,7)+50)&lt;&gt;"","set "&amp;INDEX(CUEs!$A:$A,INT((ROW()-1)/7)*57+MOD(ROW()-1,7)+50)&amp;"=/ s "&amp;INDEX(CUEs!$B:$B,INT((ROW()-1)/7)*57+MOD(ROW()-1,7)+50),"")</f>
        <v/>
      </c>
    </row>
    <row r="453" spans="1:1" x14ac:dyDescent="0.25">
      <c r="A453" t="str" cm="1">
        <f t="array" ref="A453">IF(INDEX(CUEs!$A:$A,INT((ROW()-1)/7)*57+MOD(ROW()-1,7)+50)&lt;&gt;"","set "&amp;INDEX(CUEs!$A:$A,INT((ROW()-1)/7)*57+MOD(ROW()-1,7)+50)&amp;"=/ s "&amp;INDEX(CUEs!$B:$B,INT((ROW()-1)/7)*57+MOD(ROW()-1,7)+50),"")</f>
        <v/>
      </c>
    </row>
    <row r="454" spans="1:1" x14ac:dyDescent="0.25">
      <c r="A454" t="str" cm="1">
        <f t="array" ref="A454">IF(INDEX(CUEs!$A:$A,INT((ROW()-1)/7)*57+MOD(ROW()-1,7)+50)&lt;&gt;"","set "&amp;INDEX(CUEs!$A:$A,INT((ROW()-1)/7)*57+MOD(ROW()-1,7)+50)&amp;"=/ s "&amp;INDEX(CUEs!$B:$B,INT((ROW()-1)/7)*57+MOD(ROW()-1,7)+50),"")</f>
        <v/>
      </c>
    </row>
    <row r="455" spans="1:1" x14ac:dyDescent="0.25">
      <c r="A455" t="str" cm="1">
        <f t="array" ref="A455">IF(INDEX(CUEs!$A:$A,INT((ROW()-1)/7)*57+MOD(ROW()-1,7)+50)&lt;&gt;"","set "&amp;INDEX(CUEs!$A:$A,INT((ROW()-1)/7)*57+MOD(ROW()-1,7)+50)&amp;"=/ s "&amp;INDEX(CUEs!$B:$B,INT((ROW()-1)/7)*57+MOD(ROW()-1,7)+50),"")</f>
        <v/>
      </c>
    </row>
    <row r="456" spans="1:1" x14ac:dyDescent="0.25">
      <c r="A456" t="str" cm="1">
        <f t="array" ref="A456">IF(INDEX(CUEs!$A:$A,INT((ROW()-1)/7)*57+MOD(ROW()-1,7)+50)&lt;&gt;"","set "&amp;INDEX(CUEs!$A:$A,INT((ROW()-1)/7)*57+MOD(ROW()-1,7)+50)&amp;"=/ s "&amp;INDEX(CUEs!$B:$B,INT((ROW()-1)/7)*57+MOD(ROW()-1,7)+50),"")</f>
        <v/>
      </c>
    </row>
    <row r="457" spans="1:1" x14ac:dyDescent="0.25">
      <c r="A457" t="str" cm="1">
        <f t="array" ref="A457">IF(INDEX(CUEs!$A:$A,INT((ROW()-1)/7)*57+MOD(ROW()-1,7)+50)&lt;&gt;"","set "&amp;INDEX(CUEs!$A:$A,INT((ROW()-1)/7)*57+MOD(ROW()-1,7)+50)&amp;"=/ s "&amp;INDEX(CUEs!$B:$B,INT((ROW()-1)/7)*57+MOD(ROW()-1,7)+50),"")</f>
        <v/>
      </c>
    </row>
    <row r="458" spans="1:1" x14ac:dyDescent="0.25">
      <c r="A458" t="str" cm="1">
        <f t="array" ref="A458">IF(INDEX(CUEs!$A:$A,INT((ROW()-1)/7)*57+MOD(ROW()-1,7)+50)&lt;&gt;"","set "&amp;INDEX(CUEs!$A:$A,INT((ROW()-1)/7)*57+MOD(ROW()-1,7)+50)&amp;"=/ s "&amp;INDEX(CUEs!$B:$B,INT((ROW()-1)/7)*57+MOD(ROW()-1,7)+50),"")</f>
        <v/>
      </c>
    </row>
    <row r="459" spans="1:1" x14ac:dyDescent="0.25">
      <c r="A459" t="str" cm="1">
        <f t="array" ref="A459">IF(INDEX(CUEs!$A:$A,INT((ROW()-1)/7)*57+MOD(ROW()-1,7)+50)&lt;&gt;"","set "&amp;INDEX(CUEs!$A:$A,INT((ROW()-1)/7)*57+MOD(ROW()-1,7)+50)&amp;"=/ s "&amp;INDEX(CUEs!$B:$B,INT((ROW()-1)/7)*57+MOD(ROW()-1,7)+50),"")</f>
        <v/>
      </c>
    </row>
    <row r="460" spans="1:1" x14ac:dyDescent="0.25">
      <c r="A460" t="str" cm="1">
        <f t="array" ref="A460">IF(INDEX(CUEs!$A:$A,INT((ROW()-1)/7)*57+MOD(ROW()-1,7)+50)&lt;&gt;"","set "&amp;INDEX(CUEs!$A:$A,INT((ROW()-1)/7)*57+MOD(ROW()-1,7)+50)&amp;"=/ s "&amp;INDEX(CUEs!$B:$B,INT((ROW()-1)/7)*57+MOD(ROW()-1,7)+50),"")</f>
        <v/>
      </c>
    </row>
    <row r="461" spans="1:1" x14ac:dyDescent="0.25">
      <c r="A461" t="str" cm="1">
        <f t="array" ref="A461">IF(INDEX(CUEs!$A:$A,INT((ROW()-1)/7)*57+MOD(ROW()-1,7)+50)&lt;&gt;"","set "&amp;INDEX(CUEs!$A:$A,INT((ROW()-1)/7)*57+MOD(ROW()-1,7)+50)&amp;"=/ s "&amp;INDEX(CUEs!$B:$B,INT((ROW()-1)/7)*57+MOD(ROW()-1,7)+50),"")</f>
        <v/>
      </c>
    </row>
    <row r="462" spans="1:1" x14ac:dyDescent="0.25">
      <c r="A462" t="str" cm="1">
        <f t="array" ref="A462">IF(INDEX(CUEs!$A:$A,INT((ROW()-1)/7)*57+MOD(ROW()-1,7)+50)&lt;&gt;"","set "&amp;INDEX(CUEs!$A:$A,INT((ROW()-1)/7)*57+MOD(ROW()-1,7)+50)&amp;"=/ s "&amp;INDEX(CUEs!$B:$B,INT((ROW()-1)/7)*57+MOD(ROW()-1,7)+50),"")</f>
        <v/>
      </c>
    </row>
    <row r="463" spans="1:1" x14ac:dyDescent="0.25">
      <c r="A463" t="str" cm="1">
        <f t="array" ref="A463">IF(INDEX(CUEs!$A:$A,INT((ROW()-1)/7)*57+MOD(ROW()-1,7)+50)&lt;&gt;"","set "&amp;INDEX(CUEs!$A:$A,INT((ROW()-1)/7)*57+MOD(ROW()-1,7)+50)&amp;"=/ s "&amp;INDEX(CUEs!$B:$B,INT((ROW()-1)/7)*57+MOD(ROW()-1,7)+50),"")</f>
        <v/>
      </c>
    </row>
    <row r="464" spans="1:1" x14ac:dyDescent="0.25">
      <c r="A464" t="str" cm="1">
        <f t="array" ref="A464">IF(INDEX(CUEs!$A:$A,INT((ROW()-1)/7)*57+MOD(ROW()-1,7)+50)&lt;&gt;"","set "&amp;INDEX(CUEs!$A:$A,INT((ROW()-1)/7)*57+MOD(ROW()-1,7)+50)&amp;"=/ s "&amp;INDEX(CUEs!$B:$B,INT((ROW()-1)/7)*57+MOD(ROW()-1,7)+50),"")</f>
        <v/>
      </c>
    </row>
    <row r="465" spans="1:1" x14ac:dyDescent="0.25">
      <c r="A465" t="str" cm="1">
        <f t="array" ref="A465">IF(INDEX(CUEs!$A:$A,INT((ROW()-1)/7)*57+MOD(ROW()-1,7)+50)&lt;&gt;"","set "&amp;INDEX(CUEs!$A:$A,INT((ROW()-1)/7)*57+MOD(ROW()-1,7)+50)&amp;"=/ s "&amp;INDEX(CUEs!$B:$B,INT((ROW()-1)/7)*57+MOD(ROW()-1,7)+50),"")</f>
        <v/>
      </c>
    </row>
    <row r="466" spans="1:1" x14ac:dyDescent="0.25">
      <c r="A466" t="str" cm="1">
        <f t="array" ref="A466">IF(INDEX(CUEs!$A:$A,INT((ROW()-1)/7)*57+MOD(ROW()-1,7)+50)&lt;&gt;"","set "&amp;INDEX(CUEs!$A:$A,INT((ROW()-1)/7)*57+MOD(ROW()-1,7)+50)&amp;"=/ s "&amp;INDEX(CUEs!$B:$B,INT((ROW()-1)/7)*57+MOD(ROW()-1,7)+50),"")</f>
        <v/>
      </c>
    </row>
    <row r="467" spans="1:1" x14ac:dyDescent="0.25">
      <c r="A467" t="str" cm="1">
        <f t="array" ref="A467">IF(INDEX(CUEs!$A:$A,INT((ROW()-1)/7)*57+MOD(ROW()-1,7)+50)&lt;&gt;"","set "&amp;INDEX(CUEs!$A:$A,INT((ROW()-1)/7)*57+MOD(ROW()-1,7)+50)&amp;"=/ s "&amp;INDEX(CUEs!$B:$B,INT((ROW()-1)/7)*57+MOD(ROW()-1,7)+50),"")</f>
        <v/>
      </c>
    </row>
    <row r="468" spans="1:1" x14ac:dyDescent="0.25">
      <c r="A468" t="str" cm="1">
        <f t="array" ref="A468">IF(INDEX(CUEs!$A:$A,INT((ROW()-1)/7)*57+MOD(ROW()-1,7)+50)&lt;&gt;"","set "&amp;INDEX(CUEs!$A:$A,INT((ROW()-1)/7)*57+MOD(ROW()-1,7)+50)&amp;"=/ s "&amp;INDEX(CUEs!$B:$B,INT((ROW()-1)/7)*57+MOD(ROW()-1,7)+50),"")</f>
        <v/>
      </c>
    </row>
    <row r="469" spans="1:1" x14ac:dyDescent="0.25">
      <c r="A469" t="str" cm="1">
        <f t="array" ref="A469">IF(INDEX(CUEs!$A:$A,INT((ROW()-1)/7)*57+MOD(ROW()-1,7)+50)&lt;&gt;"","set "&amp;INDEX(CUEs!$A:$A,INT((ROW()-1)/7)*57+MOD(ROW()-1,7)+50)&amp;"=/ s "&amp;INDEX(CUEs!$B:$B,INT((ROW()-1)/7)*57+MOD(ROW()-1,7)+50),"")</f>
        <v/>
      </c>
    </row>
    <row r="470" spans="1:1" x14ac:dyDescent="0.25">
      <c r="A470" t="str" cm="1">
        <f t="array" ref="A470">IF(INDEX(CUEs!$A:$A,INT((ROW()-1)/7)*57+MOD(ROW()-1,7)+50)&lt;&gt;"","set "&amp;INDEX(CUEs!$A:$A,INT((ROW()-1)/7)*57+MOD(ROW()-1,7)+50)&amp;"=/ s "&amp;INDEX(CUEs!$B:$B,INT((ROW()-1)/7)*57+MOD(ROW()-1,7)+50),"")</f>
        <v/>
      </c>
    </row>
    <row r="471" spans="1:1" x14ac:dyDescent="0.25">
      <c r="A471" t="str" cm="1">
        <f t="array" ref="A471">IF(INDEX(CUEs!$A:$A,INT((ROW()-1)/7)*57+MOD(ROW()-1,7)+50)&lt;&gt;"","set "&amp;INDEX(CUEs!$A:$A,INT((ROW()-1)/7)*57+MOD(ROW()-1,7)+50)&amp;"=/ s "&amp;INDEX(CUEs!$B:$B,INT((ROW()-1)/7)*57+MOD(ROW()-1,7)+50),"")</f>
        <v/>
      </c>
    </row>
    <row r="472" spans="1:1" x14ac:dyDescent="0.25">
      <c r="A472" t="str" cm="1">
        <f t="array" ref="A472">IF(INDEX(CUEs!$A:$A,INT((ROW()-1)/7)*57+MOD(ROW()-1,7)+50)&lt;&gt;"","set "&amp;INDEX(CUEs!$A:$A,INT((ROW()-1)/7)*57+MOD(ROW()-1,7)+50)&amp;"=/ s "&amp;INDEX(CUEs!$B:$B,INT((ROW()-1)/7)*57+MOD(ROW()-1,7)+50),"")</f>
        <v/>
      </c>
    </row>
    <row r="473" spans="1:1" x14ac:dyDescent="0.25">
      <c r="A473" t="str" cm="1">
        <f t="array" ref="A473">IF(INDEX(CUEs!$A:$A,INT((ROW()-1)/7)*57+MOD(ROW()-1,7)+50)&lt;&gt;"","set "&amp;INDEX(CUEs!$A:$A,INT((ROW()-1)/7)*57+MOD(ROW()-1,7)+50)&amp;"=/ s "&amp;INDEX(CUEs!$B:$B,INT((ROW()-1)/7)*57+MOD(ROW()-1,7)+50),"")</f>
        <v/>
      </c>
    </row>
    <row r="474" spans="1:1" x14ac:dyDescent="0.25">
      <c r="A474" t="str" cm="1">
        <f t="array" ref="A474">IF(INDEX(CUEs!$A:$A,INT((ROW()-1)/7)*57+MOD(ROW()-1,7)+50)&lt;&gt;"","set "&amp;INDEX(CUEs!$A:$A,INT((ROW()-1)/7)*57+MOD(ROW()-1,7)+50)&amp;"=/ s "&amp;INDEX(CUEs!$B:$B,INT((ROW()-1)/7)*57+MOD(ROW()-1,7)+50),"")</f>
        <v/>
      </c>
    </row>
    <row r="475" spans="1:1" x14ac:dyDescent="0.25">
      <c r="A475" t="str" cm="1">
        <f t="array" ref="A475">IF(INDEX(CUEs!$A:$A,INT((ROW()-1)/7)*57+MOD(ROW()-1,7)+50)&lt;&gt;"","set "&amp;INDEX(CUEs!$A:$A,INT((ROW()-1)/7)*57+MOD(ROW()-1,7)+50)&amp;"=/ s "&amp;INDEX(CUEs!$B:$B,INT((ROW()-1)/7)*57+MOD(ROW()-1,7)+50),"")</f>
        <v/>
      </c>
    </row>
    <row r="476" spans="1:1" x14ac:dyDescent="0.25">
      <c r="A476" t="str" cm="1">
        <f t="array" ref="A476">IF(INDEX(CUEs!$A:$A,INT((ROW()-1)/7)*57+MOD(ROW()-1,7)+50)&lt;&gt;"","set "&amp;INDEX(CUEs!$A:$A,INT((ROW()-1)/7)*57+MOD(ROW()-1,7)+50)&amp;"=/ s "&amp;INDEX(CUEs!$B:$B,INT((ROW()-1)/7)*57+MOD(ROW()-1,7)+50),"")</f>
        <v/>
      </c>
    </row>
    <row r="477" spans="1:1" x14ac:dyDescent="0.25">
      <c r="A477" t="str" cm="1">
        <f t="array" ref="A477">IF(INDEX(CUEs!$A:$A,INT((ROW()-1)/7)*57+MOD(ROW()-1,7)+50)&lt;&gt;"","set "&amp;INDEX(CUEs!$A:$A,INT((ROW()-1)/7)*57+MOD(ROW()-1,7)+50)&amp;"=/ s "&amp;INDEX(CUEs!$B:$B,INT((ROW()-1)/7)*57+MOD(ROW()-1,7)+50),"")</f>
        <v/>
      </c>
    </row>
    <row r="478" spans="1:1" x14ac:dyDescent="0.25">
      <c r="A478" t="str" cm="1">
        <f t="array" ref="A478">IF(INDEX(CUEs!$A:$A,INT((ROW()-1)/7)*57+MOD(ROW()-1,7)+50)&lt;&gt;"","set "&amp;INDEX(CUEs!$A:$A,INT((ROW()-1)/7)*57+MOD(ROW()-1,7)+50)&amp;"=/ s "&amp;INDEX(CUEs!$B:$B,INT((ROW()-1)/7)*57+MOD(ROW()-1,7)+50),"")</f>
        <v/>
      </c>
    </row>
    <row r="479" spans="1:1" x14ac:dyDescent="0.25">
      <c r="A479" t="str" cm="1">
        <f t="array" ref="A479">IF(INDEX(CUEs!$A:$A,INT((ROW()-1)/7)*57+MOD(ROW()-1,7)+50)&lt;&gt;"","set "&amp;INDEX(CUEs!$A:$A,INT((ROW()-1)/7)*57+MOD(ROW()-1,7)+50)&amp;"=/ s "&amp;INDEX(CUEs!$B:$B,INT((ROW()-1)/7)*57+MOD(ROW()-1,7)+50),"")</f>
        <v/>
      </c>
    </row>
    <row r="480" spans="1:1" x14ac:dyDescent="0.25">
      <c r="A480" t="str" cm="1">
        <f t="array" ref="A480">IF(INDEX(CUEs!$A:$A,INT((ROW()-1)/7)*57+MOD(ROW()-1,7)+50)&lt;&gt;"","set "&amp;INDEX(CUEs!$A:$A,INT((ROW()-1)/7)*57+MOD(ROW()-1,7)+50)&amp;"=/ s "&amp;INDEX(CUEs!$B:$B,INT((ROW()-1)/7)*57+MOD(ROW()-1,7)+50),"")</f>
        <v/>
      </c>
    </row>
    <row r="481" spans="1:1" x14ac:dyDescent="0.25">
      <c r="A481" t="str" cm="1">
        <f t="array" ref="A481">IF(INDEX(CUEs!$A:$A,INT((ROW()-1)/7)*57+MOD(ROW()-1,7)+50)&lt;&gt;"","set "&amp;INDEX(CUEs!$A:$A,INT((ROW()-1)/7)*57+MOD(ROW()-1,7)+50)&amp;"=/ s "&amp;INDEX(CUEs!$B:$B,INT((ROW()-1)/7)*57+MOD(ROW()-1,7)+50),"")</f>
        <v/>
      </c>
    </row>
    <row r="482" spans="1:1" x14ac:dyDescent="0.25">
      <c r="A482" t="str" cm="1">
        <f t="array" ref="A482">IF(INDEX(CUEs!$A:$A,INT((ROW()-1)/7)*57+MOD(ROW()-1,7)+50)&lt;&gt;"","set "&amp;INDEX(CUEs!$A:$A,INT((ROW()-1)/7)*57+MOD(ROW()-1,7)+50)&amp;"=/ s "&amp;INDEX(CUEs!$B:$B,INT((ROW()-1)/7)*57+MOD(ROW()-1,7)+50),"")</f>
        <v/>
      </c>
    </row>
    <row r="483" spans="1:1" x14ac:dyDescent="0.25">
      <c r="A483" t="str" cm="1">
        <f t="array" ref="A483">IF(INDEX(CUEs!$A:$A,INT((ROW()-1)/7)*57+MOD(ROW()-1,7)+50)&lt;&gt;"","set "&amp;INDEX(CUEs!$A:$A,INT((ROW()-1)/7)*57+MOD(ROW()-1,7)+50)&amp;"=/ s "&amp;INDEX(CUEs!$B:$B,INT((ROW()-1)/7)*57+MOD(ROW()-1,7)+50),"")</f>
        <v/>
      </c>
    </row>
    <row r="484" spans="1:1" x14ac:dyDescent="0.25">
      <c r="A484" t="str" cm="1">
        <f t="array" ref="A484">IF(INDEX(CUEs!$A:$A,INT((ROW()-1)/7)*57+MOD(ROW()-1,7)+50)&lt;&gt;"","set "&amp;INDEX(CUEs!$A:$A,INT((ROW()-1)/7)*57+MOD(ROW()-1,7)+50)&amp;"=/ s "&amp;INDEX(CUEs!$B:$B,INT((ROW()-1)/7)*57+MOD(ROW()-1,7)+50),"")</f>
        <v/>
      </c>
    </row>
    <row r="485" spans="1:1" x14ac:dyDescent="0.25">
      <c r="A485" t="str" cm="1">
        <f t="array" ref="A485">IF(INDEX(CUEs!$A:$A,INT((ROW()-1)/7)*57+MOD(ROW()-1,7)+50)&lt;&gt;"","set "&amp;INDEX(CUEs!$A:$A,INT((ROW()-1)/7)*57+MOD(ROW()-1,7)+50)&amp;"=/ s "&amp;INDEX(CUEs!$B:$B,INT((ROW()-1)/7)*57+MOD(ROW()-1,7)+50),"")</f>
        <v/>
      </c>
    </row>
    <row r="486" spans="1:1" x14ac:dyDescent="0.25">
      <c r="A486" t="str" cm="1">
        <f t="array" ref="A486">IF(INDEX(CUEs!$A:$A,INT((ROW()-1)/7)*57+MOD(ROW()-1,7)+50)&lt;&gt;"","set "&amp;INDEX(CUEs!$A:$A,INT((ROW()-1)/7)*57+MOD(ROW()-1,7)+50)&amp;"=/ s "&amp;INDEX(CUEs!$B:$B,INT((ROW()-1)/7)*57+MOD(ROW()-1,7)+50),"")</f>
        <v/>
      </c>
    </row>
    <row r="487" spans="1:1" x14ac:dyDescent="0.25">
      <c r="A487" t="str" cm="1">
        <f t="array" ref="A487">IF(INDEX(CUEs!$A:$A,INT((ROW()-1)/7)*57+MOD(ROW()-1,7)+50)&lt;&gt;"","set "&amp;INDEX(CUEs!$A:$A,INT((ROW()-1)/7)*57+MOD(ROW()-1,7)+50)&amp;"=/ s "&amp;INDEX(CUEs!$B:$B,INT((ROW()-1)/7)*57+MOD(ROW()-1,7)+50),"")</f>
        <v/>
      </c>
    </row>
    <row r="488" spans="1:1" x14ac:dyDescent="0.25">
      <c r="A488" t="str" cm="1">
        <f t="array" ref="A488">IF(INDEX(CUEs!$A:$A,INT((ROW()-1)/7)*57+MOD(ROW()-1,7)+50)&lt;&gt;"","set "&amp;INDEX(CUEs!$A:$A,INT((ROW()-1)/7)*57+MOD(ROW()-1,7)+50)&amp;"=/ s "&amp;INDEX(CUEs!$B:$B,INT((ROW()-1)/7)*57+MOD(ROW()-1,7)+50),"")</f>
        <v/>
      </c>
    </row>
    <row r="489" spans="1:1" x14ac:dyDescent="0.25">
      <c r="A489" t="str" cm="1">
        <f t="array" ref="A489">IF(INDEX(CUEs!$A:$A,INT((ROW()-1)/7)*57+MOD(ROW()-1,7)+50)&lt;&gt;"","set "&amp;INDEX(CUEs!$A:$A,INT((ROW()-1)/7)*57+MOD(ROW()-1,7)+50)&amp;"=/ s "&amp;INDEX(CUEs!$B:$B,INT((ROW()-1)/7)*57+MOD(ROW()-1,7)+50),"")</f>
        <v/>
      </c>
    </row>
    <row r="490" spans="1:1" x14ac:dyDescent="0.25">
      <c r="A490" t="str" cm="1">
        <f t="array" ref="A490">IF(INDEX(CUEs!$A:$A,INT((ROW()-1)/7)*57+MOD(ROW()-1,7)+50)&lt;&gt;"","set "&amp;INDEX(CUEs!$A:$A,INT((ROW()-1)/7)*57+MOD(ROW()-1,7)+50)&amp;"=/ s "&amp;INDEX(CUEs!$B:$B,INT((ROW()-1)/7)*57+MOD(ROW()-1,7)+50),"")</f>
        <v/>
      </c>
    </row>
    <row r="491" spans="1:1" x14ac:dyDescent="0.25">
      <c r="A491" t="str" cm="1">
        <f t="array" ref="A491">IF(INDEX(CUEs!$A:$A,INT((ROW()-1)/7)*57+MOD(ROW()-1,7)+50)&lt;&gt;"","set "&amp;INDEX(CUEs!$A:$A,INT((ROW()-1)/7)*57+MOD(ROW()-1,7)+50)&amp;"=/ s "&amp;INDEX(CUEs!$B:$B,INT((ROW()-1)/7)*57+MOD(ROW()-1,7)+50),"")</f>
        <v/>
      </c>
    </row>
    <row r="492" spans="1:1" x14ac:dyDescent="0.25">
      <c r="A492" t="str" cm="1">
        <f t="array" ref="A492">IF(INDEX(CUEs!$A:$A,INT((ROW()-1)/7)*57+MOD(ROW()-1,7)+50)&lt;&gt;"","set "&amp;INDEX(CUEs!$A:$A,INT((ROW()-1)/7)*57+MOD(ROW()-1,7)+50)&amp;"=/ s "&amp;INDEX(CUEs!$B:$B,INT((ROW()-1)/7)*57+MOD(ROW()-1,7)+50),"")</f>
        <v/>
      </c>
    </row>
    <row r="493" spans="1:1" x14ac:dyDescent="0.25">
      <c r="A493" t="str" cm="1">
        <f t="array" ref="A493">IF(INDEX(CUEs!$A:$A,INT((ROW()-1)/7)*57+MOD(ROW()-1,7)+50)&lt;&gt;"","set "&amp;INDEX(CUEs!$A:$A,INT((ROW()-1)/7)*57+MOD(ROW()-1,7)+50)&amp;"=/ s "&amp;INDEX(CUEs!$B:$B,INT((ROW()-1)/7)*57+MOD(ROW()-1,7)+50),"")</f>
        <v/>
      </c>
    </row>
    <row r="494" spans="1:1" x14ac:dyDescent="0.25">
      <c r="A494" t="str" cm="1">
        <f t="array" ref="A494">IF(INDEX(CUEs!$A:$A,INT((ROW()-1)/7)*57+MOD(ROW()-1,7)+50)&lt;&gt;"","set "&amp;INDEX(CUEs!$A:$A,INT((ROW()-1)/7)*57+MOD(ROW()-1,7)+50)&amp;"=/ s "&amp;INDEX(CUEs!$B:$B,INT((ROW()-1)/7)*57+MOD(ROW()-1,7)+50),"")</f>
        <v/>
      </c>
    </row>
    <row r="495" spans="1:1" x14ac:dyDescent="0.25">
      <c r="A495" t="str" cm="1">
        <f t="array" ref="A495">IF(INDEX(CUEs!$A:$A,INT((ROW()-1)/7)*57+MOD(ROW()-1,7)+50)&lt;&gt;"","set "&amp;INDEX(CUEs!$A:$A,INT((ROW()-1)/7)*57+MOD(ROW()-1,7)+50)&amp;"=/ s "&amp;INDEX(CUEs!$B:$B,INT((ROW()-1)/7)*57+MOD(ROW()-1,7)+50),"")</f>
        <v/>
      </c>
    </row>
    <row r="496" spans="1:1" x14ac:dyDescent="0.25">
      <c r="A496" t="str" cm="1">
        <f t="array" ref="A496">IF(INDEX(CUEs!$A:$A,INT((ROW()-1)/7)*57+MOD(ROW()-1,7)+50)&lt;&gt;"","set "&amp;INDEX(CUEs!$A:$A,INT((ROW()-1)/7)*57+MOD(ROW()-1,7)+50)&amp;"=/ s "&amp;INDEX(CUEs!$B:$B,INT((ROW()-1)/7)*57+MOD(ROW()-1,7)+50),"")</f>
        <v/>
      </c>
    </row>
    <row r="497" spans="1:1" x14ac:dyDescent="0.25">
      <c r="A497" t="str" cm="1">
        <f t="array" ref="A497">IF(INDEX(CUEs!$A:$A,INT((ROW()-1)/7)*57+MOD(ROW()-1,7)+50)&lt;&gt;"","set "&amp;INDEX(CUEs!$A:$A,INT((ROW()-1)/7)*57+MOD(ROW()-1,7)+50)&amp;"=/ s "&amp;INDEX(CUEs!$B:$B,INT((ROW()-1)/7)*57+MOD(ROW()-1,7)+50),"")</f>
        <v/>
      </c>
    </row>
    <row r="498" spans="1:1" x14ac:dyDescent="0.25">
      <c r="A498" t="str" cm="1">
        <f t="array" ref="A498">IF(INDEX(CUEs!$A:$A,INT((ROW()-1)/7)*57+MOD(ROW()-1,7)+50)&lt;&gt;"","set "&amp;INDEX(CUEs!$A:$A,INT((ROW()-1)/7)*57+MOD(ROW()-1,7)+50)&amp;"=/ s "&amp;INDEX(CUEs!$B:$B,INT((ROW()-1)/7)*57+MOD(ROW()-1,7)+50),"")</f>
        <v/>
      </c>
    </row>
    <row r="499" spans="1:1" x14ac:dyDescent="0.25">
      <c r="A499" t="str" cm="1">
        <f t="array" ref="A499">IF(INDEX(CUEs!$A:$A,INT((ROW()-1)/7)*57+MOD(ROW()-1,7)+50)&lt;&gt;"","set "&amp;INDEX(CUEs!$A:$A,INT((ROW()-1)/7)*57+MOD(ROW()-1,7)+50)&amp;"=/ s "&amp;INDEX(CUEs!$B:$B,INT((ROW()-1)/7)*57+MOD(ROW()-1,7)+50),"")</f>
        <v/>
      </c>
    </row>
    <row r="500" spans="1:1" x14ac:dyDescent="0.25">
      <c r="A500" t="str" cm="1">
        <f t="array" ref="A500">IF(INDEX(CUEs!$A:$A,INT((ROW()-1)/7)*57+MOD(ROW()-1,7)+50)&lt;&gt;"","set "&amp;INDEX(CUEs!$A:$A,INT((ROW()-1)/7)*57+MOD(ROW()-1,7)+50)&amp;"=/ s "&amp;INDEX(CUEs!$B:$B,INT((ROW()-1)/7)*57+MOD(ROW()-1,7)+50),"")</f>
        <v/>
      </c>
    </row>
    <row r="501" spans="1:1" x14ac:dyDescent="0.25">
      <c r="A501" t="str" cm="1">
        <f t="array" ref="A501">IF(INDEX(CUEs!$A:$A,INT((ROW()-1)/7)*57+MOD(ROW()-1,7)+50)&lt;&gt;"","set "&amp;INDEX(CUEs!$A:$A,INT((ROW()-1)/7)*57+MOD(ROW()-1,7)+50)&amp;"=/ s "&amp;INDEX(CUEs!$B:$B,INT((ROW()-1)/7)*57+MOD(ROW()-1,7)+50),"")</f>
        <v/>
      </c>
    </row>
    <row r="502" spans="1:1" x14ac:dyDescent="0.25">
      <c r="A502" t="str" cm="1">
        <f t="array" ref="A502">IF(INDEX(CUEs!$A:$A,INT((ROW()-1)/7)*57+MOD(ROW()-1,7)+50)&lt;&gt;"","set "&amp;INDEX(CUEs!$A:$A,INT((ROW()-1)/7)*57+MOD(ROW()-1,7)+50)&amp;"=/ s "&amp;INDEX(CUEs!$B:$B,INT((ROW()-1)/7)*57+MOD(ROW()-1,7)+50),"")</f>
        <v/>
      </c>
    </row>
    <row r="503" spans="1:1" x14ac:dyDescent="0.25">
      <c r="A503" t="str" cm="1">
        <f t="array" ref="A503">IF(INDEX(CUEs!$A:$A,INT((ROW()-1)/7)*57+MOD(ROW()-1,7)+50)&lt;&gt;"","set "&amp;INDEX(CUEs!$A:$A,INT((ROW()-1)/7)*57+MOD(ROW()-1,7)+50)&amp;"=/ s "&amp;INDEX(CUEs!$B:$B,INT((ROW()-1)/7)*57+MOD(ROW()-1,7)+50),"")</f>
        <v/>
      </c>
    </row>
    <row r="504" spans="1:1" x14ac:dyDescent="0.25">
      <c r="A504" t="str" cm="1">
        <f t="array" ref="A504">IF(INDEX(CUEs!$A:$A,INT((ROW()-1)/7)*57+MOD(ROW()-1,7)+50)&lt;&gt;"","set "&amp;INDEX(CUEs!$A:$A,INT((ROW()-1)/7)*57+MOD(ROW()-1,7)+50)&amp;"=/ s "&amp;INDEX(CUEs!$B:$B,INT((ROW()-1)/7)*57+MOD(ROW()-1,7)+50),"")</f>
        <v/>
      </c>
    </row>
    <row r="505" spans="1:1" x14ac:dyDescent="0.25">
      <c r="A505" t="str" cm="1">
        <f t="array" ref="A505">IF(INDEX(CUEs!$A:$A,INT((ROW()-1)/7)*57+MOD(ROW()-1,7)+50)&lt;&gt;"","set "&amp;INDEX(CUEs!$A:$A,INT((ROW()-1)/7)*57+MOD(ROW()-1,7)+50)&amp;"=/ s "&amp;INDEX(CUEs!$B:$B,INT((ROW()-1)/7)*57+MOD(ROW()-1,7)+50),"")</f>
        <v/>
      </c>
    </row>
    <row r="506" spans="1:1" x14ac:dyDescent="0.25">
      <c r="A506" t="str" cm="1">
        <f t="array" ref="A506">IF(INDEX(CUEs!$A:$A,INT((ROW()-1)/7)*57+MOD(ROW()-1,7)+50)&lt;&gt;"","set "&amp;INDEX(CUEs!$A:$A,INT((ROW()-1)/7)*57+MOD(ROW()-1,7)+50)&amp;"=/ s "&amp;INDEX(CUEs!$B:$B,INT((ROW()-1)/7)*57+MOD(ROW()-1,7)+50),"")</f>
        <v/>
      </c>
    </row>
    <row r="507" spans="1:1" x14ac:dyDescent="0.25">
      <c r="A507" t="str" cm="1">
        <f t="array" ref="A507">IF(INDEX(CUEs!$A:$A,INT((ROW()-1)/7)*57+MOD(ROW()-1,7)+50)&lt;&gt;"","set "&amp;INDEX(CUEs!$A:$A,INT((ROW()-1)/7)*57+MOD(ROW()-1,7)+50)&amp;"=/ s "&amp;INDEX(CUEs!$B:$B,INT((ROW()-1)/7)*57+MOD(ROW()-1,7)+50),"")</f>
        <v/>
      </c>
    </row>
    <row r="508" spans="1:1" x14ac:dyDescent="0.25">
      <c r="A508" t="str" cm="1">
        <f t="array" ref="A508">IF(INDEX(CUEs!$A:$A,INT((ROW()-1)/7)*57+MOD(ROW()-1,7)+50)&lt;&gt;"","set "&amp;INDEX(CUEs!$A:$A,INT((ROW()-1)/7)*57+MOD(ROW()-1,7)+50)&amp;"=/ s "&amp;INDEX(CUEs!$B:$B,INT((ROW()-1)/7)*57+MOD(ROW()-1,7)+50),"")</f>
        <v/>
      </c>
    </row>
    <row r="509" spans="1:1" x14ac:dyDescent="0.25">
      <c r="A509" t="str" cm="1">
        <f t="array" ref="A509">IF(INDEX(CUEs!$A:$A,INT((ROW()-1)/7)*57+MOD(ROW()-1,7)+50)&lt;&gt;"","set "&amp;INDEX(CUEs!$A:$A,INT((ROW()-1)/7)*57+MOD(ROW()-1,7)+50)&amp;"=/ s "&amp;INDEX(CUEs!$B:$B,INT((ROW()-1)/7)*57+MOD(ROW()-1,7)+50),"")</f>
        <v/>
      </c>
    </row>
    <row r="510" spans="1:1" x14ac:dyDescent="0.25">
      <c r="A510" t="str" cm="1">
        <f t="array" ref="A510">IF(INDEX(CUEs!$A:$A,INT((ROW()-1)/7)*57+MOD(ROW()-1,7)+50)&lt;&gt;"","set "&amp;INDEX(CUEs!$A:$A,INT((ROW()-1)/7)*57+MOD(ROW()-1,7)+50)&amp;"=/ s "&amp;INDEX(CUEs!$B:$B,INT((ROW()-1)/7)*57+MOD(ROW()-1,7)+50),"")</f>
        <v/>
      </c>
    </row>
    <row r="511" spans="1:1" x14ac:dyDescent="0.25">
      <c r="A511" t="str" cm="1">
        <f t="array" ref="A511">IF(INDEX(CUEs!$A:$A,INT((ROW()-1)/7)*57+MOD(ROW()-1,7)+50)&lt;&gt;"","set "&amp;INDEX(CUEs!$A:$A,INT((ROW()-1)/7)*57+MOD(ROW()-1,7)+50)&amp;"=/ s "&amp;INDEX(CUEs!$B:$B,INT((ROW()-1)/7)*57+MOD(ROW()-1,7)+50),"")</f>
        <v/>
      </c>
    </row>
    <row r="512" spans="1:1" x14ac:dyDescent="0.25">
      <c r="A512" t="str" cm="1">
        <f t="array" ref="A512">IF(INDEX(CUEs!$A:$A,INT((ROW()-1)/7)*57+MOD(ROW()-1,7)+50)&lt;&gt;"","set "&amp;INDEX(CUEs!$A:$A,INT((ROW()-1)/7)*57+MOD(ROW()-1,7)+50)&amp;"=/ s "&amp;INDEX(CUEs!$B:$B,INT((ROW()-1)/7)*57+MOD(ROW()-1,7)+50),"")</f>
        <v/>
      </c>
    </row>
    <row r="513" spans="1:1" x14ac:dyDescent="0.25">
      <c r="A513" t="str" cm="1">
        <f t="array" ref="A513">IF(INDEX(CUEs!$A:$A,INT((ROW()-1)/7)*57+MOD(ROW()-1,7)+50)&lt;&gt;"","set "&amp;INDEX(CUEs!$A:$A,INT((ROW()-1)/7)*57+MOD(ROW()-1,7)+50)&amp;"=/ s "&amp;INDEX(CUEs!$B:$B,INT((ROW()-1)/7)*57+MOD(ROW()-1,7)+50),"")</f>
        <v/>
      </c>
    </row>
    <row r="514" spans="1:1" x14ac:dyDescent="0.25">
      <c r="A514" t="str" cm="1">
        <f t="array" ref="A514">IF(INDEX(CUEs!$A:$A,INT((ROW()-1)/7)*57+MOD(ROW()-1,7)+50)&lt;&gt;"","set "&amp;INDEX(CUEs!$A:$A,INT((ROW()-1)/7)*57+MOD(ROW()-1,7)+50)&amp;"=/ s "&amp;INDEX(CUEs!$B:$B,INT((ROW()-1)/7)*57+MOD(ROW()-1,7)+50),"")</f>
        <v/>
      </c>
    </row>
    <row r="515" spans="1:1" x14ac:dyDescent="0.25">
      <c r="A515" t="str" cm="1">
        <f t="array" ref="A515">IF(INDEX(CUEs!$A:$A,INT((ROW()-1)/7)*57+MOD(ROW()-1,7)+50)&lt;&gt;"","set "&amp;INDEX(CUEs!$A:$A,INT((ROW()-1)/7)*57+MOD(ROW()-1,7)+50)&amp;"=/ s "&amp;INDEX(CUEs!$B:$B,INT((ROW()-1)/7)*57+MOD(ROW()-1,7)+50),"")</f>
        <v/>
      </c>
    </row>
    <row r="516" spans="1:1" x14ac:dyDescent="0.25">
      <c r="A516" t="str" cm="1">
        <f t="array" ref="A516">IF(INDEX(CUEs!$A:$A,INT((ROW()-1)/7)*57+MOD(ROW()-1,7)+50)&lt;&gt;"","set "&amp;INDEX(CUEs!$A:$A,INT((ROW()-1)/7)*57+MOD(ROW()-1,7)+50)&amp;"=/ s "&amp;INDEX(CUEs!$B:$B,INT((ROW()-1)/7)*57+MOD(ROW()-1,7)+50),"")</f>
        <v/>
      </c>
    </row>
    <row r="517" spans="1:1" x14ac:dyDescent="0.25">
      <c r="A517" t="str" cm="1">
        <f t="array" ref="A517">IF(INDEX(CUEs!$A:$A,INT((ROW()-1)/7)*57+MOD(ROW()-1,7)+50)&lt;&gt;"","set "&amp;INDEX(CUEs!$A:$A,INT((ROW()-1)/7)*57+MOD(ROW()-1,7)+50)&amp;"=/ s "&amp;INDEX(CUEs!$B:$B,INT((ROW()-1)/7)*57+MOD(ROW()-1,7)+50),"")</f>
        <v/>
      </c>
    </row>
    <row r="518" spans="1:1" x14ac:dyDescent="0.25">
      <c r="A518" t="str" cm="1">
        <f t="array" ref="A518">IF(INDEX(CUEs!$A:$A,INT((ROW()-1)/7)*57+MOD(ROW()-1,7)+50)&lt;&gt;"","set "&amp;INDEX(CUEs!$A:$A,INT((ROW()-1)/7)*57+MOD(ROW()-1,7)+50)&amp;"=/ s "&amp;INDEX(CUEs!$B:$B,INT((ROW()-1)/7)*57+MOD(ROW()-1,7)+50),"")</f>
        <v/>
      </c>
    </row>
    <row r="519" spans="1:1" x14ac:dyDescent="0.25">
      <c r="A519" t="str" cm="1">
        <f t="array" ref="A519">IF(INDEX(CUEs!$A:$A,INT((ROW()-1)/7)*57+MOD(ROW()-1,7)+50)&lt;&gt;"","set "&amp;INDEX(CUEs!$A:$A,INT((ROW()-1)/7)*57+MOD(ROW()-1,7)+50)&amp;"=/ s "&amp;INDEX(CUEs!$B:$B,INT((ROW()-1)/7)*57+MOD(ROW()-1,7)+50),"")</f>
        <v/>
      </c>
    </row>
    <row r="520" spans="1:1" x14ac:dyDescent="0.25">
      <c r="A520" t="str" cm="1">
        <f t="array" ref="A520">IF(INDEX(CUEs!$A:$A,INT((ROW()-1)/7)*57+MOD(ROW()-1,7)+50)&lt;&gt;"","set "&amp;INDEX(CUEs!$A:$A,INT((ROW()-1)/7)*57+MOD(ROW()-1,7)+50)&amp;"=/ s "&amp;INDEX(CUEs!$B:$B,INT((ROW()-1)/7)*57+MOD(ROW()-1,7)+50),"")</f>
        <v/>
      </c>
    </row>
    <row r="521" spans="1:1" x14ac:dyDescent="0.25">
      <c r="A521" t="str" cm="1">
        <f t="array" ref="A521">IF(INDEX(CUEs!$A:$A,INT((ROW()-1)/7)*57+MOD(ROW()-1,7)+50)&lt;&gt;"","set "&amp;INDEX(CUEs!$A:$A,INT((ROW()-1)/7)*57+MOD(ROW()-1,7)+50)&amp;"=/ s "&amp;INDEX(CUEs!$B:$B,INT((ROW()-1)/7)*57+MOD(ROW()-1,7)+50),"")</f>
        <v/>
      </c>
    </row>
    <row r="522" spans="1:1" x14ac:dyDescent="0.25">
      <c r="A522" t="str" cm="1">
        <f t="array" ref="A522">IF(INDEX(CUEs!$A:$A,INT((ROW()-1)/7)*57+MOD(ROW()-1,7)+50)&lt;&gt;"","set "&amp;INDEX(CUEs!$A:$A,INT((ROW()-1)/7)*57+MOD(ROW()-1,7)+50)&amp;"=/ s "&amp;INDEX(CUEs!$B:$B,INT((ROW()-1)/7)*57+MOD(ROW()-1,7)+50),"")</f>
        <v/>
      </c>
    </row>
    <row r="523" spans="1:1" x14ac:dyDescent="0.25">
      <c r="A523" t="str" cm="1">
        <f t="array" ref="A523">IF(INDEX(CUEs!$A:$A,INT((ROW()-1)/7)*57+MOD(ROW()-1,7)+50)&lt;&gt;"","set "&amp;INDEX(CUEs!$A:$A,INT((ROW()-1)/7)*57+MOD(ROW()-1,7)+50)&amp;"=/ s "&amp;INDEX(CUEs!$B:$B,INT((ROW()-1)/7)*57+MOD(ROW()-1,7)+50),"")</f>
        <v/>
      </c>
    </row>
    <row r="524" spans="1:1" x14ac:dyDescent="0.25">
      <c r="A524" t="str" cm="1">
        <f t="array" ref="A524">IF(INDEX(CUEs!$A:$A,INT((ROW()-1)/7)*57+MOD(ROW()-1,7)+50)&lt;&gt;"","set "&amp;INDEX(CUEs!$A:$A,INT((ROW()-1)/7)*57+MOD(ROW()-1,7)+50)&amp;"=/ s "&amp;INDEX(CUEs!$B:$B,INT((ROW()-1)/7)*57+MOD(ROW()-1,7)+50),"")</f>
        <v/>
      </c>
    </row>
    <row r="525" spans="1:1" x14ac:dyDescent="0.25">
      <c r="A525" t="str" cm="1">
        <f t="array" ref="A525">IF(INDEX(CUEs!$A:$A,INT((ROW()-1)/7)*57+MOD(ROW()-1,7)+50)&lt;&gt;"","set "&amp;INDEX(CUEs!$A:$A,INT((ROW()-1)/7)*57+MOD(ROW()-1,7)+50)&amp;"=/ s "&amp;INDEX(CUEs!$B:$B,INT((ROW()-1)/7)*57+MOD(ROW()-1,7)+50),"")</f>
        <v/>
      </c>
    </row>
    <row r="526" spans="1:1" x14ac:dyDescent="0.25">
      <c r="A526" t="str" cm="1">
        <f t="array" ref="A526">IF(INDEX(CUEs!$A:$A,INT((ROW()-1)/7)*57+MOD(ROW()-1,7)+50)&lt;&gt;"","set "&amp;INDEX(CUEs!$A:$A,INT((ROW()-1)/7)*57+MOD(ROW()-1,7)+50)&amp;"=/ s "&amp;INDEX(CUEs!$B:$B,INT((ROW()-1)/7)*57+MOD(ROW()-1,7)+50),"")</f>
        <v/>
      </c>
    </row>
    <row r="527" spans="1:1" x14ac:dyDescent="0.25">
      <c r="A527" t="str" cm="1">
        <f t="array" ref="A527">IF(INDEX(CUEs!$A:$A,INT((ROW()-1)/7)*57+MOD(ROW()-1,7)+50)&lt;&gt;"","set "&amp;INDEX(CUEs!$A:$A,INT((ROW()-1)/7)*57+MOD(ROW()-1,7)+50)&amp;"=/ s "&amp;INDEX(CUEs!$B:$B,INT((ROW()-1)/7)*57+MOD(ROW()-1,7)+50),"")</f>
        <v/>
      </c>
    </row>
    <row r="528" spans="1:1" x14ac:dyDescent="0.25">
      <c r="A528" t="str" cm="1">
        <f t="array" ref="A528">IF(INDEX(CUEs!$A:$A,INT((ROW()-1)/7)*57+MOD(ROW()-1,7)+50)&lt;&gt;"","set "&amp;INDEX(CUEs!$A:$A,INT((ROW()-1)/7)*57+MOD(ROW()-1,7)+50)&amp;"=/ s "&amp;INDEX(CUEs!$B:$B,INT((ROW()-1)/7)*57+MOD(ROW()-1,7)+50),"")</f>
        <v/>
      </c>
    </row>
    <row r="529" spans="1:1" x14ac:dyDescent="0.25">
      <c r="A529" t="str" cm="1">
        <f t="array" ref="A529">IF(INDEX(CUEs!$A:$A,INT((ROW()-1)/7)*57+MOD(ROW()-1,7)+50)&lt;&gt;"","set "&amp;INDEX(CUEs!$A:$A,INT((ROW()-1)/7)*57+MOD(ROW()-1,7)+50)&amp;"=/ s "&amp;INDEX(CUEs!$B:$B,INT((ROW()-1)/7)*57+MOD(ROW()-1,7)+50),"")</f>
        <v/>
      </c>
    </row>
    <row r="530" spans="1:1" x14ac:dyDescent="0.25">
      <c r="A530" t="str" cm="1">
        <f t="array" ref="A530">IF(INDEX(CUEs!$A:$A,INT((ROW()-1)/7)*57+MOD(ROW()-1,7)+50)&lt;&gt;"","set "&amp;INDEX(CUEs!$A:$A,INT((ROW()-1)/7)*57+MOD(ROW()-1,7)+50)&amp;"=/ s "&amp;INDEX(CUEs!$B:$B,INT((ROW()-1)/7)*57+MOD(ROW()-1,7)+50),"")</f>
        <v/>
      </c>
    </row>
    <row r="531" spans="1:1" x14ac:dyDescent="0.25">
      <c r="A531" t="str" cm="1">
        <f t="array" ref="A531">IF(INDEX(CUEs!$A:$A,INT((ROW()-1)/7)*57+MOD(ROW()-1,7)+50)&lt;&gt;"","set "&amp;INDEX(CUEs!$A:$A,INT((ROW()-1)/7)*57+MOD(ROW()-1,7)+50)&amp;"=/ s "&amp;INDEX(CUEs!$B:$B,INT((ROW()-1)/7)*57+MOD(ROW()-1,7)+50),"")</f>
        <v/>
      </c>
    </row>
    <row r="532" spans="1:1" x14ac:dyDescent="0.25">
      <c r="A532" t="str" cm="1">
        <f t="array" ref="A532">IF(INDEX(CUEs!$A:$A,INT((ROW()-1)/7)*57+MOD(ROW()-1,7)+50)&lt;&gt;"","set "&amp;INDEX(CUEs!$A:$A,INT((ROW()-1)/7)*57+MOD(ROW()-1,7)+50)&amp;"=/ s "&amp;INDEX(CUEs!$B:$B,INT((ROW()-1)/7)*57+MOD(ROW()-1,7)+50),"")</f>
        <v/>
      </c>
    </row>
    <row r="533" spans="1:1" x14ac:dyDescent="0.25">
      <c r="A533" t="str" cm="1">
        <f t="array" ref="A533">IF(INDEX(CUEs!$A:$A,INT((ROW()-1)/7)*57+MOD(ROW()-1,7)+50)&lt;&gt;"","set "&amp;INDEX(CUEs!$A:$A,INT((ROW()-1)/7)*57+MOD(ROW()-1,7)+50)&amp;"=/ s "&amp;INDEX(CUEs!$B:$B,INT((ROW()-1)/7)*57+MOD(ROW()-1,7)+50),"")</f>
        <v/>
      </c>
    </row>
    <row r="534" spans="1:1" x14ac:dyDescent="0.25">
      <c r="A534" t="str" cm="1">
        <f t="array" ref="A534">IF(INDEX(CUEs!$A:$A,INT((ROW()-1)/7)*57+MOD(ROW()-1,7)+50)&lt;&gt;"","set "&amp;INDEX(CUEs!$A:$A,INT((ROW()-1)/7)*57+MOD(ROW()-1,7)+50)&amp;"=/ s "&amp;INDEX(CUEs!$B:$B,INT((ROW()-1)/7)*57+MOD(ROW()-1,7)+50),"")</f>
        <v/>
      </c>
    </row>
    <row r="535" spans="1:1" x14ac:dyDescent="0.25">
      <c r="A535" t="str" cm="1">
        <f t="array" ref="A535">IF(INDEX(CUEs!$A:$A,INT((ROW()-1)/7)*57+MOD(ROW()-1,7)+50)&lt;&gt;"","set "&amp;INDEX(CUEs!$A:$A,INT((ROW()-1)/7)*57+MOD(ROW()-1,7)+50)&amp;"=/ s "&amp;INDEX(CUEs!$B:$B,INT((ROW()-1)/7)*57+MOD(ROW()-1,7)+50),"")</f>
        <v/>
      </c>
    </row>
    <row r="536" spans="1:1" x14ac:dyDescent="0.25">
      <c r="A536" t="str" cm="1">
        <f t="array" ref="A536">IF(INDEX(CUEs!$A:$A,INT((ROW()-1)/7)*57+MOD(ROW()-1,7)+50)&lt;&gt;"","set "&amp;INDEX(CUEs!$A:$A,INT((ROW()-1)/7)*57+MOD(ROW()-1,7)+50)&amp;"=/ s "&amp;INDEX(CUEs!$B:$B,INT((ROW()-1)/7)*57+MOD(ROW()-1,7)+50),"")</f>
        <v/>
      </c>
    </row>
    <row r="537" spans="1:1" x14ac:dyDescent="0.25">
      <c r="A537" t="str" cm="1">
        <f t="array" ref="A537">IF(INDEX(CUEs!$A:$A,INT((ROW()-1)/7)*57+MOD(ROW()-1,7)+50)&lt;&gt;"","set "&amp;INDEX(CUEs!$A:$A,INT((ROW()-1)/7)*57+MOD(ROW()-1,7)+50)&amp;"=/ s "&amp;INDEX(CUEs!$B:$B,INT((ROW()-1)/7)*57+MOD(ROW()-1,7)+50),"")</f>
        <v/>
      </c>
    </row>
    <row r="538" spans="1:1" x14ac:dyDescent="0.25">
      <c r="A538" t="str" cm="1">
        <f t="array" ref="A538">IF(INDEX(CUEs!$A:$A,INT((ROW()-1)/7)*57+MOD(ROW()-1,7)+50)&lt;&gt;"","set "&amp;INDEX(CUEs!$A:$A,INT((ROW()-1)/7)*57+MOD(ROW()-1,7)+50)&amp;"=/ s "&amp;INDEX(CUEs!$B:$B,INT((ROW()-1)/7)*57+MOD(ROW()-1,7)+50),"")</f>
        <v/>
      </c>
    </row>
    <row r="539" spans="1:1" x14ac:dyDescent="0.25">
      <c r="A539" t="str" cm="1">
        <f t="array" ref="A539">IF(INDEX(CUEs!$A:$A,INT((ROW()-1)/7)*57+MOD(ROW()-1,7)+50)&lt;&gt;"","set "&amp;INDEX(CUEs!$A:$A,INT((ROW()-1)/7)*57+MOD(ROW()-1,7)+50)&amp;"=/ s "&amp;INDEX(CUEs!$B:$B,INT((ROW()-1)/7)*57+MOD(ROW()-1,7)+50),"")</f>
        <v/>
      </c>
    </row>
    <row r="540" spans="1:1" x14ac:dyDescent="0.25">
      <c r="A540" t="str" cm="1">
        <f t="array" ref="A540">IF(INDEX(CUEs!$A:$A,INT((ROW()-1)/7)*57+MOD(ROW()-1,7)+50)&lt;&gt;"","set "&amp;INDEX(CUEs!$A:$A,INT((ROW()-1)/7)*57+MOD(ROW()-1,7)+50)&amp;"=/ s "&amp;INDEX(CUEs!$B:$B,INT((ROW()-1)/7)*57+MOD(ROW()-1,7)+50),"")</f>
        <v/>
      </c>
    </row>
    <row r="541" spans="1:1" x14ac:dyDescent="0.25">
      <c r="A541" t="str" cm="1">
        <f t="array" ref="A541">IF(INDEX(CUEs!$A:$A,INT((ROW()-1)/7)*57+MOD(ROW()-1,7)+50)&lt;&gt;"","set "&amp;INDEX(CUEs!$A:$A,INT((ROW()-1)/7)*57+MOD(ROW()-1,7)+50)&amp;"=/ s "&amp;INDEX(CUEs!$B:$B,INT((ROW()-1)/7)*57+MOD(ROW()-1,7)+50),"")</f>
        <v/>
      </c>
    </row>
    <row r="542" spans="1:1" x14ac:dyDescent="0.25">
      <c r="A542" t="str" cm="1">
        <f t="array" ref="A542">IF(INDEX(CUEs!$A:$A,INT((ROW()-1)/7)*57+MOD(ROW()-1,7)+50)&lt;&gt;"","set "&amp;INDEX(CUEs!$A:$A,INT((ROW()-1)/7)*57+MOD(ROW()-1,7)+50)&amp;"=/ s "&amp;INDEX(CUEs!$B:$B,INT((ROW()-1)/7)*57+MOD(ROW()-1,7)+50),"")</f>
        <v/>
      </c>
    </row>
    <row r="543" spans="1:1" x14ac:dyDescent="0.25">
      <c r="A543" t="str" cm="1">
        <f t="array" ref="A543">IF(INDEX(CUEs!$A:$A,INT((ROW()-1)/7)*57+MOD(ROW()-1,7)+50)&lt;&gt;"","set "&amp;INDEX(CUEs!$A:$A,INT((ROW()-1)/7)*57+MOD(ROW()-1,7)+50)&amp;"=/ s "&amp;INDEX(CUEs!$B:$B,INT((ROW()-1)/7)*57+MOD(ROW()-1,7)+50),"")</f>
        <v/>
      </c>
    </row>
    <row r="544" spans="1:1" x14ac:dyDescent="0.25">
      <c r="A544" t="str" cm="1">
        <f t="array" ref="A544">IF(INDEX(CUEs!$A:$A,INT((ROW()-1)/7)*57+MOD(ROW()-1,7)+50)&lt;&gt;"","set "&amp;INDEX(CUEs!$A:$A,INT((ROW()-1)/7)*57+MOD(ROW()-1,7)+50)&amp;"=/ s "&amp;INDEX(CUEs!$B:$B,INT((ROW()-1)/7)*57+MOD(ROW()-1,7)+50),"")</f>
        <v/>
      </c>
    </row>
    <row r="545" spans="1:1" x14ac:dyDescent="0.25">
      <c r="A545" t="str" cm="1">
        <f t="array" ref="A545">IF(INDEX(CUEs!$A:$A,INT((ROW()-1)/7)*57+MOD(ROW()-1,7)+50)&lt;&gt;"","set "&amp;INDEX(CUEs!$A:$A,INT((ROW()-1)/7)*57+MOD(ROW()-1,7)+50)&amp;"=/ s "&amp;INDEX(CUEs!$B:$B,INT((ROW()-1)/7)*57+MOD(ROW()-1,7)+50),"")</f>
        <v/>
      </c>
    </row>
    <row r="546" spans="1:1" x14ac:dyDescent="0.25">
      <c r="A546" t="str" cm="1">
        <f t="array" ref="A546">IF(INDEX(CUEs!$A:$A,INT((ROW()-1)/7)*57+MOD(ROW()-1,7)+50)&lt;&gt;"","set "&amp;INDEX(CUEs!$A:$A,INT((ROW()-1)/7)*57+MOD(ROW()-1,7)+50)&amp;"=/ s "&amp;INDEX(CUEs!$B:$B,INT((ROW()-1)/7)*57+MOD(ROW()-1,7)+50),"")</f>
        <v/>
      </c>
    </row>
    <row r="547" spans="1:1" x14ac:dyDescent="0.25">
      <c r="A547" t="str" cm="1">
        <f t="array" ref="A547">IF(INDEX(CUEs!$A:$A,INT((ROW()-1)/7)*57+MOD(ROW()-1,7)+50)&lt;&gt;"","set "&amp;INDEX(CUEs!$A:$A,INT((ROW()-1)/7)*57+MOD(ROW()-1,7)+50)&amp;"=/ s "&amp;INDEX(CUEs!$B:$B,INT((ROW()-1)/7)*57+MOD(ROW()-1,7)+50),"")</f>
        <v/>
      </c>
    </row>
    <row r="548" spans="1:1" x14ac:dyDescent="0.25">
      <c r="A548" t="str" cm="1">
        <f t="array" ref="A548">IF(INDEX(CUEs!$A:$A,INT((ROW()-1)/7)*57+MOD(ROW()-1,7)+50)&lt;&gt;"","set "&amp;INDEX(CUEs!$A:$A,INT((ROW()-1)/7)*57+MOD(ROW()-1,7)+50)&amp;"=/ s "&amp;INDEX(CUEs!$B:$B,INT((ROW()-1)/7)*57+MOD(ROW()-1,7)+50),"")</f>
        <v/>
      </c>
    </row>
    <row r="549" spans="1:1" x14ac:dyDescent="0.25">
      <c r="A549" t="str" cm="1">
        <f t="array" ref="A549">IF(INDEX(CUEs!$A:$A,INT((ROW()-1)/7)*57+MOD(ROW()-1,7)+50)&lt;&gt;"","set "&amp;INDEX(CUEs!$A:$A,INT((ROW()-1)/7)*57+MOD(ROW()-1,7)+50)&amp;"=/ s "&amp;INDEX(CUEs!$B:$B,INT((ROW()-1)/7)*57+MOD(ROW()-1,7)+50),"")</f>
        <v/>
      </c>
    </row>
    <row r="550" spans="1:1" x14ac:dyDescent="0.25">
      <c r="A550" t="str" cm="1">
        <f t="array" ref="A550">IF(INDEX(CUEs!$A:$A,INT((ROW()-1)/7)*57+MOD(ROW()-1,7)+50)&lt;&gt;"","set "&amp;INDEX(CUEs!$A:$A,INT((ROW()-1)/7)*57+MOD(ROW()-1,7)+50)&amp;"=/ s "&amp;INDEX(CUEs!$B:$B,INT((ROW()-1)/7)*57+MOD(ROW()-1,7)+50),"")</f>
        <v/>
      </c>
    </row>
    <row r="551" spans="1:1" x14ac:dyDescent="0.25">
      <c r="A551" t="str" cm="1">
        <f t="array" ref="A551">IF(INDEX(CUEs!$A:$A,INT((ROW()-1)/7)*57+MOD(ROW()-1,7)+50)&lt;&gt;"","set "&amp;INDEX(CUEs!$A:$A,INT((ROW()-1)/7)*57+MOD(ROW()-1,7)+50)&amp;"=/ s "&amp;INDEX(CUEs!$B:$B,INT((ROW()-1)/7)*57+MOD(ROW()-1,7)+50),"")</f>
        <v/>
      </c>
    </row>
    <row r="552" spans="1:1" x14ac:dyDescent="0.25">
      <c r="A552" t="str" cm="1">
        <f t="array" ref="A552">IF(INDEX(CUEs!$A:$A,INT((ROW()-1)/7)*57+MOD(ROW()-1,7)+50)&lt;&gt;"","set "&amp;INDEX(CUEs!$A:$A,INT((ROW()-1)/7)*57+MOD(ROW()-1,7)+50)&amp;"=/ s "&amp;INDEX(CUEs!$B:$B,INT((ROW()-1)/7)*57+MOD(ROW()-1,7)+50),"")</f>
        <v/>
      </c>
    </row>
    <row r="553" spans="1:1" x14ac:dyDescent="0.25">
      <c r="A553" t="str" cm="1">
        <f t="array" ref="A553">IF(INDEX(CUEs!$A:$A,INT((ROW()-1)/7)*57+MOD(ROW()-1,7)+50)&lt;&gt;"","set "&amp;INDEX(CUEs!$A:$A,INT((ROW()-1)/7)*57+MOD(ROW()-1,7)+50)&amp;"=/ s "&amp;INDEX(CUEs!$B:$B,INT((ROW()-1)/7)*57+MOD(ROW()-1,7)+50),"")</f>
        <v/>
      </c>
    </row>
    <row r="554" spans="1:1" x14ac:dyDescent="0.25">
      <c r="A554" t="str" cm="1">
        <f t="array" ref="A554">IF(INDEX(CUEs!$A:$A,INT((ROW()-1)/7)*57+MOD(ROW()-1,7)+50)&lt;&gt;"","set "&amp;INDEX(CUEs!$A:$A,INT((ROW()-1)/7)*57+MOD(ROW()-1,7)+50)&amp;"=/ s "&amp;INDEX(CUEs!$B:$B,INT((ROW()-1)/7)*57+MOD(ROW()-1,7)+50),"")</f>
        <v/>
      </c>
    </row>
    <row r="555" spans="1:1" x14ac:dyDescent="0.25">
      <c r="A555" t="str" cm="1">
        <f t="array" ref="A555">IF(INDEX(CUEs!$A:$A,INT((ROW()-1)/7)*57+MOD(ROW()-1,7)+50)&lt;&gt;"","set "&amp;INDEX(CUEs!$A:$A,INT((ROW()-1)/7)*57+MOD(ROW()-1,7)+50)&amp;"=/ s "&amp;INDEX(CUEs!$B:$B,INT((ROW()-1)/7)*57+MOD(ROW()-1,7)+50),"")</f>
        <v/>
      </c>
    </row>
    <row r="556" spans="1:1" x14ac:dyDescent="0.25">
      <c r="A556" t="str" cm="1">
        <f t="array" ref="A556">IF(INDEX(CUEs!$A:$A,INT((ROW()-1)/7)*57+MOD(ROW()-1,7)+50)&lt;&gt;"","set "&amp;INDEX(CUEs!$A:$A,INT((ROW()-1)/7)*57+MOD(ROW()-1,7)+50)&amp;"=/ s "&amp;INDEX(CUEs!$B:$B,INT((ROW()-1)/7)*57+MOD(ROW()-1,7)+50),"")</f>
        <v/>
      </c>
    </row>
    <row r="557" spans="1:1" x14ac:dyDescent="0.25">
      <c r="A557" t="str" cm="1">
        <f t="array" ref="A557">IF(INDEX(CUEs!$A:$A,INT((ROW()-1)/7)*57+MOD(ROW()-1,7)+50)&lt;&gt;"","set "&amp;INDEX(CUEs!$A:$A,INT((ROW()-1)/7)*57+MOD(ROW()-1,7)+50)&amp;"=/ s "&amp;INDEX(CUEs!$B:$B,INT((ROW()-1)/7)*57+MOD(ROW()-1,7)+50),"")</f>
        <v/>
      </c>
    </row>
    <row r="558" spans="1:1" x14ac:dyDescent="0.25">
      <c r="A558" t="str" cm="1">
        <f t="array" ref="A558">IF(INDEX(CUEs!$A:$A,INT((ROW()-1)/7)*57+MOD(ROW()-1,7)+50)&lt;&gt;"","set "&amp;INDEX(CUEs!$A:$A,INT((ROW()-1)/7)*57+MOD(ROW()-1,7)+50)&amp;"=/ s "&amp;INDEX(CUEs!$B:$B,INT((ROW()-1)/7)*57+MOD(ROW()-1,7)+50),"")</f>
        <v/>
      </c>
    </row>
    <row r="559" spans="1:1" x14ac:dyDescent="0.25">
      <c r="A559" t="str" cm="1">
        <f t="array" ref="A559">IF(INDEX(CUEs!$A:$A,INT((ROW()-1)/7)*57+MOD(ROW()-1,7)+50)&lt;&gt;"","set "&amp;INDEX(CUEs!$A:$A,INT((ROW()-1)/7)*57+MOD(ROW()-1,7)+50)&amp;"=/ s "&amp;INDEX(CUEs!$B:$B,INT((ROW()-1)/7)*57+MOD(ROW()-1,7)+50),"")</f>
        <v/>
      </c>
    </row>
    <row r="560" spans="1:1" x14ac:dyDescent="0.25">
      <c r="A560" t="str" cm="1">
        <f t="array" ref="A560">IF(INDEX(CUEs!$A:$A,INT((ROW()-1)/7)*57+MOD(ROW()-1,7)+50)&lt;&gt;"","set "&amp;INDEX(CUEs!$A:$A,INT((ROW()-1)/7)*57+MOD(ROW()-1,7)+50)&amp;"=/ s "&amp;INDEX(CUEs!$B:$B,INT((ROW()-1)/7)*57+MOD(ROW()-1,7)+50),"")</f>
        <v/>
      </c>
    </row>
    <row r="561" spans="1:1" x14ac:dyDescent="0.25">
      <c r="A561" t="str" cm="1">
        <f t="array" ref="A561">IF(INDEX(CUEs!$A:$A,INT((ROW()-1)/7)*57+MOD(ROW()-1,7)+50)&lt;&gt;"","set "&amp;INDEX(CUEs!$A:$A,INT((ROW()-1)/7)*57+MOD(ROW()-1,7)+50)&amp;"=/ s "&amp;INDEX(CUEs!$B:$B,INT((ROW()-1)/7)*57+MOD(ROW()-1,7)+50),"")</f>
        <v/>
      </c>
    </row>
    <row r="562" spans="1:1" x14ac:dyDescent="0.25">
      <c r="A562" t="str" cm="1">
        <f t="array" ref="A562">IF(INDEX(CUEs!$A:$A,INT((ROW()-1)/7)*57+MOD(ROW()-1,7)+50)&lt;&gt;"","set "&amp;INDEX(CUEs!$A:$A,INT((ROW()-1)/7)*57+MOD(ROW()-1,7)+50)&amp;"=/ s "&amp;INDEX(CUEs!$B:$B,INT((ROW()-1)/7)*57+MOD(ROW()-1,7)+50),"")</f>
        <v/>
      </c>
    </row>
    <row r="563" spans="1:1" x14ac:dyDescent="0.25">
      <c r="A563" t="str" cm="1">
        <f t="array" ref="A563">IF(INDEX(CUEs!$A:$A,INT((ROW()-1)/7)*57+MOD(ROW()-1,7)+50)&lt;&gt;"","set "&amp;INDEX(CUEs!$A:$A,INT((ROW()-1)/7)*57+MOD(ROW()-1,7)+50)&amp;"=/ s "&amp;INDEX(CUEs!$B:$B,INT((ROW()-1)/7)*57+MOD(ROW()-1,7)+50),"")</f>
        <v/>
      </c>
    </row>
    <row r="564" spans="1:1" x14ac:dyDescent="0.25">
      <c r="A564" t="str" cm="1">
        <f t="array" ref="A564">IF(INDEX(CUEs!$A:$A,INT((ROW()-1)/7)*57+MOD(ROW()-1,7)+50)&lt;&gt;"","set "&amp;INDEX(CUEs!$A:$A,INT((ROW()-1)/7)*57+MOD(ROW()-1,7)+50)&amp;"=/ s "&amp;INDEX(CUEs!$B:$B,INT((ROW()-1)/7)*57+MOD(ROW()-1,7)+50),"")</f>
        <v/>
      </c>
    </row>
    <row r="565" spans="1:1" x14ac:dyDescent="0.25">
      <c r="A565" t="str" cm="1">
        <f t="array" ref="A565">IF(INDEX(CUEs!$A:$A,INT((ROW()-1)/7)*57+MOD(ROW()-1,7)+50)&lt;&gt;"","set "&amp;INDEX(CUEs!$A:$A,INT((ROW()-1)/7)*57+MOD(ROW()-1,7)+50)&amp;"=/ s "&amp;INDEX(CUEs!$B:$B,INT((ROW()-1)/7)*57+MOD(ROW()-1,7)+50),"")</f>
        <v/>
      </c>
    </row>
    <row r="566" spans="1:1" x14ac:dyDescent="0.25">
      <c r="A566" t="str" cm="1">
        <f t="array" ref="A566">IF(INDEX(CUEs!$A:$A,INT((ROW()-1)/7)*57+MOD(ROW()-1,7)+50)&lt;&gt;"","set "&amp;INDEX(CUEs!$A:$A,INT((ROW()-1)/7)*57+MOD(ROW()-1,7)+50)&amp;"=/ s "&amp;INDEX(CUEs!$B:$B,INT((ROW()-1)/7)*57+MOD(ROW()-1,7)+50),"")</f>
        <v/>
      </c>
    </row>
    <row r="567" spans="1:1" x14ac:dyDescent="0.25">
      <c r="A567" t="str" cm="1">
        <f t="array" ref="A567">IF(INDEX(CUEs!$A:$A,INT((ROW()-1)/7)*57+MOD(ROW()-1,7)+50)&lt;&gt;"","set "&amp;INDEX(CUEs!$A:$A,INT((ROW()-1)/7)*57+MOD(ROW()-1,7)+50)&amp;"=/ s "&amp;INDEX(CUEs!$B:$B,INT((ROW()-1)/7)*57+MOD(ROW()-1,7)+50),"")</f>
        <v/>
      </c>
    </row>
    <row r="568" spans="1:1" x14ac:dyDescent="0.25">
      <c r="A568" t="str" cm="1">
        <f t="array" ref="A568">IF(INDEX(CUEs!$A:$A,INT((ROW()-1)/7)*57+MOD(ROW()-1,7)+50)&lt;&gt;"","set "&amp;INDEX(CUEs!$A:$A,INT((ROW()-1)/7)*57+MOD(ROW()-1,7)+50)&amp;"=/ s "&amp;INDEX(CUEs!$B:$B,INT((ROW()-1)/7)*57+MOD(ROW()-1,7)+50),"")</f>
        <v/>
      </c>
    </row>
    <row r="569" spans="1:1" x14ac:dyDescent="0.25">
      <c r="A569" t="str" cm="1">
        <f t="array" ref="A569">IF(INDEX(CUEs!$A:$A,INT((ROW()-1)/7)*57+MOD(ROW()-1,7)+50)&lt;&gt;"","set "&amp;INDEX(CUEs!$A:$A,INT((ROW()-1)/7)*57+MOD(ROW()-1,7)+50)&amp;"=/ s "&amp;INDEX(CUEs!$B:$B,INT((ROW()-1)/7)*57+MOD(ROW()-1,7)+50),"")</f>
        <v/>
      </c>
    </row>
    <row r="570" spans="1:1" x14ac:dyDescent="0.25">
      <c r="A570" t="str" cm="1">
        <f t="array" ref="A570">IF(INDEX(CUEs!$A:$A,INT((ROW()-1)/7)*57+MOD(ROW()-1,7)+50)&lt;&gt;"","set "&amp;INDEX(CUEs!$A:$A,INT((ROW()-1)/7)*57+MOD(ROW()-1,7)+50)&amp;"=/ s "&amp;INDEX(CUEs!$B:$B,INT((ROW()-1)/7)*57+MOD(ROW()-1,7)+50),"")</f>
        <v/>
      </c>
    </row>
    <row r="571" spans="1:1" x14ac:dyDescent="0.25">
      <c r="A571" t="str" cm="1">
        <f t="array" ref="A571">IF(INDEX(CUEs!$A:$A,INT((ROW()-1)/7)*57+MOD(ROW()-1,7)+50)&lt;&gt;"","set "&amp;INDEX(CUEs!$A:$A,INT((ROW()-1)/7)*57+MOD(ROW()-1,7)+50)&amp;"=/ s "&amp;INDEX(CUEs!$B:$B,INT((ROW()-1)/7)*57+MOD(ROW()-1,7)+50),"")</f>
        <v/>
      </c>
    </row>
    <row r="572" spans="1:1" x14ac:dyDescent="0.25">
      <c r="A572" t="str" cm="1">
        <f t="array" ref="A572">IF(INDEX(CUEs!$A:$A,INT((ROW()-1)/7)*57+MOD(ROW()-1,7)+50)&lt;&gt;"","set "&amp;INDEX(CUEs!$A:$A,INT((ROW()-1)/7)*57+MOD(ROW()-1,7)+50)&amp;"=/ s "&amp;INDEX(CUEs!$B:$B,INT((ROW()-1)/7)*57+MOD(ROW()-1,7)+50),"")</f>
        <v/>
      </c>
    </row>
    <row r="573" spans="1:1" x14ac:dyDescent="0.25">
      <c r="A573" t="str" cm="1">
        <f t="array" ref="A573">IF(INDEX(CUEs!$A:$A,INT((ROW()-1)/7)*57+MOD(ROW()-1,7)+50)&lt;&gt;"","set "&amp;INDEX(CUEs!$A:$A,INT((ROW()-1)/7)*57+MOD(ROW()-1,7)+50)&amp;"=/ s "&amp;INDEX(CUEs!$B:$B,INT((ROW()-1)/7)*57+MOD(ROW()-1,7)+50),"")</f>
        <v/>
      </c>
    </row>
    <row r="574" spans="1:1" x14ac:dyDescent="0.25">
      <c r="A574" t="str" cm="1">
        <f t="array" ref="A574">IF(INDEX(CUEs!$A:$A,INT((ROW()-1)/7)*57+MOD(ROW()-1,7)+50)&lt;&gt;"","set "&amp;INDEX(CUEs!$A:$A,INT((ROW()-1)/7)*57+MOD(ROW()-1,7)+50)&amp;"=/ s "&amp;INDEX(CUEs!$B:$B,INT((ROW()-1)/7)*57+MOD(ROW()-1,7)+50),"")</f>
        <v/>
      </c>
    </row>
    <row r="575" spans="1:1" x14ac:dyDescent="0.25">
      <c r="A575" t="str" cm="1">
        <f t="array" ref="A575">IF(INDEX(CUEs!$A:$A,INT((ROW()-1)/7)*57+MOD(ROW()-1,7)+50)&lt;&gt;"","set "&amp;INDEX(CUEs!$A:$A,INT((ROW()-1)/7)*57+MOD(ROW()-1,7)+50)&amp;"=/ s "&amp;INDEX(CUEs!$B:$B,INT((ROW()-1)/7)*57+MOD(ROW()-1,7)+50),"")</f>
        <v/>
      </c>
    </row>
    <row r="576" spans="1:1" x14ac:dyDescent="0.25">
      <c r="A576" t="str" cm="1">
        <f t="array" ref="A576">IF(INDEX(CUEs!$A:$A,INT((ROW()-1)/7)*57+MOD(ROW()-1,7)+50)&lt;&gt;"","set "&amp;INDEX(CUEs!$A:$A,INT((ROW()-1)/7)*57+MOD(ROW()-1,7)+50)&amp;"=/ s "&amp;INDEX(CUEs!$B:$B,INT((ROW()-1)/7)*57+MOD(ROW()-1,7)+50),"")</f>
        <v/>
      </c>
    </row>
    <row r="577" spans="1:1" x14ac:dyDescent="0.25">
      <c r="A577" t="str" cm="1">
        <f t="array" ref="A577">IF(INDEX(CUEs!$A:$A,INT((ROW()-1)/7)*57+MOD(ROW()-1,7)+50)&lt;&gt;"","set "&amp;INDEX(CUEs!$A:$A,INT((ROW()-1)/7)*57+MOD(ROW()-1,7)+50)&amp;"=/ s "&amp;INDEX(CUEs!$B:$B,INT((ROW()-1)/7)*57+MOD(ROW()-1,7)+50),"")</f>
        <v/>
      </c>
    </row>
    <row r="578" spans="1:1" x14ac:dyDescent="0.25">
      <c r="A578" t="str" cm="1">
        <f t="array" ref="A578">IF(INDEX(CUEs!$A:$A,INT((ROW()-1)/7)*57+MOD(ROW()-1,7)+50)&lt;&gt;"","set "&amp;INDEX(CUEs!$A:$A,INT((ROW()-1)/7)*57+MOD(ROW()-1,7)+50)&amp;"=/ s "&amp;INDEX(CUEs!$B:$B,INT((ROW()-1)/7)*57+MOD(ROW()-1,7)+50),"")</f>
        <v/>
      </c>
    </row>
    <row r="579" spans="1:1" x14ac:dyDescent="0.25">
      <c r="A579" t="str" cm="1">
        <f t="array" ref="A579">IF(INDEX(CUEs!$A:$A,INT((ROW()-1)/7)*57+MOD(ROW()-1,7)+50)&lt;&gt;"","set "&amp;INDEX(CUEs!$A:$A,INT((ROW()-1)/7)*57+MOD(ROW()-1,7)+50)&amp;"=/ s "&amp;INDEX(CUEs!$B:$B,INT((ROW()-1)/7)*57+MOD(ROW()-1,7)+50),"")</f>
        <v/>
      </c>
    </row>
    <row r="580" spans="1:1" x14ac:dyDescent="0.25">
      <c r="A580" t="str" cm="1">
        <f t="array" ref="A580">IF(INDEX(CUEs!$A:$A,INT((ROW()-1)/7)*57+MOD(ROW()-1,7)+50)&lt;&gt;"","set "&amp;INDEX(CUEs!$A:$A,INT((ROW()-1)/7)*57+MOD(ROW()-1,7)+50)&amp;"=/ s "&amp;INDEX(CUEs!$B:$B,INT((ROW()-1)/7)*57+MOD(ROW()-1,7)+50),"")</f>
        <v/>
      </c>
    </row>
    <row r="581" spans="1:1" x14ac:dyDescent="0.25">
      <c r="A581" t="str" cm="1">
        <f t="array" ref="A581">IF(INDEX(CUEs!$A:$A,INT((ROW()-1)/7)*57+MOD(ROW()-1,7)+50)&lt;&gt;"","set "&amp;INDEX(CUEs!$A:$A,INT((ROW()-1)/7)*57+MOD(ROW()-1,7)+50)&amp;"=/ s "&amp;INDEX(CUEs!$B:$B,INT((ROW()-1)/7)*57+MOD(ROW()-1,7)+50),"")</f>
        <v/>
      </c>
    </row>
    <row r="582" spans="1:1" x14ac:dyDescent="0.25">
      <c r="A582" t="str" cm="1">
        <f t="array" ref="A582">IF(INDEX(CUEs!$A:$A,INT((ROW()-1)/7)*57+MOD(ROW()-1,7)+50)&lt;&gt;"","set "&amp;INDEX(CUEs!$A:$A,INT((ROW()-1)/7)*57+MOD(ROW()-1,7)+50)&amp;"=/ s "&amp;INDEX(CUEs!$B:$B,INT((ROW()-1)/7)*57+MOD(ROW()-1,7)+50),"")</f>
        <v/>
      </c>
    </row>
    <row r="583" spans="1:1" x14ac:dyDescent="0.25">
      <c r="A583" t="str" cm="1">
        <f t="array" ref="A583">IF(INDEX(CUEs!$A:$A,INT((ROW()-1)/7)*57+MOD(ROW()-1,7)+50)&lt;&gt;"","set "&amp;INDEX(CUEs!$A:$A,INT((ROW()-1)/7)*57+MOD(ROW()-1,7)+50)&amp;"=/ s "&amp;INDEX(CUEs!$B:$B,INT((ROW()-1)/7)*57+MOD(ROW()-1,7)+50),"")</f>
        <v/>
      </c>
    </row>
    <row r="584" spans="1:1" x14ac:dyDescent="0.25">
      <c r="A584" t="str" cm="1">
        <f t="array" ref="A584">IF(INDEX(CUEs!$A:$A,INT((ROW()-1)/7)*57+MOD(ROW()-1,7)+50)&lt;&gt;"","set "&amp;INDEX(CUEs!$A:$A,INT((ROW()-1)/7)*57+MOD(ROW()-1,7)+50)&amp;"=/ s "&amp;INDEX(CUEs!$B:$B,INT((ROW()-1)/7)*57+MOD(ROW()-1,7)+50),"")</f>
        <v/>
      </c>
    </row>
    <row r="585" spans="1:1" x14ac:dyDescent="0.25">
      <c r="A585" t="str" cm="1">
        <f t="array" ref="A585">IF(INDEX(CUEs!$A:$A,INT((ROW()-1)/7)*57+MOD(ROW()-1,7)+50)&lt;&gt;"","set "&amp;INDEX(CUEs!$A:$A,INT((ROW()-1)/7)*57+MOD(ROW()-1,7)+50)&amp;"=/ s "&amp;INDEX(CUEs!$B:$B,INT((ROW()-1)/7)*57+MOD(ROW()-1,7)+50),"")</f>
        <v/>
      </c>
    </row>
    <row r="586" spans="1:1" x14ac:dyDescent="0.25">
      <c r="A586" t="str" cm="1">
        <f t="array" ref="A586">IF(INDEX(CUEs!$A:$A,INT((ROW()-1)/7)*57+MOD(ROW()-1,7)+50)&lt;&gt;"","set "&amp;INDEX(CUEs!$A:$A,INT((ROW()-1)/7)*57+MOD(ROW()-1,7)+50)&amp;"=/ s "&amp;INDEX(CUEs!$B:$B,INT((ROW()-1)/7)*57+MOD(ROW()-1,7)+50),"")</f>
        <v/>
      </c>
    </row>
    <row r="587" spans="1:1" x14ac:dyDescent="0.25">
      <c r="A587" t="str" cm="1">
        <f t="array" ref="A587">IF(INDEX(CUEs!$A:$A,INT((ROW()-1)/7)*57+MOD(ROW()-1,7)+50)&lt;&gt;"","set "&amp;INDEX(CUEs!$A:$A,INT((ROW()-1)/7)*57+MOD(ROW()-1,7)+50)&amp;"=/ s "&amp;INDEX(CUEs!$B:$B,INT((ROW()-1)/7)*57+MOD(ROW()-1,7)+50),"")</f>
        <v/>
      </c>
    </row>
    <row r="588" spans="1:1" x14ac:dyDescent="0.25">
      <c r="A588" t="str" cm="1">
        <f t="array" ref="A588">IF(INDEX(CUEs!$A:$A,INT((ROW()-1)/7)*57+MOD(ROW()-1,7)+50)&lt;&gt;"","set "&amp;INDEX(CUEs!$A:$A,INT((ROW()-1)/7)*57+MOD(ROW()-1,7)+50)&amp;"=/ s "&amp;INDEX(CUEs!$B:$B,INT((ROW()-1)/7)*57+MOD(ROW()-1,7)+50),"")</f>
        <v/>
      </c>
    </row>
    <row r="589" spans="1:1" x14ac:dyDescent="0.25">
      <c r="A589" t="str" cm="1">
        <f t="array" ref="A589">IF(INDEX(CUEs!$A:$A,INT((ROW()-1)/7)*57+MOD(ROW()-1,7)+50)&lt;&gt;"","set "&amp;INDEX(CUEs!$A:$A,INT((ROW()-1)/7)*57+MOD(ROW()-1,7)+50)&amp;"=/ s "&amp;INDEX(CUEs!$B:$B,INT((ROW()-1)/7)*57+MOD(ROW()-1,7)+50),"")</f>
        <v/>
      </c>
    </row>
    <row r="590" spans="1:1" x14ac:dyDescent="0.25">
      <c r="A590" t="str" cm="1">
        <f t="array" ref="A590">IF(INDEX(CUEs!$A:$A,INT((ROW()-1)/7)*57+MOD(ROW()-1,7)+50)&lt;&gt;"","set "&amp;INDEX(CUEs!$A:$A,INT((ROW()-1)/7)*57+MOD(ROW()-1,7)+50)&amp;"=/ s "&amp;INDEX(CUEs!$B:$B,INT((ROW()-1)/7)*57+MOD(ROW()-1,7)+50),"")</f>
        <v/>
      </c>
    </row>
    <row r="591" spans="1:1" x14ac:dyDescent="0.25">
      <c r="A591" t="str" cm="1">
        <f t="array" ref="A591">IF(INDEX(CUEs!$A:$A,INT((ROW()-1)/7)*57+MOD(ROW()-1,7)+50)&lt;&gt;"","set "&amp;INDEX(CUEs!$A:$A,INT((ROW()-1)/7)*57+MOD(ROW()-1,7)+50)&amp;"=/ s "&amp;INDEX(CUEs!$B:$B,INT((ROW()-1)/7)*57+MOD(ROW()-1,7)+50),"")</f>
        <v/>
      </c>
    </row>
    <row r="592" spans="1:1" x14ac:dyDescent="0.25">
      <c r="A592" t="str" cm="1">
        <f t="array" ref="A592">IF(INDEX(CUEs!$A:$A,INT((ROW()-1)/7)*57+MOD(ROW()-1,7)+50)&lt;&gt;"","set "&amp;INDEX(CUEs!$A:$A,INT((ROW()-1)/7)*57+MOD(ROW()-1,7)+50)&amp;"=/ s "&amp;INDEX(CUEs!$B:$B,INT((ROW()-1)/7)*57+MOD(ROW()-1,7)+50),"")</f>
        <v/>
      </c>
    </row>
    <row r="593" spans="1:1" x14ac:dyDescent="0.25">
      <c r="A593" t="str" cm="1">
        <f t="array" ref="A593">IF(INDEX(CUEs!$A:$A,INT((ROW()-1)/7)*57+MOD(ROW()-1,7)+50)&lt;&gt;"","set "&amp;INDEX(CUEs!$A:$A,INT((ROW()-1)/7)*57+MOD(ROW()-1,7)+50)&amp;"=/ s "&amp;INDEX(CUEs!$B:$B,INT((ROW()-1)/7)*57+MOD(ROW()-1,7)+50),"")</f>
        <v/>
      </c>
    </row>
    <row r="594" spans="1:1" x14ac:dyDescent="0.25">
      <c r="A594" t="str" cm="1">
        <f t="array" ref="A594">IF(INDEX(CUEs!$A:$A,INT((ROW()-1)/7)*57+MOD(ROW()-1,7)+50)&lt;&gt;"","set "&amp;INDEX(CUEs!$A:$A,INT((ROW()-1)/7)*57+MOD(ROW()-1,7)+50)&amp;"=/ s "&amp;INDEX(CUEs!$B:$B,INT((ROW()-1)/7)*57+MOD(ROW()-1,7)+50),"")</f>
        <v/>
      </c>
    </row>
    <row r="595" spans="1:1" x14ac:dyDescent="0.25">
      <c r="A595" t="str" cm="1">
        <f t="array" ref="A595">IF(INDEX(CUEs!$A:$A,INT((ROW()-1)/7)*57+MOD(ROW()-1,7)+50)&lt;&gt;"","set "&amp;INDEX(CUEs!$A:$A,INT((ROW()-1)/7)*57+MOD(ROW()-1,7)+50)&amp;"=/ s "&amp;INDEX(CUEs!$B:$B,INT((ROW()-1)/7)*57+MOD(ROW()-1,7)+50),"")</f>
        <v/>
      </c>
    </row>
    <row r="596" spans="1:1" x14ac:dyDescent="0.25">
      <c r="A596" t="str" cm="1">
        <f t="array" ref="A596">IF(INDEX(CUEs!$A:$A,INT((ROW()-1)/7)*57+MOD(ROW()-1,7)+50)&lt;&gt;"","set "&amp;INDEX(CUEs!$A:$A,INT((ROW()-1)/7)*57+MOD(ROW()-1,7)+50)&amp;"=/ s "&amp;INDEX(CUEs!$B:$B,INT((ROW()-1)/7)*57+MOD(ROW()-1,7)+50),"")</f>
        <v/>
      </c>
    </row>
    <row r="597" spans="1:1" x14ac:dyDescent="0.25">
      <c r="A597" t="str" cm="1">
        <f t="array" ref="A597">IF(INDEX(CUEs!$A:$A,INT((ROW()-1)/7)*57+MOD(ROW()-1,7)+50)&lt;&gt;"","set "&amp;INDEX(CUEs!$A:$A,INT((ROW()-1)/7)*57+MOD(ROW()-1,7)+50)&amp;"=/ s "&amp;INDEX(CUEs!$B:$B,INT((ROW()-1)/7)*57+MOD(ROW()-1,7)+50),"")</f>
        <v/>
      </c>
    </row>
    <row r="598" spans="1:1" x14ac:dyDescent="0.25">
      <c r="A598" t="str" cm="1">
        <f t="array" ref="A598">IF(INDEX(CUEs!$A:$A,INT((ROW()-1)/7)*57+MOD(ROW()-1,7)+50)&lt;&gt;"","set "&amp;INDEX(CUEs!$A:$A,INT((ROW()-1)/7)*57+MOD(ROW()-1,7)+50)&amp;"=/ s "&amp;INDEX(CUEs!$B:$B,INT((ROW()-1)/7)*57+MOD(ROW()-1,7)+50),"")</f>
        <v/>
      </c>
    </row>
    <row r="599" spans="1:1" x14ac:dyDescent="0.25">
      <c r="A599" t="str" cm="1">
        <f t="array" ref="A599">IF(INDEX(CUEs!$A:$A,INT((ROW()-1)/7)*57+MOD(ROW()-1,7)+50)&lt;&gt;"","set "&amp;INDEX(CUEs!$A:$A,INT((ROW()-1)/7)*57+MOD(ROW()-1,7)+50)&amp;"=/ s "&amp;INDEX(CUEs!$B:$B,INT((ROW()-1)/7)*57+MOD(ROW()-1,7)+50),"")</f>
        <v/>
      </c>
    </row>
    <row r="600" spans="1:1" x14ac:dyDescent="0.25">
      <c r="A600" t="str" cm="1">
        <f t="array" ref="A600">IF(INDEX(CUEs!$A:$A,INT((ROW()-1)/7)*57+MOD(ROW()-1,7)+50)&lt;&gt;"","set "&amp;INDEX(CUEs!$A:$A,INT((ROW()-1)/7)*57+MOD(ROW()-1,7)+50)&amp;"=/ s "&amp;INDEX(CUEs!$B:$B,INT((ROW()-1)/7)*57+MOD(ROW()-1,7)+50),"")</f>
        <v/>
      </c>
    </row>
    <row r="601" spans="1:1" x14ac:dyDescent="0.25">
      <c r="A601" t="str" cm="1">
        <f t="array" ref="A601">IF(INDEX(CUEs!$A:$A,INT((ROW()-1)/7)*57+MOD(ROW()-1,7)+50)&lt;&gt;"","set "&amp;INDEX(CUEs!$A:$A,INT((ROW()-1)/7)*57+MOD(ROW()-1,7)+50)&amp;"=/ s "&amp;INDEX(CUEs!$B:$B,INT((ROW()-1)/7)*57+MOD(ROW()-1,7)+50),"")</f>
        <v/>
      </c>
    </row>
    <row r="602" spans="1:1" x14ac:dyDescent="0.25">
      <c r="A602" t="str" cm="1">
        <f t="array" ref="A602">IF(INDEX(CUEs!$A:$A,INT((ROW()-1)/7)*57+MOD(ROW()-1,7)+50)&lt;&gt;"","set "&amp;INDEX(CUEs!$A:$A,INT((ROW()-1)/7)*57+MOD(ROW()-1,7)+50)&amp;"=/ s "&amp;INDEX(CUEs!$B:$B,INT((ROW()-1)/7)*57+MOD(ROW()-1,7)+50),"")</f>
        <v/>
      </c>
    </row>
    <row r="603" spans="1:1" x14ac:dyDescent="0.25">
      <c r="A603" t="str" cm="1">
        <f t="array" ref="A603">IF(INDEX(CUEs!$A:$A,INT((ROW()-1)/7)*57+MOD(ROW()-1,7)+50)&lt;&gt;"","set "&amp;INDEX(CUEs!$A:$A,INT((ROW()-1)/7)*57+MOD(ROW()-1,7)+50)&amp;"=/ s "&amp;INDEX(CUEs!$B:$B,INT((ROW()-1)/7)*57+MOD(ROW()-1,7)+50),"")</f>
        <v/>
      </c>
    </row>
    <row r="604" spans="1:1" x14ac:dyDescent="0.25">
      <c r="A604" t="str" cm="1">
        <f t="array" ref="A604">IF(INDEX(CUEs!$A:$A,INT((ROW()-1)/7)*57+MOD(ROW()-1,7)+50)&lt;&gt;"","set "&amp;INDEX(CUEs!$A:$A,INT((ROW()-1)/7)*57+MOD(ROW()-1,7)+50)&amp;"=/ s "&amp;INDEX(CUEs!$B:$B,INT((ROW()-1)/7)*57+MOD(ROW()-1,7)+50),"")</f>
        <v/>
      </c>
    </row>
    <row r="605" spans="1:1" x14ac:dyDescent="0.25">
      <c r="A605" t="str" cm="1">
        <f t="array" ref="A605">IF(INDEX(CUEs!$A:$A,INT((ROW()-1)/7)*57+MOD(ROW()-1,7)+50)&lt;&gt;"","set "&amp;INDEX(CUEs!$A:$A,INT((ROW()-1)/7)*57+MOD(ROW()-1,7)+50)&amp;"=/ s "&amp;INDEX(CUEs!$B:$B,INT((ROW()-1)/7)*57+MOD(ROW()-1,7)+50),"")</f>
        <v/>
      </c>
    </row>
    <row r="606" spans="1:1" x14ac:dyDescent="0.25">
      <c r="A606" t="str" cm="1">
        <f t="array" ref="A606">IF(INDEX(CUEs!$A:$A,INT((ROW()-1)/7)*57+MOD(ROW()-1,7)+50)&lt;&gt;"","set "&amp;INDEX(CUEs!$A:$A,INT((ROW()-1)/7)*57+MOD(ROW()-1,7)+50)&amp;"=/ s "&amp;INDEX(CUEs!$B:$B,INT((ROW()-1)/7)*57+MOD(ROW()-1,7)+50),"")</f>
        <v/>
      </c>
    </row>
    <row r="607" spans="1:1" x14ac:dyDescent="0.25">
      <c r="A607" t="str" cm="1">
        <f t="array" ref="A607">IF(INDEX(CUEs!$A:$A,INT((ROW()-1)/7)*57+MOD(ROW()-1,7)+50)&lt;&gt;"","set "&amp;INDEX(CUEs!$A:$A,INT((ROW()-1)/7)*57+MOD(ROW()-1,7)+50)&amp;"=/ s "&amp;INDEX(CUEs!$B:$B,INT((ROW()-1)/7)*57+MOD(ROW()-1,7)+50),"")</f>
        <v/>
      </c>
    </row>
    <row r="608" spans="1:1" x14ac:dyDescent="0.25">
      <c r="A608" t="str" cm="1">
        <f t="array" ref="A608">IF(INDEX(CUEs!$A:$A,INT((ROW()-1)/7)*57+MOD(ROW()-1,7)+50)&lt;&gt;"","set "&amp;INDEX(CUEs!$A:$A,INT((ROW()-1)/7)*57+MOD(ROW()-1,7)+50)&amp;"=/ s "&amp;INDEX(CUEs!$B:$B,INT((ROW()-1)/7)*57+MOD(ROW()-1,7)+50),"")</f>
        <v/>
      </c>
    </row>
    <row r="609" spans="1:1" x14ac:dyDescent="0.25">
      <c r="A609" t="str" cm="1">
        <f t="array" ref="A609">IF(INDEX(CUEs!$A:$A,INT((ROW()-1)/7)*57+MOD(ROW()-1,7)+50)&lt;&gt;"","set "&amp;INDEX(CUEs!$A:$A,INT((ROW()-1)/7)*57+MOD(ROW()-1,7)+50)&amp;"=/ s "&amp;INDEX(CUEs!$B:$B,INT((ROW()-1)/7)*57+MOD(ROW()-1,7)+50),"")</f>
        <v/>
      </c>
    </row>
    <row r="610" spans="1:1" x14ac:dyDescent="0.25">
      <c r="A610" t="str" cm="1">
        <f t="array" ref="A610">IF(INDEX(CUEs!$A:$A,INT((ROW()-1)/7)*57+MOD(ROW()-1,7)+50)&lt;&gt;"","set "&amp;INDEX(CUEs!$A:$A,INT((ROW()-1)/7)*57+MOD(ROW()-1,7)+50)&amp;"=/ s "&amp;INDEX(CUEs!$B:$B,INT((ROW()-1)/7)*57+MOD(ROW()-1,7)+50),"")</f>
        <v/>
      </c>
    </row>
    <row r="611" spans="1:1" x14ac:dyDescent="0.25">
      <c r="A611" t="str" cm="1">
        <f t="array" ref="A611">IF(INDEX(CUEs!$A:$A,INT((ROW()-1)/7)*57+MOD(ROW()-1,7)+50)&lt;&gt;"","set "&amp;INDEX(CUEs!$A:$A,INT((ROW()-1)/7)*57+MOD(ROW()-1,7)+50)&amp;"=/ s "&amp;INDEX(CUEs!$B:$B,INT((ROW()-1)/7)*57+MOD(ROW()-1,7)+50),"")</f>
        <v/>
      </c>
    </row>
    <row r="612" spans="1:1" x14ac:dyDescent="0.25">
      <c r="A612" t="str" cm="1">
        <f t="array" ref="A612">IF(INDEX(CUEs!$A:$A,INT((ROW()-1)/7)*57+MOD(ROW()-1,7)+50)&lt;&gt;"","set "&amp;INDEX(CUEs!$A:$A,INT((ROW()-1)/7)*57+MOD(ROW()-1,7)+50)&amp;"=/ s "&amp;INDEX(CUEs!$B:$B,INT((ROW()-1)/7)*57+MOD(ROW()-1,7)+50),"")</f>
        <v/>
      </c>
    </row>
    <row r="613" spans="1:1" x14ac:dyDescent="0.25">
      <c r="A613" t="str" cm="1">
        <f t="array" ref="A613">IF(INDEX(CUEs!$A:$A,INT((ROW()-1)/7)*57+MOD(ROW()-1,7)+50)&lt;&gt;"","set "&amp;INDEX(CUEs!$A:$A,INT((ROW()-1)/7)*57+MOD(ROW()-1,7)+50)&amp;"=/ s "&amp;INDEX(CUEs!$B:$B,INT((ROW()-1)/7)*57+MOD(ROW()-1,7)+50),"")</f>
        <v/>
      </c>
    </row>
    <row r="614" spans="1:1" x14ac:dyDescent="0.25">
      <c r="A614" t="str" cm="1">
        <f t="array" ref="A614">IF(INDEX(CUEs!$A:$A,INT((ROW()-1)/7)*57+MOD(ROW()-1,7)+50)&lt;&gt;"","set "&amp;INDEX(CUEs!$A:$A,INT((ROW()-1)/7)*57+MOD(ROW()-1,7)+50)&amp;"=/ s "&amp;INDEX(CUEs!$B:$B,INT((ROW()-1)/7)*57+MOD(ROW()-1,7)+50),"")</f>
        <v/>
      </c>
    </row>
    <row r="615" spans="1:1" x14ac:dyDescent="0.25">
      <c r="A615" t="str" cm="1">
        <f t="array" ref="A615">IF(INDEX(CUEs!$A:$A,INT((ROW()-1)/7)*57+MOD(ROW()-1,7)+50)&lt;&gt;"","set "&amp;INDEX(CUEs!$A:$A,INT((ROW()-1)/7)*57+MOD(ROW()-1,7)+50)&amp;"=/ s "&amp;INDEX(CUEs!$B:$B,INT((ROW()-1)/7)*57+MOD(ROW()-1,7)+50),"")</f>
        <v/>
      </c>
    </row>
    <row r="616" spans="1:1" x14ac:dyDescent="0.25">
      <c r="A616" t="str" cm="1">
        <f t="array" ref="A616">IF(INDEX(CUEs!$A:$A,INT((ROW()-1)/7)*57+MOD(ROW()-1,7)+50)&lt;&gt;"","set "&amp;INDEX(CUEs!$A:$A,INT((ROW()-1)/7)*57+MOD(ROW()-1,7)+50)&amp;"=/ s "&amp;INDEX(CUEs!$B:$B,INT((ROW()-1)/7)*57+MOD(ROW()-1,7)+50),"")</f>
        <v/>
      </c>
    </row>
    <row r="617" spans="1:1" x14ac:dyDescent="0.25">
      <c r="A617" t="str" cm="1">
        <f t="array" ref="A617">IF(INDEX(CUEs!$A:$A,INT((ROW()-1)/7)*57+MOD(ROW()-1,7)+50)&lt;&gt;"","set "&amp;INDEX(CUEs!$A:$A,INT((ROW()-1)/7)*57+MOD(ROW()-1,7)+50)&amp;"=/ s "&amp;INDEX(CUEs!$B:$B,INT((ROW()-1)/7)*57+MOD(ROW()-1,7)+50),"")</f>
        <v/>
      </c>
    </row>
    <row r="618" spans="1:1" x14ac:dyDescent="0.25">
      <c r="A618" t="str" cm="1">
        <f t="array" ref="A618">IF(INDEX(CUEs!$A:$A,INT((ROW()-1)/7)*57+MOD(ROW()-1,7)+50)&lt;&gt;"","set "&amp;INDEX(CUEs!$A:$A,INT((ROW()-1)/7)*57+MOD(ROW()-1,7)+50)&amp;"=/ s "&amp;INDEX(CUEs!$B:$B,INT((ROW()-1)/7)*57+MOD(ROW()-1,7)+50),"")</f>
        <v/>
      </c>
    </row>
    <row r="619" spans="1:1" x14ac:dyDescent="0.25">
      <c r="A619" t="str" cm="1">
        <f t="array" ref="A619">IF(INDEX(CUEs!$A:$A,INT((ROW()-1)/7)*57+MOD(ROW()-1,7)+50)&lt;&gt;"","set "&amp;INDEX(CUEs!$A:$A,INT((ROW()-1)/7)*57+MOD(ROW()-1,7)+50)&amp;"=/ s "&amp;INDEX(CUEs!$B:$B,INT((ROW()-1)/7)*57+MOD(ROW()-1,7)+50),"")</f>
        <v/>
      </c>
    </row>
    <row r="620" spans="1:1" x14ac:dyDescent="0.25">
      <c r="A620" t="str" cm="1">
        <f t="array" ref="A620">IF(INDEX(CUEs!$A:$A,INT((ROW()-1)/7)*57+MOD(ROW()-1,7)+50)&lt;&gt;"","set "&amp;INDEX(CUEs!$A:$A,INT((ROW()-1)/7)*57+MOD(ROW()-1,7)+50)&amp;"=/ s "&amp;INDEX(CUEs!$B:$B,INT((ROW()-1)/7)*57+MOD(ROW()-1,7)+50),"")</f>
        <v/>
      </c>
    </row>
    <row r="621" spans="1:1" x14ac:dyDescent="0.25">
      <c r="A621" t="str" cm="1">
        <f t="array" ref="A621">IF(INDEX(CUEs!$A:$A,INT((ROW()-1)/7)*57+MOD(ROW()-1,7)+50)&lt;&gt;"","set "&amp;INDEX(CUEs!$A:$A,INT((ROW()-1)/7)*57+MOD(ROW()-1,7)+50)&amp;"=/ s "&amp;INDEX(CUEs!$B:$B,INT((ROW()-1)/7)*57+MOD(ROW()-1,7)+50),"")</f>
        <v/>
      </c>
    </row>
    <row r="622" spans="1:1" x14ac:dyDescent="0.25">
      <c r="A622" t="str" cm="1">
        <f t="array" ref="A622">IF(INDEX(CUEs!$A:$A,INT((ROW()-1)/7)*57+MOD(ROW()-1,7)+50)&lt;&gt;"","set "&amp;INDEX(CUEs!$A:$A,INT((ROW()-1)/7)*57+MOD(ROW()-1,7)+50)&amp;"=/ s "&amp;INDEX(CUEs!$B:$B,INT((ROW()-1)/7)*57+MOD(ROW()-1,7)+50),"")</f>
        <v/>
      </c>
    </row>
    <row r="623" spans="1:1" x14ac:dyDescent="0.25">
      <c r="A623" t="str" cm="1">
        <f t="array" ref="A623">IF(INDEX(CUEs!$A:$A,INT((ROW()-1)/7)*57+MOD(ROW()-1,7)+50)&lt;&gt;"","set "&amp;INDEX(CUEs!$A:$A,INT((ROW()-1)/7)*57+MOD(ROW()-1,7)+50)&amp;"=/ s "&amp;INDEX(CUEs!$B:$B,INT((ROW()-1)/7)*57+MOD(ROW()-1,7)+50),"")</f>
        <v/>
      </c>
    </row>
    <row r="624" spans="1:1" x14ac:dyDescent="0.25">
      <c r="A624" t="str" cm="1">
        <f t="array" ref="A624">IF(INDEX(CUEs!$A:$A,INT((ROW()-1)/7)*57+MOD(ROW()-1,7)+50)&lt;&gt;"","set "&amp;INDEX(CUEs!$A:$A,INT((ROW()-1)/7)*57+MOD(ROW()-1,7)+50)&amp;"=/ s "&amp;INDEX(CUEs!$B:$B,INT((ROW()-1)/7)*57+MOD(ROW()-1,7)+50),"")</f>
        <v/>
      </c>
    </row>
    <row r="625" spans="1:1" x14ac:dyDescent="0.25">
      <c r="A625" t="str" cm="1">
        <f t="array" ref="A625">IF(INDEX(CUEs!$A:$A,INT((ROW()-1)/7)*57+MOD(ROW()-1,7)+50)&lt;&gt;"","set "&amp;INDEX(CUEs!$A:$A,INT((ROW()-1)/7)*57+MOD(ROW()-1,7)+50)&amp;"=/ s "&amp;INDEX(CUEs!$B:$B,INT((ROW()-1)/7)*57+MOD(ROW()-1,7)+50),"")</f>
        <v/>
      </c>
    </row>
    <row r="626" spans="1:1" x14ac:dyDescent="0.25">
      <c r="A626" t="str" cm="1">
        <f t="array" ref="A626">IF(INDEX(CUEs!$A:$A,INT((ROW()-1)/7)*57+MOD(ROW()-1,7)+50)&lt;&gt;"","set "&amp;INDEX(CUEs!$A:$A,INT((ROW()-1)/7)*57+MOD(ROW()-1,7)+50)&amp;"=/ s "&amp;INDEX(CUEs!$B:$B,INT((ROW()-1)/7)*57+MOD(ROW()-1,7)+50),"")</f>
        <v/>
      </c>
    </row>
    <row r="627" spans="1:1" x14ac:dyDescent="0.25">
      <c r="A627" t="str" cm="1">
        <f t="array" ref="A627">IF(INDEX(CUEs!$A:$A,INT((ROW()-1)/7)*57+MOD(ROW()-1,7)+50)&lt;&gt;"","set "&amp;INDEX(CUEs!$A:$A,INT((ROW()-1)/7)*57+MOD(ROW()-1,7)+50)&amp;"=/ s "&amp;INDEX(CUEs!$B:$B,INT((ROW()-1)/7)*57+MOD(ROW()-1,7)+50),"")</f>
        <v/>
      </c>
    </row>
    <row r="628" spans="1:1" x14ac:dyDescent="0.25">
      <c r="A628" t="str" cm="1">
        <f t="array" ref="A628">IF(INDEX(CUEs!$A:$A,INT((ROW()-1)/7)*57+MOD(ROW()-1,7)+50)&lt;&gt;"","set "&amp;INDEX(CUEs!$A:$A,INT((ROW()-1)/7)*57+MOD(ROW()-1,7)+50)&amp;"=/ s "&amp;INDEX(CUEs!$B:$B,INT((ROW()-1)/7)*57+MOD(ROW()-1,7)+50),"")</f>
        <v/>
      </c>
    </row>
    <row r="629" spans="1:1" x14ac:dyDescent="0.25">
      <c r="A629" t="str" cm="1">
        <f t="array" ref="A629">IF(INDEX(CUEs!$A:$A,INT((ROW()-1)/7)*57+MOD(ROW()-1,7)+50)&lt;&gt;"","set "&amp;INDEX(CUEs!$A:$A,INT((ROW()-1)/7)*57+MOD(ROW()-1,7)+50)&amp;"=/ s "&amp;INDEX(CUEs!$B:$B,INT((ROW()-1)/7)*57+MOD(ROW()-1,7)+50),"")</f>
        <v/>
      </c>
    </row>
    <row r="630" spans="1:1" x14ac:dyDescent="0.25">
      <c r="A630" t="str" cm="1">
        <f t="array" ref="A630">IF(INDEX(CUEs!$A:$A,INT((ROW()-1)/7)*57+MOD(ROW()-1,7)+50)&lt;&gt;"","set "&amp;INDEX(CUEs!$A:$A,INT((ROW()-1)/7)*57+MOD(ROW()-1,7)+50)&amp;"=/ s "&amp;INDEX(CUEs!$B:$B,INT((ROW()-1)/7)*57+MOD(ROW()-1,7)+50),"")</f>
        <v/>
      </c>
    </row>
    <row r="631" spans="1:1" x14ac:dyDescent="0.25">
      <c r="A631" t="str" cm="1">
        <f t="array" ref="A631">IF(INDEX(CUEs!$A:$A,INT((ROW()-1)/7)*57+MOD(ROW()-1,7)+50)&lt;&gt;"","set "&amp;INDEX(CUEs!$A:$A,INT((ROW()-1)/7)*57+MOD(ROW()-1,7)+50)&amp;"=/ s "&amp;INDEX(CUEs!$B:$B,INT((ROW()-1)/7)*57+MOD(ROW()-1,7)+50),"")</f>
        <v/>
      </c>
    </row>
    <row r="632" spans="1:1" x14ac:dyDescent="0.25">
      <c r="A632" t="str" cm="1">
        <f t="array" ref="A632">IF(INDEX(CUEs!$A:$A,INT((ROW()-1)/7)*57+MOD(ROW()-1,7)+50)&lt;&gt;"","set "&amp;INDEX(CUEs!$A:$A,INT((ROW()-1)/7)*57+MOD(ROW()-1,7)+50)&amp;"=/ s "&amp;INDEX(CUEs!$B:$B,INT((ROW()-1)/7)*57+MOD(ROW()-1,7)+50),"")</f>
        <v/>
      </c>
    </row>
    <row r="633" spans="1:1" x14ac:dyDescent="0.25">
      <c r="A633" t="str" cm="1">
        <f t="array" ref="A633">IF(INDEX(CUEs!$A:$A,INT((ROW()-1)/7)*57+MOD(ROW()-1,7)+50)&lt;&gt;"","set "&amp;INDEX(CUEs!$A:$A,INT((ROW()-1)/7)*57+MOD(ROW()-1,7)+50)&amp;"=/ s "&amp;INDEX(CUEs!$B:$B,INT((ROW()-1)/7)*57+MOD(ROW()-1,7)+50),"")</f>
        <v/>
      </c>
    </row>
    <row r="634" spans="1:1" x14ac:dyDescent="0.25">
      <c r="A634" t="str" cm="1">
        <f t="array" ref="A634">IF(INDEX(CUEs!$A:$A,INT((ROW()-1)/7)*57+MOD(ROW()-1,7)+50)&lt;&gt;"","set "&amp;INDEX(CUEs!$A:$A,INT((ROW()-1)/7)*57+MOD(ROW()-1,7)+50)&amp;"=/ s "&amp;INDEX(CUEs!$B:$B,INT((ROW()-1)/7)*57+MOD(ROW()-1,7)+50),"")</f>
        <v/>
      </c>
    </row>
    <row r="635" spans="1:1" x14ac:dyDescent="0.25">
      <c r="A635" t="str" cm="1">
        <f t="array" ref="A635">IF(INDEX(CUEs!$A:$A,INT((ROW()-1)/7)*57+MOD(ROW()-1,7)+50)&lt;&gt;"","set "&amp;INDEX(CUEs!$A:$A,INT((ROW()-1)/7)*57+MOD(ROW()-1,7)+50)&amp;"=/ s "&amp;INDEX(CUEs!$B:$B,INT((ROW()-1)/7)*57+MOD(ROW()-1,7)+50),"")</f>
        <v/>
      </c>
    </row>
    <row r="636" spans="1:1" x14ac:dyDescent="0.25">
      <c r="A636" t="str" cm="1">
        <f t="array" ref="A636">IF(INDEX(CUEs!$A:$A,INT((ROW()-1)/7)*57+MOD(ROW()-1,7)+50)&lt;&gt;"","set "&amp;INDEX(CUEs!$A:$A,INT((ROW()-1)/7)*57+MOD(ROW()-1,7)+50)&amp;"=/ s "&amp;INDEX(CUEs!$B:$B,INT((ROW()-1)/7)*57+MOD(ROW()-1,7)+50),"")</f>
        <v/>
      </c>
    </row>
    <row r="637" spans="1:1" x14ac:dyDescent="0.25">
      <c r="A637" t="str" cm="1">
        <f t="array" ref="A637">IF(INDEX(CUEs!$A:$A,INT((ROW()-1)/7)*57+MOD(ROW()-1,7)+50)&lt;&gt;"","set "&amp;INDEX(CUEs!$A:$A,INT((ROW()-1)/7)*57+MOD(ROW()-1,7)+50)&amp;"=/ s "&amp;INDEX(CUEs!$B:$B,INT((ROW()-1)/7)*57+MOD(ROW()-1,7)+50),"")</f>
        <v/>
      </c>
    </row>
    <row r="638" spans="1:1" x14ac:dyDescent="0.25">
      <c r="A638" t="str" cm="1">
        <f t="array" ref="A638">IF(INDEX(CUEs!$A:$A,INT((ROW()-1)/7)*57+MOD(ROW()-1,7)+50)&lt;&gt;"","set "&amp;INDEX(CUEs!$A:$A,INT((ROW()-1)/7)*57+MOD(ROW()-1,7)+50)&amp;"=/ s "&amp;INDEX(CUEs!$B:$B,INT((ROW()-1)/7)*57+MOD(ROW()-1,7)+50),"")</f>
        <v/>
      </c>
    </row>
    <row r="639" spans="1:1" x14ac:dyDescent="0.25">
      <c r="A639" t="str" cm="1">
        <f t="array" ref="A639">IF(INDEX(CUEs!$A:$A,INT((ROW()-1)/7)*57+MOD(ROW()-1,7)+50)&lt;&gt;"","set "&amp;INDEX(CUEs!$A:$A,INT((ROW()-1)/7)*57+MOD(ROW()-1,7)+50)&amp;"=/ s "&amp;INDEX(CUEs!$B:$B,INT((ROW()-1)/7)*57+MOD(ROW()-1,7)+50),"")</f>
        <v/>
      </c>
    </row>
    <row r="640" spans="1:1" x14ac:dyDescent="0.25">
      <c r="A640" t="str" cm="1">
        <f t="array" ref="A640">IF(INDEX(CUEs!$A:$A,INT((ROW()-1)/7)*57+MOD(ROW()-1,7)+50)&lt;&gt;"","set "&amp;INDEX(CUEs!$A:$A,INT((ROW()-1)/7)*57+MOD(ROW()-1,7)+50)&amp;"=/ s "&amp;INDEX(CUEs!$B:$B,INT((ROW()-1)/7)*57+MOD(ROW()-1,7)+50),"")</f>
        <v/>
      </c>
    </row>
    <row r="641" spans="1:1" x14ac:dyDescent="0.25">
      <c r="A641" t="str" cm="1">
        <f t="array" ref="A641">IF(INDEX(CUEs!$A:$A,INT((ROW()-1)/7)*57+MOD(ROW()-1,7)+50)&lt;&gt;"","set "&amp;INDEX(CUEs!$A:$A,INT((ROW()-1)/7)*57+MOD(ROW()-1,7)+50)&amp;"=/ s "&amp;INDEX(CUEs!$B:$B,INT((ROW()-1)/7)*57+MOD(ROW()-1,7)+50),"")</f>
        <v/>
      </c>
    </row>
    <row r="642" spans="1:1" x14ac:dyDescent="0.25">
      <c r="A642" t="str" cm="1">
        <f t="array" ref="A642">IF(INDEX(CUEs!$A:$A,INT((ROW()-1)/7)*57+MOD(ROW()-1,7)+50)&lt;&gt;"","set "&amp;INDEX(CUEs!$A:$A,INT((ROW()-1)/7)*57+MOD(ROW()-1,7)+50)&amp;"=/ s "&amp;INDEX(CUEs!$B:$B,INT((ROW()-1)/7)*57+MOD(ROW()-1,7)+50),"")</f>
        <v/>
      </c>
    </row>
    <row r="643" spans="1:1" x14ac:dyDescent="0.25">
      <c r="A643" t="str" cm="1">
        <f t="array" ref="A643">IF(INDEX(CUEs!$A:$A,INT((ROW()-1)/7)*57+MOD(ROW()-1,7)+50)&lt;&gt;"","set "&amp;INDEX(CUEs!$A:$A,INT((ROW()-1)/7)*57+MOD(ROW()-1,7)+50)&amp;"=/ s "&amp;INDEX(CUEs!$B:$B,INT((ROW()-1)/7)*57+MOD(ROW()-1,7)+50),"")</f>
        <v/>
      </c>
    </row>
    <row r="644" spans="1:1" x14ac:dyDescent="0.25">
      <c r="A644" t="str" cm="1">
        <f t="array" ref="A644">IF(INDEX(CUEs!$A:$A,INT((ROW()-1)/7)*57+MOD(ROW()-1,7)+50)&lt;&gt;"","set "&amp;INDEX(CUEs!$A:$A,INT((ROW()-1)/7)*57+MOD(ROW()-1,7)+50)&amp;"=/ s "&amp;INDEX(CUEs!$B:$B,INT((ROW()-1)/7)*57+MOD(ROW()-1,7)+50),"")</f>
        <v/>
      </c>
    </row>
    <row r="645" spans="1:1" x14ac:dyDescent="0.25">
      <c r="A645" t="str" cm="1">
        <f t="array" ref="A645">IF(INDEX(CUEs!$A:$A,INT((ROW()-1)/7)*57+MOD(ROW()-1,7)+50)&lt;&gt;"","set "&amp;INDEX(CUEs!$A:$A,INT((ROW()-1)/7)*57+MOD(ROW()-1,7)+50)&amp;"=/ s "&amp;INDEX(CUEs!$B:$B,INT((ROW()-1)/7)*57+MOD(ROW()-1,7)+50),"")</f>
        <v/>
      </c>
    </row>
    <row r="646" spans="1:1" x14ac:dyDescent="0.25">
      <c r="A646" t="str" cm="1">
        <f t="array" ref="A646">IF(INDEX(CUEs!$A:$A,INT((ROW()-1)/7)*57+MOD(ROW()-1,7)+50)&lt;&gt;"","set "&amp;INDEX(CUEs!$A:$A,INT((ROW()-1)/7)*57+MOD(ROW()-1,7)+50)&amp;"=/ s "&amp;INDEX(CUEs!$B:$B,INT((ROW()-1)/7)*57+MOD(ROW()-1,7)+50),"")</f>
        <v/>
      </c>
    </row>
    <row r="647" spans="1:1" x14ac:dyDescent="0.25">
      <c r="A647" t="str" cm="1">
        <f t="array" ref="A647">IF(INDEX(CUEs!$A:$A,INT((ROW()-1)/7)*57+MOD(ROW()-1,7)+50)&lt;&gt;"","set "&amp;INDEX(CUEs!$A:$A,INT((ROW()-1)/7)*57+MOD(ROW()-1,7)+50)&amp;"=/ s "&amp;INDEX(CUEs!$B:$B,INT((ROW()-1)/7)*57+MOD(ROW()-1,7)+50),"")</f>
        <v/>
      </c>
    </row>
    <row r="648" spans="1:1" x14ac:dyDescent="0.25">
      <c r="A648" t="str" cm="1">
        <f t="array" ref="A648">IF(INDEX(CUEs!$A:$A,INT((ROW()-1)/7)*57+MOD(ROW()-1,7)+50)&lt;&gt;"","set "&amp;INDEX(CUEs!$A:$A,INT((ROW()-1)/7)*57+MOD(ROW()-1,7)+50)&amp;"=/ s "&amp;INDEX(CUEs!$B:$B,INT((ROW()-1)/7)*57+MOD(ROW()-1,7)+50),"")</f>
        <v/>
      </c>
    </row>
    <row r="649" spans="1:1" x14ac:dyDescent="0.25">
      <c r="A649" t="str" cm="1">
        <f t="array" ref="A649">IF(INDEX(CUEs!$A:$A,INT((ROW()-1)/7)*57+MOD(ROW()-1,7)+50)&lt;&gt;"","set "&amp;INDEX(CUEs!$A:$A,INT((ROW()-1)/7)*57+MOD(ROW()-1,7)+50)&amp;"=/ s "&amp;INDEX(CUEs!$B:$B,INT((ROW()-1)/7)*57+MOD(ROW()-1,7)+50),"")</f>
        <v/>
      </c>
    </row>
    <row r="650" spans="1:1" x14ac:dyDescent="0.25">
      <c r="A650" t="str" cm="1">
        <f t="array" ref="A650">IF(INDEX(CUEs!$A:$A,INT((ROW()-1)/7)*57+MOD(ROW()-1,7)+50)&lt;&gt;"","set "&amp;INDEX(CUEs!$A:$A,INT((ROW()-1)/7)*57+MOD(ROW()-1,7)+50)&amp;"=/ s "&amp;INDEX(CUEs!$B:$B,INT((ROW()-1)/7)*57+MOD(ROW()-1,7)+50),"")</f>
        <v/>
      </c>
    </row>
    <row r="651" spans="1:1" x14ac:dyDescent="0.25">
      <c r="A651" t="str" cm="1">
        <f t="array" ref="A651">IF(INDEX(CUEs!$A:$A,INT((ROW()-1)/7)*57+MOD(ROW()-1,7)+50)&lt;&gt;"","set "&amp;INDEX(CUEs!$A:$A,INT((ROW()-1)/7)*57+MOD(ROW()-1,7)+50)&amp;"=/ s "&amp;INDEX(CUEs!$B:$B,INT((ROW()-1)/7)*57+MOD(ROW()-1,7)+50),"")</f>
        <v/>
      </c>
    </row>
    <row r="652" spans="1:1" x14ac:dyDescent="0.25">
      <c r="A652" t="str" cm="1">
        <f t="array" ref="A652">IF(INDEX(CUEs!$A:$A,INT((ROW()-1)/7)*57+MOD(ROW()-1,7)+50)&lt;&gt;"","set "&amp;INDEX(CUEs!$A:$A,INT((ROW()-1)/7)*57+MOD(ROW()-1,7)+50)&amp;"=/ s "&amp;INDEX(CUEs!$B:$B,INT((ROW()-1)/7)*57+MOD(ROW()-1,7)+50),"")</f>
        <v/>
      </c>
    </row>
    <row r="653" spans="1:1" x14ac:dyDescent="0.25">
      <c r="A653" t="str" cm="1">
        <f t="array" ref="A653">IF(INDEX(CUEs!$A:$A,INT((ROW()-1)/7)*57+MOD(ROW()-1,7)+50)&lt;&gt;"","set "&amp;INDEX(CUEs!$A:$A,INT((ROW()-1)/7)*57+MOD(ROW()-1,7)+50)&amp;"=/ s "&amp;INDEX(CUEs!$B:$B,INT((ROW()-1)/7)*57+MOD(ROW()-1,7)+50),"")</f>
        <v/>
      </c>
    </row>
    <row r="654" spans="1:1" x14ac:dyDescent="0.25">
      <c r="A654" t="str" cm="1">
        <f t="array" ref="A654">IF(INDEX(CUEs!$A:$A,INT((ROW()-1)/7)*57+MOD(ROW()-1,7)+50)&lt;&gt;"","set "&amp;INDEX(CUEs!$A:$A,INT((ROW()-1)/7)*57+MOD(ROW()-1,7)+50)&amp;"=/ s "&amp;INDEX(CUEs!$B:$B,INT((ROW()-1)/7)*57+MOD(ROW()-1,7)+50),"")</f>
        <v/>
      </c>
    </row>
    <row r="655" spans="1:1" x14ac:dyDescent="0.25">
      <c r="A655" t="str" cm="1">
        <f t="array" ref="A655">IF(INDEX(CUEs!$A:$A,INT((ROW()-1)/7)*57+MOD(ROW()-1,7)+50)&lt;&gt;"","set "&amp;INDEX(CUEs!$A:$A,INT((ROW()-1)/7)*57+MOD(ROW()-1,7)+50)&amp;"=/ s "&amp;INDEX(CUEs!$B:$B,INT((ROW()-1)/7)*57+MOD(ROW()-1,7)+50),"")</f>
        <v/>
      </c>
    </row>
    <row r="656" spans="1:1" x14ac:dyDescent="0.25">
      <c r="A656" t="str" cm="1">
        <f t="array" ref="A656">IF(INDEX(CUEs!$A:$A,INT((ROW()-1)/7)*57+MOD(ROW()-1,7)+50)&lt;&gt;"","set "&amp;INDEX(CUEs!$A:$A,INT((ROW()-1)/7)*57+MOD(ROW()-1,7)+50)&amp;"=/ s "&amp;INDEX(CUEs!$B:$B,INT((ROW()-1)/7)*57+MOD(ROW()-1,7)+50),"")</f>
        <v/>
      </c>
    </row>
    <row r="657" spans="1:1" x14ac:dyDescent="0.25">
      <c r="A657" t="str" cm="1">
        <f t="array" ref="A657">IF(INDEX(CUEs!$A:$A,INT((ROW()-1)/7)*57+MOD(ROW()-1,7)+50)&lt;&gt;"","set "&amp;INDEX(CUEs!$A:$A,INT((ROW()-1)/7)*57+MOD(ROW()-1,7)+50)&amp;"=/ s "&amp;INDEX(CUEs!$B:$B,INT((ROW()-1)/7)*57+MOD(ROW()-1,7)+50),"")</f>
        <v/>
      </c>
    </row>
    <row r="658" spans="1:1" x14ac:dyDescent="0.25">
      <c r="A658" t="str" cm="1">
        <f t="array" ref="A658">IF(INDEX(CUEs!$A:$A,INT((ROW()-1)/7)*57+MOD(ROW()-1,7)+50)&lt;&gt;"","set "&amp;INDEX(CUEs!$A:$A,INT((ROW()-1)/7)*57+MOD(ROW()-1,7)+50)&amp;"=/ s "&amp;INDEX(CUEs!$B:$B,INT((ROW()-1)/7)*57+MOD(ROW()-1,7)+50),"")</f>
        <v/>
      </c>
    </row>
    <row r="659" spans="1:1" x14ac:dyDescent="0.25">
      <c r="A659" t="str" cm="1">
        <f t="array" ref="A659">IF(INDEX(CUEs!$A:$A,INT((ROW()-1)/7)*57+MOD(ROW()-1,7)+50)&lt;&gt;"","set "&amp;INDEX(CUEs!$A:$A,INT((ROW()-1)/7)*57+MOD(ROW()-1,7)+50)&amp;"=/ s "&amp;INDEX(CUEs!$B:$B,INT((ROW()-1)/7)*57+MOD(ROW()-1,7)+50),"")</f>
        <v/>
      </c>
    </row>
    <row r="660" spans="1:1" x14ac:dyDescent="0.25">
      <c r="A660" t="str" cm="1">
        <f t="array" ref="A660">IF(INDEX(CUEs!$A:$A,INT((ROW()-1)/7)*57+MOD(ROW()-1,7)+50)&lt;&gt;"","set "&amp;INDEX(CUEs!$A:$A,INT((ROW()-1)/7)*57+MOD(ROW()-1,7)+50)&amp;"=/ s "&amp;INDEX(CUEs!$B:$B,INT((ROW()-1)/7)*57+MOD(ROW()-1,7)+50),"")</f>
        <v/>
      </c>
    </row>
    <row r="661" spans="1:1" x14ac:dyDescent="0.25">
      <c r="A661" t="str" cm="1">
        <f t="array" ref="A661">IF(INDEX(CUEs!$A:$A,INT((ROW()-1)/7)*57+MOD(ROW()-1,7)+50)&lt;&gt;"","set "&amp;INDEX(CUEs!$A:$A,INT((ROW()-1)/7)*57+MOD(ROW()-1,7)+50)&amp;"=/ s "&amp;INDEX(CUEs!$B:$B,INT((ROW()-1)/7)*57+MOD(ROW()-1,7)+50),"")</f>
        <v/>
      </c>
    </row>
    <row r="662" spans="1:1" x14ac:dyDescent="0.25">
      <c r="A662" t="str" cm="1">
        <f t="array" ref="A662">IF(INDEX(CUEs!$A:$A,INT((ROW()-1)/7)*57+MOD(ROW()-1,7)+50)&lt;&gt;"","set "&amp;INDEX(CUEs!$A:$A,INT((ROW()-1)/7)*57+MOD(ROW()-1,7)+50)&amp;"=/ s "&amp;INDEX(CUEs!$B:$B,INT((ROW()-1)/7)*57+MOD(ROW()-1,7)+50),"")</f>
        <v/>
      </c>
    </row>
    <row r="663" spans="1:1" x14ac:dyDescent="0.25">
      <c r="A663" t="str" cm="1">
        <f t="array" ref="A663">IF(INDEX(CUEs!$A:$A,INT((ROW()-1)/7)*57+MOD(ROW()-1,7)+50)&lt;&gt;"","set "&amp;INDEX(CUEs!$A:$A,INT((ROW()-1)/7)*57+MOD(ROW()-1,7)+50)&amp;"=/ s "&amp;INDEX(CUEs!$B:$B,INT((ROW()-1)/7)*57+MOD(ROW()-1,7)+50),"")</f>
        <v/>
      </c>
    </row>
    <row r="664" spans="1:1" x14ac:dyDescent="0.25">
      <c r="A664" t="str" cm="1">
        <f t="array" ref="A664">IF(INDEX(CUEs!$A:$A,INT((ROW()-1)/7)*57+MOD(ROW()-1,7)+50)&lt;&gt;"","set "&amp;INDEX(CUEs!$A:$A,INT((ROW()-1)/7)*57+MOD(ROW()-1,7)+50)&amp;"=/ s "&amp;INDEX(CUEs!$B:$B,INT((ROW()-1)/7)*57+MOD(ROW()-1,7)+50),"")</f>
        <v/>
      </c>
    </row>
    <row r="665" spans="1:1" x14ac:dyDescent="0.25">
      <c r="A665" t="str" cm="1">
        <f t="array" ref="A665">IF(INDEX(CUEs!$A:$A,INT((ROW()-1)/7)*57+MOD(ROW()-1,7)+50)&lt;&gt;"","set "&amp;INDEX(CUEs!$A:$A,INT((ROW()-1)/7)*57+MOD(ROW()-1,7)+50)&amp;"=/ s "&amp;INDEX(CUEs!$B:$B,INT((ROW()-1)/7)*57+MOD(ROW()-1,7)+50),"")</f>
        <v/>
      </c>
    </row>
    <row r="666" spans="1:1" x14ac:dyDescent="0.25">
      <c r="A666" t="str" cm="1">
        <f t="array" ref="A666">IF(INDEX(CUEs!$A:$A,INT((ROW()-1)/7)*57+MOD(ROW()-1,7)+50)&lt;&gt;"","set "&amp;INDEX(CUEs!$A:$A,INT((ROW()-1)/7)*57+MOD(ROW()-1,7)+50)&amp;"=/ s "&amp;INDEX(CUEs!$B:$B,INT((ROW()-1)/7)*57+MOD(ROW()-1,7)+50),"")</f>
        <v/>
      </c>
    </row>
    <row r="667" spans="1:1" x14ac:dyDescent="0.25">
      <c r="A667" t="str" cm="1">
        <f t="array" ref="A667">IF(INDEX(CUEs!$A:$A,INT((ROW()-1)/7)*57+MOD(ROW()-1,7)+50)&lt;&gt;"","set "&amp;INDEX(CUEs!$A:$A,INT((ROW()-1)/7)*57+MOD(ROW()-1,7)+50)&amp;"=/ s "&amp;INDEX(CUEs!$B:$B,INT((ROW()-1)/7)*57+MOD(ROW()-1,7)+50),"")</f>
        <v/>
      </c>
    </row>
    <row r="668" spans="1:1" x14ac:dyDescent="0.25">
      <c r="A668" t="str" cm="1">
        <f t="array" ref="A668">IF(INDEX(CUEs!$A:$A,INT((ROW()-1)/7)*57+MOD(ROW()-1,7)+50)&lt;&gt;"","set "&amp;INDEX(CUEs!$A:$A,INT((ROW()-1)/7)*57+MOD(ROW()-1,7)+50)&amp;"=/ s "&amp;INDEX(CUEs!$B:$B,INT((ROW()-1)/7)*57+MOD(ROW()-1,7)+50),"")</f>
        <v/>
      </c>
    </row>
    <row r="669" spans="1:1" x14ac:dyDescent="0.25">
      <c r="A669" t="str" cm="1">
        <f t="array" ref="A669">IF(INDEX(CUEs!$A:$A,INT((ROW()-1)/7)*57+MOD(ROW()-1,7)+50)&lt;&gt;"","set "&amp;INDEX(CUEs!$A:$A,INT((ROW()-1)/7)*57+MOD(ROW()-1,7)+50)&amp;"=/ s "&amp;INDEX(CUEs!$B:$B,INT((ROW()-1)/7)*57+MOD(ROW()-1,7)+50),"")</f>
        <v/>
      </c>
    </row>
    <row r="670" spans="1:1" x14ac:dyDescent="0.25">
      <c r="A670" t="str" cm="1">
        <f t="array" ref="A670">IF(INDEX(CUEs!$A:$A,INT((ROW()-1)/7)*57+MOD(ROW()-1,7)+50)&lt;&gt;"","set "&amp;INDEX(CUEs!$A:$A,INT((ROW()-1)/7)*57+MOD(ROW()-1,7)+50)&amp;"=/ s "&amp;INDEX(CUEs!$B:$B,INT((ROW()-1)/7)*57+MOD(ROW()-1,7)+50),"")</f>
        <v/>
      </c>
    </row>
    <row r="671" spans="1:1" x14ac:dyDescent="0.25">
      <c r="A671" t="str" cm="1">
        <f t="array" ref="A671">IF(INDEX(CUEs!$A:$A,INT((ROW()-1)/7)*57+MOD(ROW()-1,7)+50)&lt;&gt;"","set "&amp;INDEX(CUEs!$A:$A,INT((ROW()-1)/7)*57+MOD(ROW()-1,7)+50)&amp;"=/ s "&amp;INDEX(CUEs!$B:$B,INT((ROW()-1)/7)*57+MOD(ROW()-1,7)+50),"")</f>
        <v/>
      </c>
    </row>
    <row r="672" spans="1:1" x14ac:dyDescent="0.25">
      <c r="A672" t="str" cm="1">
        <f t="array" ref="A672">IF(INDEX(CUEs!$A:$A,INT((ROW()-1)/7)*57+MOD(ROW()-1,7)+50)&lt;&gt;"","set "&amp;INDEX(CUEs!$A:$A,INT((ROW()-1)/7)*57+MOD(ROW()-1,7)+50)&amp;"=/ s "&amp;INDEX(CUEs!$B:$B,INT((ROW()-1)/7)*57+MOD(ROW()-1,7)+50),"")</f>
        <v/>
      </c>
    </row>
    <row r="673" spans="1:1" x14ac:dyDescent="0.25">
      <c r="A673" t="str" cm="1">
        <f t="array" ref="A673">IF(INDEX(CUEs!$A:$A,INT((ROW()-1)/7)*57+MOD(ROW()-1,7)+50)&lt;&gt;"","set "&amp;INDEX(CUEs!$A:$A,INT((ROW()-1)/7)*57+MOD(ROW()-1,7)+50)&amp;"=/ s "&amp;INDEX(CUEs!$B:$B,INT((ROW()-1)/7)*57+MOD(ROW()-1,7)+50),"")</f>
        <v/>
      </c>
    </row>
    <row r="674" spans="1:1" x14ac:dyDescent="0.25">
      <c r="A674" t="str" cm="1">
        <f t="array" ref="A674">IF(INDEX(CUEs!$A:$A,INT((ROW()-1)/7)*57+MOD(ROW()-1,7)+50)&lt;&gt;"","set "&amp;INDEX(CUEs!$A:$A,INT((ROW()-1)/7)*57+MOD(ROW()-1,7)+50)&amp;"=/ s "&amp;INDEX(CUEs!$B:$B,INT((ROW()-1)/7)*57+MOD(ROW()-1,7)+50),"")</f>
        <v/>
      </c>
    </row>
    <row r="675" spans="1:1" x14ac:dyDescent="0.25">
      <c r="A675" t="str" cm="1">
        <f t="array" ref="A675">IF(INDEX(CUEs!$A:$A,INT((ROW()-1)/7)*57+MOD(ROW()-1,7)+50)&lt;&gt;"","set "&amp;INDEX(CUEs!$A:$A,INT((ROW()-1)/7)*57+MOD(ROW()-1,7)+50)&amp;"=/ s "&amp;INDEX(CUEs!$B:$B,INT((ROW()-1)/7)*57+MOD(ROW()-1,7)+50),"")</f>
        <v/>
      </c>
    </row>
    <row r="676" spans="1:1" x14ac:dyDescent="0.25">
      <c r="A676" t="str" cm="1">
        <f t="array" ref="A676">IF(INDEX(CUEs!$A:$A,INT((ROW()-1)/7)*57+MOD(ROW()-1,7)+50)&lt;&gt;"","set "&amp;INDEX(CUEs!$A:$A,INT((ROW()-1)/7)*57+MOD(ROW()-1,7)+50)&amp;"=/ s "&amp;INDEX(CUEs!$B:$B,INT((ROW()-1)/7)*57+MOD(ROW()-1,7)+50),"")</f>
        <v/>
      </c>
    </row>
    <row r="677" spans="1:1" x14ac:dyDescent="0.25">
      <c r="A677" t="str" cm="1">
        <f t="array" ref="A677">IF(INDEX(CUEs!$A:$A,INT((ROW()-1)/7)*57+MOD(ROW()-1,7)+50)&lt;&gt;"","set "&amp;INDEX(CUEs!$A:$A,INT((ROW()-1)/7)*57+MOD(ROW()-1,7)+50)&amp;"=/ s "&amp;INDEX(CUEs!$B:$B,INT((ROW()-1)/7)*57+MOD(ROW()-1,7)+50),"")</f>
        <v/>
      </c>
    </row>
    <row r="678" spans="1:1" x14ac:dyDescent="0.25">
      <c r="A678" t="str" cm="1">
        <f t="array" ref="A678">IF(INDEX(CUEs!$A:$A,INT((ROW()-1)/7)*57+MOD(ROW()-1,7)+50)&lt;&gt;"","set "&amp;INDEX(CUEs!$A:$A,INT((ROW()-1)/7)*57+MOD(ROW()-1,7)+50)&amp;"=/ s "&amp;INDEX(CUEs!$B:$B,INT((ROW()-1)/7)*57+MOD(ROW()-1,7)+50),"")</f>
        <v/>
      </c>
    </row>
    <row r="679" spans="1:1" x14ac:dyDescent="0.25">
      <c r="A679" t="str" cm="1">
        <f t="array" ref="A679">IF(INDEX(CUEs!$A:$A,INT((ROW()-1)/7)*57+MOD(ROW()-1,7)+50)&lt;&gt;"","set "&amp;INDEX(CUEs!$A:$A,INT((ROW()-1)/7)*57+MOD(ROW()-1,7)+50)&amp;"=/ s "&amp;INDEX(CUEs!$B:$B,INT((ROW()-1)/7)*57+MOD(ROW()-1,7)+50),"")</f>
        <v/>
      </c>
    </row>
    <row r="680" spans="1:1" x14ac:dyDescent="0.25">
      <c r="A680" t="str" cm="1">
        <f t="array" ref="A680">IF(INDEX(CUEs!$A:$A,INT((ROW()-1)/7)*57+MOD(ROW()-1,7)+50)&lt;&gt;"","set "&amp;INDEX(CUEs!$A:$A,INT((ROW()-1)/7)*57+MOD(ROW()-1,7)+50)&amp;"=/ s "&amp;INDEX(CUEs!$B:$B,INT((ROW()-1)/7)*57+MOD(ROW()-1,7)+50),"")</f>
        <v/>
      </c>
    </row>
    <row r="681" spans="1:1" x14ac:dyDescent="0.25">
      <c r="A681" t="str" cm="1">
        <f t="array" ref="A681">IF(INDEX(CUEs!$A:$A,INT((ROW()-1)/7)*57+MOD(ROW()-1,7)+50)&lt;&gt;"","set "&amp;INDEX(CUEs!$A:$A,INT((ROW()-1)/7)*57+MOD(ROW()-1,7)+50)&amp;"=/ s "&amp;INDEX(CUEs!$B:$B,INT((ROW()-1)/7)*57+MOD(ROW()-1,7)+50),"")</f>
        <v/>
      </c>
    </row>
    <row r="682" spans="1:1" x14ac:dyDescent="0.25">
      <c r="A682" t="str" cm="1">
        <f t="array" ref="A682">IF(INDEX(CUEs!$A:$A,INT((ROW()-1)/7)*57+MOD(ROW()-1,7)+50)&lt;&gt;"","set "&amp;INDEX(CUEs!$A:$A,INT((ROW()-1)/7)*57+MOD(ROW()-1,7)+50)&amp;"=/ s "&amp;INDEX(CUEs!$B:$B,INT((ROW()-1)/7)*57+MOD(ROW()-1,7)+50),"")</f>
        <v/>
      </c>
    </row>
    <row r="683" spans="1:1" x14ac:dyDescent="0.25">
      <c r="A683" t="str" cm="1">
        <f t="array" ref="A683">IF(INDEX(CUEs!$A:$A,INT((ROW()-1)/7)*57+MOD(ROW()-1,7)+50)&lt;&gt;"","set "&amp;INDEX(CUEs!$A:$A,INT((ROW()-1)/7)*57+MOD(ROW()-1,7)+50)&amp;"=/ s "&amp;INDEX(CUEs!$B:$B,INT((ROW()-1)/7)*57+MOD(ROW()-1,7)+50),"")</f>
        <v/>
      </c>
    </row>
    <row r="684" spans="1:1" x14ac:dyDescent="0.25">
      <c r="A684" t="str" cm="1">
        <f t="array" ref="A684">IF(INDEX(CUEs!$A:$A,INT((ROW()-1)/7)*57+MOD(ROW()-1,7)+50)&lt;&gt;"","set "&amp;INDEX(CUEs!$A:$A,INT((ROW()-1)/7)*57+MOD(ROW()-1,7)+50)&amp;"=/ s "&amp;INDEX(CUEs!$B:$B,INT((ROW()-1)/7)*57+MOD(ROW()-1,7)+50),"")</f>
        <v/>
      </c>
    </row>
    <row r="685" spans="1:1" x14ac:dyDescent="0.25">
      <c r="A685" t="str" cm="1">
        <f t="array" ref="A685">IF(INDEX(CUEs!$A:$A,INT((ROW()-1)/7)*57+MOD(ROW()-1,7)+50)&lt;&gt;"","set "&amp;INDEX(CUEs!$A:$A,INT((ROW()-1)/7)*57+MOD(ROW()-1,7)+50)&amp;"=/ s "&amp;INDEX(CUEs!$B:$B,INT((ROW()-1)/7)*57+MOD(ROW()-1,7)+50),"")</f>
        <v/>
      </c>
    </row>
    <row r="686" spans="1:1" x14ac:dyDescent="0.25">
      <c r="A686" t="str" cm="1">
        <f t="array" ref="A686">IF(INDEX(CUEs!$A:$A,INT((ROW()-1)/7)*57+MOD(ROW()-1,7)+50)&lt;&gt;"","set "&amp;INDEX(CUEs!$A:$A,INT((ROW()-1)/7)*57+MOD(ROW()-1,7)+50)&amp;"=/ s "&amp;INDEX(CUEs!$B:$B,INT((ROW()-1)/7)*57+MOD(ROW()-1,7)+50),"")</f>
        <v/>
      </c>
    </row>
    <row r="687" spans="1:1" x14ac:dyDescent="0.25">
      <c r="A687" t="str" cm="1">
        <f t="array" ref="A687">IF(INDEX(CUEs!$A:$A,INT((ROW()-1)/7)*57+MOD(ROW()-1,7)+50)&lt;&gt;"","set "&amp;INDEX(CUEs!$A:$A,INT((ROW()-1)/7)*57+MOD(ROW()-1,7)+50)&amp;"=/ s "&amp;INDEX(CUEs!$B:$B,INT((ROW()-1)/7)*57+MOD(ROW()-1,7)+50),"")</f>
        <v/>
      </c>
    </row>
    <row r="688" spans="1:1" x14ac:dyDescent="0.25">
      <c r="A688" t="str" cm="1">
        <f t="array" ref="A688">IF(INDEX(CUEs!$A:$A,INT((ROW()-1)/7)*57+MOD(ROW()-1,7)+50)&lt;&gt;"","set "&amp;INDEX(CUEs!$A:$A,INT((ROW()-1)/7)*57+MOD(ROW()-1,7)+50)&amp;"=/ s "&amp;INDEX(CUEs!$B:$B,INT((ROW()-1)/7)*57+MOD(ROW()-1,7)+50),"")</f>
        <v/>
      </c>
    </row>
    <row r="689" spans="1:1" x14ac:dyDescent="0.25">
      <c r="A689" t="str" cm="1">
        <f t="array" ref="A689">IF(INDEX(CUEs!$A:$A,INT((ROW()-1)/7)*57+MOD(ROW()-1,7)+50)&lt;&gt;"","set "&amp;INDEX(CUEs!$A:$A,INT((ROW()-1)/7)*57+MOD(ROW()-1,7)+50)&amp;"=/ s "&amp;INDEX(CUEs!$B:$B,INT((ROW()-1)/7)*57+MOD(ROW()-1,7)+50),"")</f>
        <v/>
      </c>
    </row>
    <row r="690" spans="1:1" x14ac:dyDescent="0.25">
      <c r="A690" t="str" cm="1">
        <f t="array" ref="A690">IF(INDEX(CUEs!$A:$A,INT((ROW()-1)/7)*57+MOD(ROW()-1,7)+50)&lt;&gt;"","set "&amp;INDEX(CUEs!$A:$A,INT((ROW()-1)/7)*57+MOD(ROW()-1,7)+50)&amp;"=/ s "&amp;INDEX(CUEs!$B:$B,INT((ROW()-1)/7)*57+MOD(ROW()-1,7)+50),"")</f>
        <v/>
      </c>
    </row>
    <row r="691" spans="1:1" x14ac:dyDescent="0.25">
      <c r="A691" t="str" cm="1">
        <f t="array" ref="A691">IF(INDEX(CUEs!$A:$A,INT((ROW()-1)/7)*57+MOD(ROW()-1,7)+50)&lt;&gt;"","set "&amp;INDEX(CUEs!$A:$A,INT((ROW()-1)/7)*57+MOD(ROW()-1,7)+50)&amp;"=/ s "&amp;INDEX(CUEs!$B:$B,INT((ROW()-1)/7)*57+MOD(ROW()-1,7)+50),"")</f>
        <v/>
      </c>
    </row>
    <row r="692" spans="1:1" x14ac:dyDescent="0.25">
      <c r="A692" t="str" cm="1">
        <f t="array" ref="A692">IF(INDEX(CUEs!$A:$A,INT((ROW()-1)/7)*57+MOD(ROW()-1,7)+50)&lt;&gt;"","set "&amp;INDEX(CUEs!$A:$A,INT((ROW()-1)/7)*57+MOD(ROW()-1,7)+50)&amp;"=/ s "&amp;INDEX(CUEs!$B:$B,INT((ROW()-1)/7)*57+MOD(ROW()-1,7)+50),"")</f>
        <v/>
      </c>
    </row>
    <row r="693" spans="1:1" x14ac:dyDescent="0.25">
      <c r="A693" t="str" cm="1">
        <f t="array" ref="A693">IF(INDEX(CUEs!$A:$A,INT((ROW()-1)/7)*57+MOD(ROW()-1,7)+50)&lt;&gt;"","set "&amp;INDEX(CUEs!$A:$A,INT((ROW()-1)/7)*57+MOD(ROW()-1,7)+50)&amp;"=/ s "&amp;INDEX(CUEs!$B:$B,INT((ROW()-1)/7)*57+MOD(ROW()-1,7)+50),"")</f>
        <v/>
      </c>
    </row>
    <row r="694" spans="1:1" x14ac:dyDescent="0.25">
      <c r="A694" t="str" cm="1">
        <f t="array" ref="A694">IF(INDEX(CUEs!$A:$A,INT((ROW()-1)/7)*57+MOD(ROW()-1,7)+50)&lt;&gt;"","set "&amp;INDEX(CUEs!$A:$A,INT((ROW()-1)/7)*57+MOD(ROW()-1,7)+50)&amp;"=/ s "&amp;INDEX(CUEs!$B:$B,INT((ROW()-1)/7)*57+MOD(ROW()-1,7)+50),"")</f>
        <v/>
      </c>
    </row>
    <row r="695" spans="1:1" x14ac:dyDescent="0.25">
      <c r="A695" t="str" cm="1">
        <f t="array" ref="A695">IF(INDEX(CUEs!$A:$A,INT((ROW()-1)/7)*57+MOD(ROW()-1,7)+50)&lt;&gt;"","set "&amp;INDEX(CUEs!$A:$A,INT((ROW()-1)/7)*57+MOD(ROW()-1,7)+50)&amp;"=/ s "&amp;INDEX(CUEs!$B:$B,INT((ROW()-1)/7)*57+MOD(ROW()-1,7)+50),"")</f>
        <v/>
      </c>
    </row>
    <row r="696" spans="1:1" x14ac:dyDescent="0.25">
      <c r="A696" t="str" cm="1">
        <f t="array" ref="A696">IF(INDEX(CUEs!$A:$A,INT((ROW()-1)/7)*57+MOD(ROW()-1,7)+50)&lt;&gt;"","set "&amp;INDEX(CUEs!$A:$A,INT((ROW()-1)/7)*57+MOD(ROW()-1,7)+50)&amp;"=/ s "&amp;INDEX(CUEs!$B:$B,INT((ROW()-1)/7)*57+MOD(ROW()-1,7)+50),"")</f>
        <v/>
      </c>
    </row>
    <row r="697" spans="1:1" x14ac:dyDescent="0.25">
      <c r="A697" t="str" cm="1">
        <f t="array" ref="A697">IF(INDEX(CUEs!$A:$A,INT((ROW()-1)/7)*57+MOD(ROW()-1,7)+50)&lt;&gt;"","set "&amp;INDEX(CUEs!$A:$A,INT((ROW()-1)/7)*57+MOD(ROW()-1,7)+50)&amp;"=/ s "&amp;INDEX(CUEs!$B:$B,INT((ROW()-1)/7)*57+MOD(ROW()-1,7)+50),"")</f>
        <v/>
      </c>
    </row>
    <row r="698" spans="1:1" x14ac:dyDescent="0.25">
      <c r="A698" t="str" cm="1">
        <f t="array" ref="A698">IF(INDEX(CUEs!$A:$A,INT((ROW()-1)/7)*57+MOD(ROW()-1,7)+50)&lt;&gt;"","set "&amp;INDEX(CUEs!$A:$A,INT((ROW()-1)/7)*57+MOD(ROW()-1,7)+50)&amp;"=/ s "&amp;INDEX(CUEs!$B:$B,INT((ROW()-1)/7)*57+MOD(ROW()-1,7)+50),"")</f>
        <v/>
      </c>
    </row>
    <row r="699" spans="1:1" x14ac:dyDescent="0.25">
      <c r="A699" t="str" cm="1">
        <f t="array" ref="A699">IF(INDEX(CUEs!$A:$A,INT((ROW()-1)/7)*57+MOD(ROW()-1,7)+50)&lt;&gt;"","set "&amp;INDEX(CUEs!$A:$A,INT((ROW()-1)/7)*57+MOD(ROW()-1,7)+50)&amp;"=/ s "&amp;INDEX(CUEs!$B:$B,INT((ROW()-1)/7)*57+MOD(ROW()-1,7)+50),"")</f>
        <v/>
      </c>
    </row>
    <row r="700" spans="1:1" x14ac:dyDescent="0.25">
      <c r="A700" t="str" cm="1">
        <f t="array" ref="A700">IF(INDEX(CUEs!$A:$A,INT((ROW()-1)/7)*57+MOD(ROW()-1,7)+50)&lt;&gt;"","set "&amp;INDEX(CUEs!$A:$A,INT((ROW()-1)/7)*57+MOD(ROW()-1,7)+50)&amp;"=/ s "&amp;INDEX(CUEs!$B:$B,INT((ROW()-1)/7)*57+MOD(ROW()-1,7)+50),"")</f>
        <v/>
      </c>
    </row>
    <row r="701" spans="1:1" x14ac:dyDescent="0.25">
      <c r="A701" t="str" cm="1">
        <f t="array" ref="A701">IF(INDEX(CUEs!$A:$A,INT((ROW()-1)/7)*57+MOD(ROW()-1,7)+50)&lt;&gt;"","set "&amp;INDEX(CUEs!$A:$A,INT((ROW()-1)/7)*57+MOD(ROW()-1,7)+50)&amp;"=/ s "&amp;INDEX(CUEs!$B:$B,INT((ROW()-1)/7)*57+MOD(ROW()-1,7)+50),"")</f>
        <v/>
      </c>
    </row>
    <row r="702" spans="1:1" x14ac:dyDescent="0.25">
      <c r="A702" t="str" cm="1">
        <f t="array" ref="A702">IF(INDEX(CUEs!$A:$A,INT((ROW()-1)/7)*57+MOD(ROW()-1,7)+50)&lt;&gt;"","set "&amp;INDEX(CUEs!$A:$A,INT((ROW()-1)/7)*57+MOD(ROW()-1,7)+50)&amp;"=/ s "&amp;INDEX(CUEs!$B:$B,INT((ROW()-1)/7)*57+MOD(ROW()-1,7)+50),"")</f>
        <v/>
      </c>
    </row>
    <row r="703" spans="1:1" x14ac:dyDescent="0.25">
      <c r="A703" t="str" cm="1">
        <f t="array" ref="A703">IF(INDEX(CUEs!$A:$A,INT((ROW()-1)/7)*57+MOD(ROW()-1,7)+50)&lt;&gt;"","set "&amp;INDEX(CUEs!$A:$A,INT((ROW()-1)/7)*57+MOD(ROW()-1,7)+50)&amp;"=/ s "&amp;INDEX(CUEs!$B:$B,INT((ROW()-1)/7)*57+MOD(ROW()-1,7)+50),"")</f>
        <v/>
      </c>
    </row>
    <row r="704" spans="1:1" x14ac:dyDescent="0.25">
      <c r="A704" t="str" cm="1">
        <f t="array" ref="A704">IF(INDEX(CUEs!$A:$A,INT((ROW()-1)/7)*57+MOD(ROW()-1,7)+50)&lt;&gt;"","set "&amp;INDEX(CUEs!$A:$A,INT((ROW()-1)/7)*57+MOD(ROW()-1,7)+50)&amp;"=/ s "&amp;INDEX(CUEs!$B:$B,INT((ROW()-1)/7)*57+MOD(ROW()-1,7)+50),"")</f>
        <v/>
      </c>
    </row>
    <row r="705" spans="1:1" x14ac:dyDescent="0.25">
      <c r="A705" t="str" cm="1">
        <f t="array" ref="A705">IF(INDEX(CUEs!$A:$A,INT((ROW()-1)/7)*57+MOD(ROW()-1,7)+50)&lt;&gt;"","set "&amp;INDEX(CUEs!$A:$A,INT((ROW()-1)/7)*57+MOD(ROW()-1,7)+50)&amp;"=/ s "&amp;INDEX(CUEs!$B:$B,INT((ROW()-1)/7)*57+MOD(ROW()-1,7)+50),"")</f>
        <v/>
      </c>
    </row>
    <row r="706" spans="1:1" x14ac:dyDescent="0.25">
      <c r="A706" t="str" cm="1">
        <f t="array" ref="A706">IF(INDEX(CUEs!$A:$A,INT((ROW()-1)/7)*57+MOD(ROW()-1,7)+50)&lt;&gt;"","set "&amp;INDEX(CUEs!$A:$A,INT((ROW()-1)/7)*57+MOD(ROW()-1,7)+50)&amp;"=/ s "&amp;INDEX(CUEs!$B:$B,INT((ROW()-1)/7)*57+MOD(ROW()-1,7)+50),"")</f>
        <v/>
      </c>
    </row>
    <row r="707" spans="1:1" x14ac:dyDescent="0.25">
      <c r="A707" t="str" cm="1">
        <f t="array" ref="A707">IF(INDEX(CUEs!$A:$A,INT((ROW()-1)/7)*57+MOD(ROW()-1,7)+50)&lt;&gt;"","set "&amp;INDEX(CUEs!$A:$A,INT((ROW()-1)/7)*57+MOD(ROW()-1,7)+50)&amp;"=/ s "&amp;INDEX(CUEs!$B:$B,INT((ROW()-1)/7)*57+MOD(ROW()-1,7)+50),"")</f>
        <v/>
      </c>
    </row>
    <row r="708" spans="1:1" x14ac:dyDescent="0.25">
      <c r="A708" t="str" cm="1">
        <f t="array" ref="A708">IF(INDEX(CUEs!$A:$A,INT((ROW()-1)/7)*57+MOD(ROW()-1,7)+50)&lt;&gt;"","set "&amp;INDEX(CUEs!$A:$A,INT((ROW()-1)/7)*57+MOD(ROW()-1,7)+50)&amp;"=/ s "&amp;INDEX(CUEs!$B:$B,INT((ROW()-1)/7)*57+MOD(ROW()-1,7)+50),"")</f>
        <v/>
      </c>
    </row>
    <row r="709" spans="1:1" x14ac:dyDescent="0.25">
      <c r="A709" t="str" cm="1">
        <f t="array" ref="A709">IF(INDEX(CUEs!$A:$A,INT((ROW()-1)/7)*57+MOD(ROW()-1,7)+50)&lt;&gt;"","set "&amp;INDEX(CUEs!$A:$A,INT((ROW()-1)/7)*57+MOD(ROW()-1,7)+50)&amp;"=/ s "&amp;INDEX(CUEs!$B:$B,INT((ROW()-1)/7)*57+MOD(ROW()-1,7)+50),"")</f>
        <v/>
      </c>
    </row>
    <row r="710" spans="1:1" x14ac:dyDescent="0.25">
      <c r="A710" t="str" cm="1">
        <f t="array" ref="A710">IF(INDEX(CUEs!$A:$A,INT((ROW()-1)/7)*57+MOD(ROW()-1,7)+50)&lt;&gt;"","set "&amp;INDEX(CUEs!$A:$A,INT((ROW()-1)/7)*57+MOD(ROW()-1,7)+50)&amp;"=/ s "&amp;INDEX(CUEs!$B:$B,INT((ROW()-1)/7)*57+MOD(ROW()-1,7)+50),"")</f>
        <v/>
      </c>
    </row>
    <row r="711" spans="1:1" x14ac:dyDescent="0.25">
      <c r="A711" t="str" cm="1">
        <f t="array" ref="A711">IF(INDEX(CUEs!$A:$A,INT((ROW()-1)/7)*57+MOD(ROW()-1,7)+50)&lt;&gt;"","set "&amp;INDEX(CUEs!$A:$A,INT((ROW()-1)/7)*57+MOD(ROW()-1,7)+50)&amp;"=/ s "&amp;INDEX(CUEs!$B:$B,INT((ROW()-1)/7)*57+MOD(ROW()-1,7)+50),"")</f>
        <v/>
      </c>
    </row>
    <row r="712" spans="1:1" x14ac:dyDescent="0.25">
      <c r="A712" t="str" cm="1">
        <f t="array" ref="A712">IF(INDEX(CUEs!$A:$A,INT((ROW()-1)/7)*57+MOD(ROW()-1,7)+50)&lt;&gt;"","set "&amp;INDEX(CUEs!$A:$A,INT((ROW()-1)/7)*57+MOD(ROW()-1,7)+50)&amp;"=/ s "&amp;INDEX(CUEs!$B:$B,INT((ROW()-1)/7)*57+MOD(ROW()-1,7)+50),"")</f>
        <v/>
      </c>
    </row>
    <row r="713" spans="1:1" x14ac:dyDescent="0.25">
      <c r="A713" t="str" cm="1">
        <f t="array" ref="A713">IF(INDEX(CUEs!$A:$A,INT((ROW()-1)/7)*57+MOD(ROW()-1,7)+50)&lt;&gt;"","set "&amp;INDEX(CUEs!$A:$A,INT((ROW()-1)/7)*57+MOD(ROW()-1,7)+50)&amp;"=/ s "&amp;INDEX(CUEs!$B:$B,INT((ROW()-1)/7)*57+MOD(ROW()-1,7)+50),"")</f>
        <v/>
      </c>
    </row>
    <row r="714" spans="1:1" x14ac:dyDescent="0.25">
      <c r="A714" t="str" cm="1">
        <f t="array" ref="A714">IF(INDEX(CUEs!$A:$A,INT((ROW()-1)/7)*57+MOD(ROW()-1,7)+50)&lt;&gt;"","set "&amp;INDEX(CUEs!$A:$A,INT((ROW()-1)/7)*57+MOD(ROW()-1,7)+50)&amp;"=/ s "&amp;INDEX(CUEs!$B:$B,INT((ROW()-1)/7)*57+MOD(ROW()-1,7)+50),"")</f>
        <v/>
      </c>
    </row>
    <row r="715" spans="1:1" x14ac:dyDescent="0.25">
      <c r="A715" t="str" cm="1">
        <f t="array" ref="A715">IF(INDEX(CUEs!$A:$A,INT((ROW()-1)/7)*57+MOD(ROW()-1,7)+50)&lt;&gt;"","set "&amp;INDEX(CUEs!$A:$A,INT((ROW()-1)/7)*57+MOD(ROW()-1,7)+50)&amp;"=/ s "&amp;INDEX(CUEs!$B:$B,INT((ROW()-1)/7)*57+MOD(ROW()-1,7)+50),"")</f>
        <v/>
      </c>
    </row>
    <row r="716" spans="1:1" x14ac:dyDescent="0.25">
      <c r="A716" t="str" cm="1">
        <f t="array" ref="A716">IF(INDEX(CUEs!$A:$A,INT((ROW()-1)/7)*57+MOD(ROW()-1,7)+50)&lt;&gt;"","set "&amp;INDEX(CUEs!$A:$A,INT((ROW()-1)/7)*57+MOD(ROW()-1,7)+50)&amp;"=/ s "&amp;INDEX(CUEs!$B:$B,INT((ROW()-1)/7)*57+MOD(ROW()-1,7)+50),"")</f>
        <v/>
      </c>
    </row>
    <row r="717" spans="1:1" x14ac:dyDescent="0.25">
      <c r="A717" t="str" cm="1">
        <f t="array" ref="A717">IF(INDEX(CUEs!$A:$A,INT((ROW()-1)/7)*57+MOD(ROW()-1,7)+50)&lt;&gt;"","set "&amp;INDEX(CUEs!$A:$A,INT((ROW()-1)/7)*57+MOD(ROW()-1,7)+50)&amp;"=/ s "&amp;INDEX(CUEs!$B:$B,INT((ROW()-1)/7)*57+MOD(ROW()-1,7)+50),"")</f>
        <v/>
      </c>
    </row>
    <row r="718" spans="1:1" x14ac:dyDescent="0.25">
      <c r="A718" t="str" cm="1">
        <f t="array" ref="A718">IF(INDEX(CUEs!$A:$A,INT((ROW()-1)/7)*57+MOD(ROW()-1,7)+50)&lt;&gt;"","set "&amp;INDEX(CUEs!$A:$A,INT((ROW()-1)/7)*57+MOD(ROW()-1,7)+50)&amp;"=/ s "&amp;INDEX(CUEs!$B:$B,INT((ROW()-1)/7)*57+MOD(ROW()-1,7)+50),"")</f>
        <v/>
      </c>
    </row>
    <row r="719" spans="1:1" x14ac:dyDescent="0.25">
      <c r="A719" t="str" cm="1">
        <f t="array" ref="A719">IF(INDEX(CUEs!$A:$A,INT((ROW()-1)/7)*57+MOD(ROW()-1,7)+50)&lt;&gt;"","set "&amp;INDEX(CUEs!$A:$A,INT((ROW()-1)/7)*57+MOD(ROW()-1,7)+50)&amp;"=/ s "&amp;INDEX(CUEs!$B:$B,INT((ROW()-1)/7)*57+MOD(ROW()-1,7)+50),"")</f>
        <v/>
      </c>
    </row>
    <row r="720" spans="1:1" x14ac:dyDescent="0.25">
      <c r="A720" t="str" cm="1">
        <f t="array" ref="A720">IF(INDEX(CUEs!$A:$A,INT((ROW()-1)/7)*57+MOD(ROW()-1,7)+50)&lt;&gt;"","set "&amp;INDEX(CUEs!$A:$A,INT((ROW()-1)/7)*57+MOD(ROW()-1,7)+50)&amp;"=/ s "&amp;INDEX(CUEs!$B:$B,INT((ROW()-1)/7)*57+MOD(ROW()-1,7)+50),"")</f>
        <v/>
      </c>
    </row>
    <row r="721" spans="1:1" x14ac:dyDescent="0.25">
      <c r="A721" t="str" cm="1">
        <f t="array" ref="A721">IF(INDEX(CUEs!$A:$A,INT((ROW()-1)/7)*57+MOD(ROW()-1,7)+50)&lt;&gt;"","set "&amp;INDEX(CUEs!$A:$A,INT((ROW()-1)/7)*57+MOD(ROW()-1,7)+50)&amp;"=/ s "&amp;INDEX(CUEs!$B:$B,INT((ROW()-1)/7)*57+MOD(ROW()-1,7)+50),"")</f>
        <v/>
      </c>
    </row>
    <row r="722" spans="1:1" x14ac:dyDescent="0.25">
      <c r="A722" t="str" cm="1">
        <f t="array" ref="A722">IF(INDEX(CUEs!$A:$A,INT((ROW()-1)/7)*57+MOD(ROW()-1,7)+50)&lt;&gt;"","set "&amp;INDEX(CUEs!$A:$A,INT((ROW()-1)/7)*57+MOD(ROW()-1,7)+50)&amp;"=/ s "&amp;INDEX(CUEs!$B:$B,INT((ROW()-1)/7)*57+MOD(ROW()-1,7)+50),"")</f>
        <v/>
      </c>
    </row>
    <row r="723" spans="1:1" x14ac:dyDescent="0.25">
      <c r="A723" t="str" cm="1">
        <f t="array" ref="A723">IF(INDEX(CUEs!$A:$A,INT((ROW()-1)/7)*57+MOD(ROW()-1,7)+50)&lt;&gt;"","set "&amp;INDEX(CUEs!$A:$A,INT((ROW()-1)/7)*57+MOD(ROW()-1,7)+50)&amp;"=/ s "&amp;INDEX(CUEs!$B:$B,INT((ROW()-1)/7)*57+MOD(ROW()-1,7)+50),"")</f>
        <v/>
      </c>
    </row>
    <row r="724" spans="1:1" x14ac:dyDescent="0.25">
      <c r="A724" t="str" cm="1">
        <f t="array" ref="A724">IF(INDEX(CUEs!$A:$A,INT((ROW()-1)/7)*57+MOD(ROW()-1,7)+50)&lt;&gt;"","set "&amp;INDEX(CUEs!$A:$A,INT((ROW()-1)/7)*57+MOD(ROW()-1,7)+50)&amp;"=/ s "&amp;INDEX(CUEs!$B:$B,INT((ROW()-1)/7)*57+MOD(ROW()-1,7)+50),"")</f>
        <v/>
      </c>
    </row>
    <row r="725" spans="1:1" x14ac:dyDescent="0.25">
      <c r="A725" t="str" cm="1">
        <f t="array" ref="A725">IF(INDEX(CUEs!$A:$A,INT((ROW()-1)/7)*57+MOD(ROW()-1,7)+50)&lt;&gt;"","set "&amp;INDEX(CUEs!$A:$A,INT((ROW()-1)/7)*57+MOD(ROW()-1,7)+50)&amp;"=/ s "&amp;INDEX(CUEs!$B:$B,INT((ROW()-1)/7)*57+MOD(ROW()-1,7)+50),"")</f>
        <v/>
      </c>
    </row>
    <row r="726" spans="1:1" x14ac:dyDescent="0.25">
      <c r="A726" t="str" cm="1">
        <f t="array" ref="A726">IF(INDEX(CUEs!$A:$A,INT((ROW()-1)/7)*57+MOD(ROW()-1,7)+50)&lt;&gt;"","set "&amp;INDEX(CUEs!$A:$A,INT((ROW()-1)/7)*57+MOD(ROW()-1,7)+50)&amp;"=/ s "&amp;INDEX(CUEs!$B:$B,INT((ROW()-1)/7)*57+MOD(ROW()-1,7)+50),"")</f>
        <v/>
      </c>
    </row>
    <row r="727" spans="1:1" x14ac:dyDescent="0.25">
      <c r="A727" t="str" cm="1">
        <f t="array" ref="A727">IF(INDEX(CUEs!$A:$A,INT((ROW()-1)/7)*57+MOD(ROW()-1,7)+50)&lt;&gt;"","set "&amp;INDEX(CUEs!$A:$A,INT((ROW()-1)/7)*57+MOD(ROW()-1,7)+50)&amp;"=/ s "&amp;INDEX(CUEs!$B:$B,INT((ROW()-1)/7)*57+MOD(ROW()-1,7)+50),"")</f>
        <v/>
      </c>
    </row>
    <row r="728" spans="1:1" x14ac:dyDescent="0.25">
      <c r="A728" t="str" cm="1">
        <f t="array" ref="A728">IF(INDEX(CUEs!$A:$A,INT((ROW()-1)/7)*57+MOD(ROW()-1,7)+50)&lt;&gt;"","set "&amp;INDEX(CUEs!$A:$A,INT((ROW()-1)/7)*57+MOD(ROW()-1,7)+50)&amp;"=/ s "&amp;INDEX(CUEs!$B:$B,INT((ROW()-1)/7)*57+MOD(ROW()-1,7)+50),"")</f>
        <v/>
      </c>
    </row>
    <row r="729" spans="1:1" x14ac:dyDescent="0.25">
      <c r="A729" t="str" cm="1">
        <f t="array" ref="A729">IF(INDEX(CUEs!$A:$A,INT((ROW()-1)/7)*57+MOD(ROW()-1,7)+50)&lt;&gt;"","set "&amp;INDEX(CUEs!$A:$A,INT((ROW()-1)/7)*57+MOD(ROW()-1,7)+50)&amp;"=/ s "&amp;INDEX(CUEs!$B:$B,INT((ROW()-1)/7)*57+MOD(ROW()-1,7)+50),"")</f>
        <v/>
      </c>
    </row>
    <row r="730" spans="1:1" x14ac:dyDescent="0.25">
      <c r="A730" t="str" cm="1">
        <f t="array" ref="A730">IF(INDEX(CUEs!$A:$A,INT((ROW()-1)/7)*57+MOD(ROW()-1,7)+50)&lt;&gt;"","set "&amp;INDEX(CUEs!$A:$A,INT((ROW()-1)/7)*57+MOD(ROW()-1,7)+50)&amp;"=/ s "&amp;INDEX(CUEs!$B:$B,INT((ROW()-1)/7)*57+MOD(ROW()-1,7)+50),"")</f>
        <v/>
      </c>
    </row>
    <row r="731" spans="1:1" x14ac:dyDescent="0.25">
      <c r="A731" t="str" cm="1">
        <f t="array" ref="A731">IF(INDEX(CUEs!$A:$A,INT((ROW()-1)/7)*57+MOD(ROW()-1,7)+50)&lt;&gt;"","set "&amp;INDEX(CUEs!$A:$A,INT((ROW()-1)/7)*57+MOD(ROW()-1,7)+50)&amp;"=/ s "&amp;INDEX(CUEs!$B:$B,INT((ROW()-1)/7)*57+MOD(ROW()-1,7)+50),"")</f>
        <v/>
      </c>
    </row>
    <row r="732" spans="1:1" x14ac:dyDescent="0.25">
      <c r="A732" t="str" cm="1">
        <f t="array" ref="A732">IF(INDEX(CUEs!$A:$A,INT((ROW()-1)/7)*57+MOD(ROW()-1,7)+50)&lt;&gt;"","set "&amp;INDEX(CUEs!$A:$A,INT((ROW()-1)/7)*57+MOD(ROW()-1,7)+50)&amp;"=/ s "&amp;INDEX(CUEs!$B:$B,INT((ROW()-1)/7)*57+MOD(ROW()-1,7)+50),"")</f>
        <v/>
      </c>
    </row>
    <row r="733" spans="1:1" x14ac:dyDescent="0.25">
      <c r="A733" t="str" cm="1">
        <f t="array" ref="A733">IF(INDEX(CUEs!$A:$A,INT((ROW()-1)/7)*57+MOD(ROW()-1,7)+50)&lt;&gt;"","set "&amp;INDEX(CUEs!$A:$A,INT((ROW()-1)/7)*57+MOD(ROW()-1,7)+50)&amp;"=/ s "&amp;INDEX(CUEs!$B:$B,INT((ROW()-1)/7)*57+MOD(ROW()-1,7)+50),"")</f>
        <v/>
      </c>
    </row>
    <row r="734" spans="1:1" x14ac:dyDescent="0.25">
      <c r="A734" t="str" cm="1">
        <f t="array" ref="A734">IF(INDEX(CUEs!$A:$A,INT((ROW()-1)/7)*57+MOD(ROW()-1,7)+50)&lt;&gt;"","set "&amp;INDEX(CUEs!$A:$A,INT((ROW()-1)/7)*57+MOD(ROW()-1,7)+50)&amp;"=/ s "&amp;INDEX(CUEs!$B:$B,INT((ROW()-1)/7)*57+MOD(ROW()-1,7)+50),"")</f>
        <v/>
      </c>
    </row>
    <row r="735" spans="1:1" x14ac:dyDescent="0.25">
      <c r="A735" t="str" cm="1">
        <f t="array" ref="A735">IF(INDEX(CUEs!$A:$A,INT((ROW()-1)/7)*57+MOD(ROW()-1,7)+50)&lt;&gt;"","set "&amp;INDEX(CUEs!$A:$A,INT((ROW()-1)/7)*57+MOD(ROW()-1,7)+50)&amp;"=/ s "&amp;INDEX(CUEs!$B:$B,INT((ROW()-1)/7)*57+MOD(ROW()-1,7)+50),"")</f>
        <v/>
      </c>
    </row>
    <row r="736" spans="1:1" x14ac:dyDescent="0.25">
      <c r="A736" t="str" cm="1">
        <f t="array" ref="A736">IF(INDEX(CUEs!$A:$A,INT((ROW()-1)/7)*57+MOD(ROW()-1,7)+50)&lt;&gt;"","set "&amp;INDEX(CUEs!$A:$A,INT((ROW()-1)/7)*57+MOD(ROW()-1,7)+50)&amp;"=/ s "&amp;INDEX(CUEs!$B:$B,INT((ROW()-1)/7)*57+MOD(ROW()-1,7)+50),"")</f>
        <v/>
      </c>
    </row>
    <row r="737" spans="1:1" x14ac:dyDescent="0.25">
      <c r="A737" t="str" cm="1">
        <f t="array" ref="A737">IF(INDEX(CUEs!$A:$A,INT((ROW()-1)/7)*57+MOD(ROW()-1,7)+50)&lt;&gt;"","set "&amp;INDEX(CUEs!$A:$A,INT((ROW()-1)/7)*57+MOD(ROW()-1,7)+50)&amp;"=/ s "&amp;INDEX(CUEs!$B:$B,INT((ROW()-1)/7)*57+MOD(ROW()-1,7)+50),"")</f>
        <v/>
      </c>
    </row>
    <row r="738" spans="1:1" x14ac:dyDescent="0.25">
      <c r="A738" t="str" cm="1">
        <f t="array" ref="A738">IF(INDEX(CUEs!$A:$A,INT((ROW()-1)/7)*57+MOD(ROW()-1,7)+50)&lt;&gt;"","set "&amp;INDEX(CUEs!$A:$A,INT((ROW()-1)/7)*57+MOD(ROW()-1,7)+50)&amp;"=/ s "&amp;INDEX(CUEs!$B:$B,INT((ROW()-1)/7)*57+MOD(ROW()-1,7)+50),"")</f>
        <v/>
      </c>
    </row>
    <row r="739" spans="1:1" x14ac:dyDescent="0.25">
      <c r="A739" t="str" cm="1">
        <f t="array" ref="A739">IF(INDEX(CUEs!$A:$A,INT((ROW()-1)/7)*57+MOD(ROW()-1,7)+50)&lt;&gt;"","set "&amp;INDEX(CUEs!$A:$A,INT((ROW()-1)/7)*57+MOD(ROW()-1,7)+50)&amp;"=/ s "&amp;INDEX(CUEs!$B:$B,INT((ROW()-1)/7)*57+MOD(ROW()-1,7)+50),"")</f>
        <v/>
      </c>
    </row>
    <row r="740" spans="1:1" x14ac:dyDescent="0.25">
      <c r="A740" t="str" cm="1">
        <f t="array" ref="A740">IF(INDEX(CUEs!$A:$A,INT((ROW()-1)/7)*57+MOD(ROW()-1,7)+50)&lt;&gt;"","set "&amp;INDEX(CUEs!$A:$A,INT((ROW()-1)/7)*57+MOD(ROW()-1,7)+50)&amp;"=/ s "&amp;INDEX(CUEs!$B:$B,INT((ROW()-1)/7)*57+MOD(ROW()-1,7)+50),"")</f>
        <v/>
      </c>
    </row>
    <row r="741" spans="1:1" x14ac:dyDescent="0.25">
      <c r="A741" t="str" cm="1">
        <f t="array" ref="A741">IF(INDEX(CUEs!$A:$A,INT((ROW()-1)/7)*57+MOD(ROW()-1,7)+50)&lt;&gt;"","set "&amp;INDEX(CUEs!$A:$A,INT((ROW()-1)/7)*57+MOD(ROW()-1,7)+50)&amp;"=/ s "&amp;INDEX(CUEs!$B:$B,INT((ROW()-1)/7)*57+MOD(ROW()-1,7)+50),"")</f>
        <v/>
      </c>
    </row>
    <row r="742" spans="1:1" x14ac:dyDescent="0.25">
      <c r="A742" t="str" cm="1">
        <f t="array" ref="A742">IF(INDEX(CUEs!$A:$A,INT((ROW()-1)/7)*57+MOD(ROW()-1,7)+50)&lt;&gt;"","set "&amp;INDEX(CUEs!$A:$A,INT((ROW()-1)/7)*57+MOD(ROW()-1,7)+50)&amp;"=/ s "&amp;INDEX(CUEs!$B:$B,INT((ROW()-1)/7)*57+MOD(ROW()-1,7)+50),"")</f>
        <v/>
      </c>
    </row>
    <row r="743" spans="1:1" x14ac:dyDescent="0.25">
      <c r="A743" t="str" cm="1">
        <f t="array" ref="A743">IF(INDEX(CUEs!$A:$A,INT((ROW()-1)/7)*57+MOD(ROW()-1,7)+50)&lt;&gt;"","set "&amp;INDEX(CUEs!$A:$A,INT((ROW()-1)/7)*57+MOD(ROW()-1,7)+50)&amp;"=/ s "&amp;INDEX(CUEs!$B:$B,INT((ROW()-1)/7)*57+MOD(ROW()-1,7)+50),"")</f>
        <v/>
      </c>
    </row>
    <row r="744" spans="1:1" x14ac:dyDescent="0.25">
      <c r="A744" t="str" cm="1">
        <f t="array" ref="A744">IF(INDEX(CUEs!$A:$A,INT((ROW()-1)/7)*57+MOD(ROW()-1,7)+50)&lt;&gt;"","set "&amp;INDEX(CUEs!$A:$A,INT((ROW()-1)/7)*57+MOD(ROW()-1,7)+50)&amp;"=/ s "&amp;INDEX(CUEs!$B:$B,INT((ROW()-1)/7)*57+MOD(ROW()-1,7)+50),"")</f>
        <v/>
      </c>
    </row>
    <row r="745" spans="1:1" x14ac:dyDescent="0.25">
      <c r="A745" t="str" cm="1">
        <f t="array" ref="A745">IF(INDEX(CUEs!$A:$A,INT((ROW()-1)/7)*57+MOD(ROW()-1,7)+50)&lt;&gt;"","set "&amp;INDEX(CUEs!$A:$A,INT((ROW()-1)/7)*57+MOD(ROW()-1,7)+50)&amp;"=/ s "&amp;INDEX(CUEs!$B:$B,INT((ROW()-1)/7)*57+MOD(ROW()-1,7)+50),"")</f>
        <v/>
      </c>
    </row>
    <row r="746" spans="1:1" x14ac:dyDescent="0.25">
      <c r="A746" t="str" cm="1">
        <f t="array" ref="A746">IF(INDEX(CUEs!$A:$A,INT((ROW()-1)/7)*57+MOD(ROW()-1,7)+50)&lt;&gt;"","set "&amp;INDEX(CUEs!$A:$A,INT((ROW()-1)/7)*57+MOD(ROW()-1,7)+50)&amp;"=/ s "&amp;INDEX(CUEs!$B:$B,INT((ROW()-1)/7)*57+MOD(ROW()-1,7)+50),"")</f>
        <v/>
      </c>
    </row>
    <row r="747" spans="1:1" x14ac:dyDescent="0.25">
      <c r="A747" t="str" cm="1">
        <f t="array" ref="A747">IF(INDEX(CUEs!$A:$A,INT((ROW()-1)/7)*57+MOD(ROW()-1,7)+50)&lt;&gt;"","set "&amp;INDEX(CUEs!$A:$A,INT((ROW()-1)/7)*57+MOD(ROW()-1,7)+50)&amp;"=/ s "&amp;INDEX(CUEs!$B:$B,INT((ROW()-1)/7)*57+MOD(ROW()-1,7)+50),"")</f>
        <v/>
      </c>
    </row>
    <row r="748" spans="1:1" x14ac:dyDescent="0.25">
      <c r="A748" t="str" cm="1">
        <f t="array" ref="A748">IF(INDEX(CUEs!$A:$A,INT((ROW()-1)/7)*57+MOD(ROW()-1,7)+50)&lt;&gt;"","set "&amp;INDEX(CUEs!$A:$A,INT((ROW()-1)/7)*57+MOD(ROW()-1,7)+50)&amp;"=/ s "&amp;INDEX(CUEs!$B:$B,INT((ROW()-1)/7)*57+MOD(ROW()-1,7)+50),"")</f>
        <v/>
      </c>
    </row>
    <row r="749" spans="1:1" x14ac:dyDescent="0.25">
      <c r="A749" t="str" cm="1">
        <f t="array" ref="A749">IF(INDEX(CUEs!$A:$A,INT((ROW()-1)/7)*57+MOD(ROW()-1,7)+50)&lt;&gt;"","set "&amp;INDEX(CUEs!$A:$A,INT((ROW()-1)/7)*57+MOD(ROW()-1,7)+50)&amp;"=/ s "&amp;INDEX(CUEs!$B:$B,INT((ROW()-1)/7)*57+MOD(ROW()-1,7)+50),"")</f>
        <v/>
      </c>
    </row>
    <row r="750" spans="1:1" x14ac:dyDescent="0.25">
      <c r="A750" t="str" cm="1">
        <f t="array" ref="A750">IF(INDEX(CUEs!$A:$A,INT((ROW()-1)/7)*57+MOD(ROW()-1,7)+50)&lt;&gt;"","set "&amp;INDEX(CUEs!$A:$A,INT((ROW()-1)/7)*57+MOD(ROW()-1,7)+50)&amp;"=/ s "&amp;INDEX(CUEs!$B:$B,INT((ROW()-1)/7)*57+MOD(ROW()-1,7)+50),"")</f>
        <v/>
      </c>
    </row>
    <row r="751" spans="1:1" x14ac:dyDescent="0.25">
      <c r="A751" t="str" cm="1">
        <f t="array" ref="A751">IF(INDEX(CUEs!$A:$A,INT((ROW()-1)/7)*57+MOD(ROW()-1,7)+50)&lt;&gt;"","set "&amp;INDEX(CUEs!$A:$A,INT((ROW()-1)/7)*57+MOD(ROW()-1,7)+50)&amp;"=/ s "&amp;INDEX(CUEs!$B:$B,INT((ROW()-1)/7)*57+MOD(ROW()-1,7)+50),"")</f>
        <v/>
      </c>
    </row>
    <row r="752" spans="1:1" x14ac:dyDescent="0.25">
      <c r="A752" t="str" cm="1">
        <f t="array" ref="A752">IF(INDEX(CUEs!$A:$A,INT((ROW()-1)/7)*57+MOD(ROW()-1,7)+50)&lt;&gt;"","set "&amp;INDEX(CUEs!$A:$A,INT((ROW()-1)/7)*57+MOD(ROW()-1,7)+50)&amp;"=/ s "&amp;INDEX(CUEs!$B:$B,INT((ROW()-1)/7)*57+MOD(ROW()-1,7)+50),"")</f>
        <v/>
      </c>
    </row>
    <row r="753" spans="1:1" x14ac:dyDescent="0.25">
      <c r="A753" t="str" cm="1">
        <f t="array" ref="A753">IF(INDEX(CUEs!$A:$A,INT((ROW()-1)/7)*57+MOD(ROW()-1,7)+50)&lt;&gt;"","set "&amp;INDEX(CUEs!$A:$A,INT((ROW()-1)/7)*57+MOD(ROW()-1,7)+50)&amp;"=/ s "&amp;INDEX(CUEs!$B:$B,INT((ROW()-1)/7)*57+MOD(ROW()-1,7)+50),"")</f>
        <v/>
      </c>
    </row>
    <row r="754" spans="1:1" x14ac:dyDescent="0.25">
      <c r="A754" t="str" cm="1">
        <f t="array" ref="A754">IF(INDEX(CUEs!$A:$A,INT((ROW()-1)/7)*57+MOD(ROW()-1,7)+50)&lt;&gt;"","set "&amp;INDEX(CUEs!$A:$A,INT((ROW()-1)/7)*57+MOD(ROW()-1,7)+50)&amp;"=/ s "&amp;INDEX(CUEs!$B:$B,INT((ROW()-1)/7)*57+MOD(ROW()-1,7)+50),"")</f>
        <v/>
      </c>
    </row>
    <row r="755" spans="1:1" x14ac:dyDescent="0.25">
      <c r="A755" t="str" cm="1">
        <f t="array" ref="A755">IF(INDEX(CUEs!$A:$A,INT((ROW()-1)/7)*57+MOD(ROW()-1,7)+50)&lt;&gt;"","set "&amp;INDEX(CUEs!$A:$A,INT((ROW()-1)/7)*57+MOD(ROW()-1,7)+50)&amp;"=/ s "&amp;INDEX(CUEs!$B:$B,INT((ROW()-1)/7)*57+MOD(ROW()-1,7)+50),"")</f>
        <v/>
      </c>
    </row>
    <row r="756" spans="1:1" x14ac:dyDescent="0.25">
      <c r="A756" t="str" cm="1">
        <f t="array" ref="A756">IF(INDEX(CUEs!$A:$A,INT((ROW()-1)/7)*57+MOD(ROW()-1,7)+50)&lt;&gt;"","set "&amp;INDEX(CUEs!$A:$A,INT((ROW()-1)/7)*57+MOD(ROW()-1,7)+50)&amp;"=/ s "&amp;INDEX(CUEs!$B:$B,INT((ROW()-1)/7)*57+MOD(ROW()-1,7)+50),"")</f>
        <v/>
      </c>
    </row>
    <row r="757" spans="1:1" x14ac:dyDescent="0.25">
      <c r="A757" t="str" cm="1">
        <f t="array" ref="A757">IF(INDEX(CUEs!$A:$A,INT((ROW()-1)/7)*57+MOD(ROW()-1,7)+50)&lt;&gt;"","set "&amp;INDEX(CUEs!$A:$A,INT((ROW()-1)/7)*57+MOD(ROW()-1,7)+50)&amp;"=/ s "&amp;INDEX(CUEs!$B:$B,INT((ROW()-1)/7)*57+MOD(ROW()-1,7)+50),"")</f>
        <v/>
      </c>
    </row>
    <row r="758" spans="1:1" x14ac:dyDescent="0.25">
      <c r="A758" t="str" cm="1">
        <f t="array" ref="A758">IF(INDEX(CUEs!$A:$A,INT((ROW()-1)/7)*57+MOD(ROW()-1,7)+50)&lt;&gt;"","set "&amp;INDEX(CUEs!$A:$A,INT((ROW()-1)/7)*57+MOD(ROW()-1,7)+50)&amp;"=/ s "&amp;INDEX(CUEs!$B:$B,INT((ROW()-1)/7)*57+MOD(ROW()-1,7)+50),"")</f>
        <v/>
      </c>
    </row>
    <row r="759" spans="1:1" x14ac:dyDescent="0.25">
      <c r="A759" t="str" cm="1">
        <f t="array" ref="A759">IF(INDEX(CUEs!$A:$A,INT((ROW()-1)/7)*57+MOD(ROW()-1,7)+50)&lt;&gt;"","set "&amp;INDEX(CUEs!$A:$A,INT((ROW()-1)/7)*57+MOD(ROW()-1,7)+50)&amp;"=/ s "&amp;INDEX(CUEs!$B:$B,INT((ROW()-1)/7)*57+MOD(ROW()-1,7)+50),"")</f>
        <v/>
      </c>
    </row>
    <row r="760" spans="1:1" x14ac:dyDescent="0.25">
      <c r="A760" t="str" cm="1">
        <f t="array" ref="A760">IF(INDEX(CUEs!$A:$A,INT((ROW()-1)/7)*57+MOD(ROW()-1,7)+50)&lt;&gt;"","set "&amp;INDEX(CUEs!$A:$A,INT((ROW()-1)/7)*57+MOD(ROW()-1,7)+50)&amp;"=/ s "&amp;INDEX(CUEs!$B:$B,INT((ROW()-1)/7)*57+MOD(ROW()-1,7)+50),"")</f>
        <v/>
      </c>
    </row>
    <row r="761" spans="1:1" x14ac:dyDescent="0.25">
      <c r="A761" t="str" cm="1">
        <f t="array" ref="A761">IF(INDEX(CUEs!$A:$A,INT((ROW()-1)/7)*57+MOD(ROW()-1,7)+50)&lt;&gt;"","set "&amp;INDEX(CUEs!$A:$A,INT((ROW()-1)/7)*57+MOD(ROW()-1,7)+50)&amp;"=/ s "&amp;INDEX(CUEs!$B:$B,INT((ROW()-1)/7)*57+MOD(ROW()-1,7)+50),"")</f>
        <v/>
      </c>
    </row>
    <row r="762" spans="1:1" x14ac:dyDescent="0.25">
      <c r="A762" t="str" cm="1">
        <f t="array" ref="A762">IF(INDEX(CUEs!$A:$A,INT((ROW()-1)/7)*57+MOD(ROW()-1,7)+50)&lt;&gt;"","set "&amp;INDEX(CUEs!$A:$A,INT((ROW()-1)/7)*57+MOD(ROW()-1,7)+50)&amp;"=/ s "&amp;INDEX(CUEs!$B:$B,INT((ROW()-1)/7)*57+MOD(ROW()-1,7)+50),"")</f>
        <v/>
      </c>
    </row>
    <row r="763" spans="1:1" x14ac:dyDescent="0.25">
      <c r="A763" t="str" cm="1">
        <f t="array" ref="A763">IF(INDEX(CUEs!$A:$A,INT((ROW()-1)/7)*57+MOD(ROW()-1,7)+50)&lt;&gt;"","set "&amp;INDEX(CUEs!$A:$A,INT((ROW()-1)/7)*57+MOD(ROW()-1,7)+50)&amp;"=/ s "&amp;INDEX(CUEs!$B:$B,INT((ROW()-1)/7)*57+MOD(ROW()-1,7)+50),"")</f>
        <v/>
      </c>
    </row>
    <row r="764" spans="1:1" x14ac:dyDescent="0.25">
      <c r="A764" t="str" cm="1">
        <f t="array" ref="A764">IF(INDEX(CUEs!$A:$A,INT((ROW()-1)/7)*57+MOD(ROW()-1,7)+50)&lt;&gt;"","set "&amp;INDEX(CUEs!$A:$A,INT((ROW()-1)/7)*57+MOD(ROW()-1,7)+50)&amp;"=/ s "&amp;INDEX(CUEs!$B:$B,INT((ROW()-1)/7)*57+MOD(ROW()-1,7)+50),"")</f>
        <v/>
      </c>
    </row>
    <row r="765" spans="1:1" x14ac:dyDescent="0.25">
      <c r="A765" t="str" cm="1">
        <f t="array" ref="A765">IF(INDEX(CUEs!$A:$A,INT((ROW()-1)/7)*57+MOD(ROW()-1,7)+50)&lt;&gt;"","set "&amp;INDEX(CUEs!$A:$A,INT((ROW()-1)/7)*57+MOD(ROW()-1,7)+50)&amp;"=/ s "&amp;INDEX(CUEs!$B:$B,INT((ROW()-1)/7)*57+MOD(ROW()-1,7)+50),"")</f>
        <v/>
      </c>
    </row>
    <row r="766" spans="1:1" x14ac:dyDescent="0.25">
      <c r="A766" t="str" cm="1">
        <f t="array" ref="A766">IF(INDEX(CUEs!$A:$A,INT((ROW()-1)/7)*57+MOD(ROW()-1,7)+50)&lt;&gt;"","set "&amp;INDEX(CUEs!$A:$A,INT((ROW()-1)/7)*57+MOD(ROW()-1,7)+50)&amp;"=/ s "&amp;INDEX(CUEs!$B:$B,INT((ROW()-1)/7)*57+MOD(ROW()-1,7)+50),"")</f>
        <v/>
      </c>
    </row>
    <row r="767" spans="1:1" x14ac:dyDescent="0.25">
      <c r="A767" t="str" cm="1">
        <f t="array" ref="A767">IF(INDEX(CUEs!$A:$A,INT((ROW()-1)/7)*57+MOD(ROW()-1,7)+50)&lt;&gt;"","set "&amp;INDEX(CUEs!$A:$A,INT((ROW()-1)/7)*57+MOD(ROW()-1,7)+50)&amp;"=/ s "&amp;INDEX(CUEs!$B:$B,INT((ROW()-1)/7)*57+MOD(ROW()-1,7)+50),"")</f>
        <v/>
      </c>
    </row>
    <row r="768" spans="1:1" x14ac:dyDescent="0.25">
      <c r="A768" t="str" cm="1">
        <f t="array" ref="A768">IF(INDEX(CUEs!$A:$A,INT((ROW()-1)/7)*57+MOD(ROW()-1,7)+50)&lt;&gt;"","set "&amp;INDEX(CUEs!$A:$A,INT((ROW()-1)/7)*57+MOD(ROW()-1,7)+50)&amp;"=/ s "&amp;INDEX(CUEs!$B:$B,INT((ROW()-1)/7)*57+MOD(ROW()-1,7)+50),"")</f>
        <v/>
      </c>
    </row>
    <row r="769" spans="1:1" x14ac:dyDescent="0.25">
      <c r="A769" t="str" cm="1">
        <f t="array" ref="A769">IF(INDEX(CUEs!$A:$A,INT((ROW()-1)/7)*57+MOD(ROW()-1,7)+50)&lt;&gt;"","set "&amp;INDEX(CUEs!$A:$A,INT((ROW()-1)/7)*57+MOD(ROW()-1,7)+50)&amp;"=/ s "&amp;INDEX(CUEs!$B:$B,INT((ROW()-1)/7)*57+MOD(ROW()-1,7)+50),"")</f>
        <v/>
      </c>
    </row>
    <row r="770" spans="1:1" x14ac:dyDescent="0.25">
      <c r="A770" t="str" cm="1">
        <f t="array" ref="A770">IF(INDEX(CUEs!$A:$A,INT((ROW()-1)/7)*57+MOD(ROW()-1,7)+50)&lt;&gt;"","set "&amp;INDEX(CUEs!$A:$A,INT((ROW()-1)/7)*57+MOD(ROW()-1,7)+50)&amp;"=/ s "&amp;INDEX(CUEs!$B:$B,INT((ROW()-1)/7)*57+MOD(ROW()-1,7)+50),"")</f>
        <v/>
      </c>
    </row>
    <row r="771" spans="1:1" x14ac:dyDescent="0.25">
      <c r="A771" t="str" cm="1">
        <f t="array" ref="A771">IF(INDEX(CUEs!$A:$A,INT((ROW()-1)/7)*57+MOD(ROW()-1,7)+50)&lt;&gt;"","set "&amp;INDEX(CUEs!$A:$A,INT((ROW()-1)/7)*57+MOD(ROW()-1,7)+50)&amp;"=/ s "&amp;INDEX(CUEs!$B:$B,INT((ROW()-1)/7)*57+MOD(ROW()-1,7)+50),"")</f>
        <v/>
      </c>
    </row>
    <row r="772" spans="1:1" x14ac:dyDescent="0.25">
      <c r="A772" t="str" cm="1">
        <f t="array" ref="A772">IF(INDEX(CUEs!$A:$A,INT((ROW()-1)/7)*57+MOD(ROW()-1,7)+50)&lt;&gt;"","set "&amp;INDEX(CUEs!$A:$A,INT((ROW()-1)/7)*57+MOD(ROW()-1,7)+50)&amp;"=/ s "&amp;INDEX(CUEs!$B:$B,INT((ROW()-1)/7)*57+MOD(ROW()-1,7)+50),"")</f>
        <v/>
      </c>
    </row>
    <row r="773" spans="1:1" x14ac:dyDescent="0.25">
      <c r="A773" t="str" cm="1">
        <f t="array" ref="A773">IF(INDEX(CUEs!$A:$A,INT((ROW()-1)/7)*57+MOD(ROW()-1,7)+50)&lt;&gt;"","set "&amp;INDEX(CUEs!$A:$A,INT((ROW()-1)/7)*57+MOD(ROW()-1,7)+50)&amp;"=/ s "&amp;INDEX(CUEs!$B:$B,INT((ROW()-1)/7)*57+MOD(ROW()-1,7)+50),"")</f>
        <v/>
      </c>
    </row>
    <row r="774" spans="1:1" x14ac:dyDescent="0.25">
      <c r="A774" t="str" cm="1">
        <f t="array" ref="A774">IF(INDEX(CUEs!$A:$A,INT((ROW()-1)/7)*57+MOD(ROW()-1,7)+50)&lt;&gt;"","set "&amp;INDEX(CUEs!$A:$A,INT((ROW()-1)/7)*57+MOD(ROW()-1,7)+50)&amp;"=/ s "&amp;INDEX(CUEs!$B:$B,INT((ROW()-1)/7)*57+MOD(ROW()-1,7)+50),"")</f>
        <v/>
      </c>
    </row>
    <row r="775" spans="1:1" x14ac:dyDescent="0.25">
      <c r="A775" t="str" cm="1">
        <f t="array" ref="A775">IF(INDEX(CUEs!$A:$A,INT((ROW()-1)/7)*57+MOD(ROW()-1,7)+50)&lt;&gt;"","set "&amp;INDEX(CUEs!$A:$A,INT((ROW()-1)/7)*57+MOD(ROW()-1,7)+50)&amp;"=/ s "&amp;INDEX(CUEs!$B:$B,INT((ROW()-1)/7)*57+MOD(ROW()-1,7)+50),"")</f>
        <v/>
      </c>
    </row>
    <row r="776" spans="1:1" x14ac:dyDescent="0.25">
      <c r="A776" t="str" cm="1">
        <f t="array" ref="A776">IF(INDEX(CUEs!$A:$A,INT((ROW()-1)/7)*57+MOD(ROW()-1,7)+50)&lt;&gt;"","set "&amp;INDEX(CUEs!$A:$A,INT((ROW()-1)/7)*57+MOD(ROW()-1,7)+50)&amp;"=/ s "&amp;INDEX(CUEs!$B:$B,INT((ROW()-1)/7)*57+MOD(ROW()-1,7)+50),"")</f>
        <v/>
      </c>
    </row>
    <row r="777" spans="1:1" x14ac:dyDescent="0.25">
      <c r="A777" t="str" cm="1">
        <f t="array" ref="A777">IF(INDEX(CUEs!$A:$A,INT((ROW()-1)/7)*57+MOD(ROW()-1,7)+50)&lt;&gt;"","set "&amp;INDEX(CUEs!$A:$A,INT((ROW()-1)/7)*57+MOD(ROW()-1,7)+50)&amp;"=/ s "&amp;INDEX(CUEs!$B:$B,INT((ROW()-1)/7)*57+MOD(ROW()-1,7)+50),"")</f>
        <v/>
      </c>
    </row>
    <row r="778" spans="1:1" x14ac:dyDescent="0.25">
      <c r="A778" t="str" cm="1">
        <f t="array" ref="A778">IF(INDEX(CUEs!$A:$A,INT((ROW()-1)/7)*57+MOD(ROW()-1,7)+50)&lt;&gt;"","set "&amp;INDEX(CUEs!$A:$A,INT((ROW()-1)/7)*57+MOD(ROW()-1,7)+50)&amp;"=/ s "&amp;INDEX(CUEs!$B:$B,INT((ROW()-1)/7)*57+MOD(ROW()-1,7)+50),"")</f>
        <v/>
      </c>
    </row>
    <row r="779" spans="1:1" x14ac:dyDescent="0.25">
      <c r="A779" t="str" cm="1">
        <f t="array" ref="A779">IF(INDEX(CUEs!$A:$A,INT((ROW()-1)/7)*57+MOD(ROW()-1,7)+50)&lt;&gt;"","set "&amp;INDEX(CUEs!$A:$A,INT((ROW()-1)/7)*57+MOD(ROW()-1,7)+50)&amp;"=/ s "&amp;INDEX(CUEs!$B:$B,INT((ROW()-1)/7)*57+MOD(ROW()-1,7)+50),"")</f>
        <v/>
      </c>
    </row>
    <row r="780" spans="1:1" x14ac:dyDescent="0.25">
      <c r="A780" t="str" cm="1">
        <f t="array" ref="A780">IF(INDEX(CUEs!$A:$A,INT((ROW()-1)/7)*57+MOD(ROW()-1,7)+50)&lt;&gt;"","set "&amp;INDEX(CUEs!$A:$A,INT((ROW()-1)/7)*57+MOD(ROW()-1,7)+50)&amp;"=/ s "&amp;INDEX(CUEs!$B:$B,INT((ROW()-1)/7)*57+MOD(ROW()-1,7)+50),"")</f>
        <v/>
      </c>
    </row>
    <row r="781" spans="1:1" x14ac:dyDescent="0.25">
      <c r="A781" t="str" cm="1">
        <f t="array" ref="A781">IF(INDEX(CUEs!$A:$A,INT((ROW()-1)/7)*57+MOD(ROW()-1,7)+50)&lt;&gt;"","set "&amp;INDEX(CUEs!$A:$A,INT((ROW()-1)/7)*57+MOD(ROW()-1,7)+50)&amp;"=/ s "&amp;INDEX(CUEs!$B:$B,INT((ROW()-1)/7)*57+MOD(ROW()-1,7)+50),"")</f>
        <v/>
      </c>
    </row>
    <row r="782" spans="1:1" x14ac:dyDescent="0.25">
      <c r="A782" t="str" cm="1">
        <f t="array" ref="A782">IF(INDEX(CUEs!$A:$A,INT((ROW()-1)/7)*57+MOD(ROW()-1,7)+50)&lt;&gt;"","set "&amp;INDEX(CUEs!$A:$A,INT((ROW()-1)/7)*57+MOD(ROW()-1,7)+50)&amp;"=/ s "&amp;INDEX(CUEs!$B:$B,INT((ROW()-1)/7)*57+MOD(ROW()-1,7)+50),"")</f>
        <v/>
      </c>
    </row>
    <row r="783" spans="1:1" x14ac:dyDescent="0.25">
      <c r="A783" t="str" cm="1">
        <f t="array" ref="A783">IF(INDEX(CUEs!$A:$A,INT((ROW()-1)/7)*57+MOD(ROW()-1,7)+50)&lt;&gt;"","set "&amp;INDEX(CUEs!$A:$A,INT((ROW()-1)/7)*57+MOD(ROW()-1,7)+50)&amp;"=/ s "&amp;INDEX(CUEs!$B:$B,INT((ROW()-1)/7)*57+MOD(ROW()-1,7)+50),"")</f>
        <v/>
      </c>
    </row>
    <row r="784" spans="1:1" x14ac:dyDescent="0.25">
      <c r="A784" t="str" cm="1">
        <f t="array" ref="A784">IF(INDEX(CUEs!$A:$A,INT((ROW()-1)/7)*57+MOD(ROW()-1,7)+50)&lt;&gt;"","set "&amp;INDEX(CUEs!$A:$A,INT((ROW()-1)/7)*57+MOD(ROW()-1,7)+50)&amp;"=/ s "&amp;INDEX(CUEs!$B:$B,INT((ROW()-1)/7)*57+MOD(ROW()-1,7)+50),"")</f>
        <v/>
      </c>
    </row>
    <row r="785" spans="1:1" x14ac:dyDescent="0.25">
      <c r="A785" t="str" cm="1">
        <f t="array" ref="A785">IF(INDEX(CUEs!$A:$A,INT((ROW()-1)/7)*57+MOD(ROW()-1,7)+50)&lt;&gt;"","set "&amp;INDEX(CUEs!$A:$A,INT((ROW()-1)/7)*57+MOD(ROW()-1,7)+50)&amp;"=/ s "&amp;INDEX(CUEs!$B:$B,INT((ROW()-1)/7)*57+MOD(ROW()-1,7)+50),"")</f>
        <v/>
      </c>
    </row>
    <row r="786" spans="1:1" x14ac:dyDescent="0.25">
      <c r="A786" t="str" cm="1">
        <f t="array" ref="A786">IF(INDEX(CUEs!$A:$A,INT((ROW()-1)/7)*57+MOD(ROW()-1,7)+50)&lt;&gt;"","set "&amp;INDEX(CUEs!$A:$A,INT((ROW()-1)/7)*57+MOD(ROW()-1,7)+50)&amp;"=/ s "&amp;INDEX(CUEs!$B:$B,INT((ROW()-1)/7)*57+MOD(ROW()-1,7)+50),"")</f>
        <v/>
      </c>
    </row>
    <row r="787" spans="1:1" x14ac:dyDescent="0.25">
      <c r="A787" t="str" cm="1">
        <f t="array" ref="A787">IF(INDEX(CUEs!$A:$A,INT((ROW()-1)/7)*57+MOD(ROW()-1,7)+50)&lt;&gt;"","set "&amp;INDEX(CUEs!$A:$A,INT((ROW()-1)/7)*57+MOD(ROW()-1,7)+50)&amp;"=/ s "&amp;INDEX(CUEs!$B:$B,INT((ROW()-1)/7)*57+MOD(ROW()-1,7)+50),"")</f>
        <v/>
      </c>
    </row>
    <row r="788" spans="1:1" x14ac:dyDescent="0.25">
      <c r="A788" t="str" cm="1">
        <f t="array" ref="A788">IF(INDEX(CUEs!$A:$A,INT((ROW()-1)/7)*57+MOD(ROW()-1,7)+50)&lt;&gt;"","set "&amp;INDEX(CUEs!$A:$A,INT((ROW()-1)/7)*57+MOD(ROW()-1,7)+50)&amp;"=/ s "&amp;INDEX(CUEs!$B:$B,INT((ROW()-1)/7)*57+MOD(ROW()-1,7)+50),"")</f>
        <v/>
      </c>
    </row>
    <row r="789" spans="1:1" x14ac:dyDescent="0.25">
      <c r="A789" t="str" cm="1">
        <f t="array" ref="A789">IF(INDEX(CUEs!$A:$A,INT((ROW()-1)/7)*57+MOD(ROW()-1,7)+50)&lt;&gt;"","set "&amp;INDEX(CUEs!$A:$A,INT((ROW()-1)/7)*57+MOD(ROW()-1,7)+50)&amp;"=/ s "&amp;INDEX(CUEs!$B:$B,INT((ROW()-1)/7)*57+MOD(ROW()-1,7)+50),"")</f>
        <v/>
      </c>
    </row>
    <row r="790" spans="1:1" x14ac:dyDescent="0.25">
      <c r="A790" t="str" cm="1">
        <f t="array" ref="A790">IF(INDEX(CUEs!$A:$A,INT((ROW()-1)/7)*57+MOD(ROW()-1,7)+50)&lt;&gt;"","set "&amp;INDEX(CUEs!$A:$A,INT((ROW()-1)/7)*57+MOD(ROW()-1,7)+50)&amp;"=/ s "&amp;INDEX(CUEs!$B:$B,INT((ROW()-1)/7)*57+MOD(ROW()-1,7)+50),"")</f>
        <v/>
      </c>
    </row>
    <row r="791" spans="1:1" x14ac:dyDescent="0.25">
      <c r="A791" t="str" cm="1">
        <f t="array" ref="A791">IF(INDEX(CUEs!$A:$A,INT((ROW()-1)/7)*57+MOD(ROW()-1,7)+50)&lt;&gt;"","set "&amp;INDEX(CUEs!$A:$A,INT((ROW()-1)/7)*57+MOD(ROW()-1,7)+50)&amp;"=/ s "&amp;INDEX(CUEs!$B:$B,INT((ROW()-1)/7)*57+MOD(ROW()-1,7)+50),"")</f>
        <v/>
      </c>
    </row>
    <row r="792" spans="1:1" x14ac:dyDescent="0.25">
      <c r="A792" t="str" cm="1">
        <f t="array" ref="A792">IF(INDEX(CUEs!$A:$A,INT((ROW()-1)/7)*57+MOD(ROW()-1,7)+50)&lt;&gt;"","set "&amp;INDEX(CUEs!$A:$A,INT((ROW()-1)/7)*57+MOD(ROW()-1,7)+50)&amp;"=/ s "&amp;INDEX(CUEs!$B:$B,INT((ROW()-1)/7)*57+MOD(ROW()-1,7)+50),"")</f>
        <v/>
      </c>
    </row>
    <row r="793" spans="1:1" x14ac:dyDescent="0.25">
      <c r="A793" t="str" cm="1">
        <f t="array" ref="A793">IF(INDEX(CUEs!$A:$A,INT((ROW()-1)/7)*57+MOD(ROW()-1,7)+50)&lt;&gt;"","set "&amp;INDEX(CUEs!$A:$A,INT((ROW()-1)/7)*57+MOD(ROW()-1,7)+50)&amp;"=/ s "&amp;INDEX(CUEs!$B:$B,INT((ROW()-1)/7)*57+MOD(ROW()-1,7)+50),"")</f>
        <v/>
      </c>
    </row>
    <row r="794" spans="1:1" x14ac:dyDescent="0.25">
      <c r="A794" t="str" cm="1">
        <f t="array" ref="A794">IF(INDEX(CUEs!$A:$A,INT((ROW()-1)/7)*57+MOD(ROW()-1,7)+50)&lt;&gt;"","set "&amp;INDEX(CUEs!$A:$A,INT((ROW()-1)/7)*57+MOD(ROW()-1,7)+50)&amp;"=/ s "&amp;INDEX(CUEs!$B:$B,INT((ROW()-1)/7)*57+MOD(ROW()-1,7)+50),"")</f>
        <v/>
      </c>
    </row>
    <row r="795" spans="1:1" x14ac:dyDescent="0.25">
      <c r="A795" t="str" cm="1">
        <f t="array" ref="A795">IF(INDEX(CUEs!$A:$A,INT((ROW()-1)/7)*57+MOD(ROW()-1,7)+50)&lt;&gt;"","set "&amp;INDEX(CUEs!$A:$A,INT((ROW()-1)/7)*57+MOD(ROW()-1,7)+50)&amp;"=/ s "&amp;INDEX(CUEs!$B:$B,INT((ROW()-1)/7)*57+MOD(ROW()-1,7)+50),"")</f>
        <v/>
      </c>
    </row>
    <row r="796" spans="1:1" x14ac:dyDescent="0.25">
      <c r="A796" t="str" cm="1">
        <f t="array" ref="A796">IF(INDEX(CUEs!$A:$A,INT((ROW()-1)/7)*57+MOD(ROW()-1,7)+50)&lt;&gt;"","set "&amp;INDEX(CUEs!$A:$A,INT((ROW()-1)/7)*57+MOD(ROW()-1,7)+50)&amp;"=/ s "&amp;INDEX(CUEs!$B:$B,INT((ROW()-1)/7)*57+MOD(ROW()-1,7)+50),"")</f>
        <v/>
      </c>
    </row>
    <row r="797" spans="1:1" x14ac:dyDescent="0.25">
      <c r="A797" t="str" cm="1">
        <f t="array" ref="A797">IF(INDEX(CUEs!$A:$A,INT((ROW()-1)/7)*57+MOD(ROW()-1,7)+50)&lt;&gt;"","set "&amp;INDEX(CUEs!$A:$A,INT((ROW()-1)/7)*57+MOD(ROW()-1,7)+50)&amp;"=/ s "&amp;INDEX(CUEs!$B:$B,INT((ROW()-1)/7)*57+MOD(ROW()-1,7)+50),"")</f>
        <v/>
      </c>
    </row>
    <row r="798" spans="1:1" x14ac:dyDescent="0.25">
      <c r="A798" t="str" cm="1">
        <f t="array" ref="A798">IF(INDEX(CUEs!$A:$A,INT((ROW()-1)/7)*57+MOD(ROW()-1,7)+50)&lt;&gt;"","set "&amp;INDEX(CUEs!$A:$A,INT((ROW()-1)/7)*57+MOD(ROW()-1,7)+50)&amp;"=/ s "&amp;INDEX(CUEs!$B:$B,INT((ROW()-1)/7)*57+MOD(ROW()-1,7)+50),"")</f>
        <v/>
      </c>
    </row>
    <row r="799" spans="1:1" x14ac:dyDescent="0.25">
      <c r="A799" t="str" cm="1">
        <f t="array" ref="A799">IF(INDEX(CUEs!$A:$A,INT((ROW()-1)/7)*57+MOD(ROW()-1,7)+50)&lt;&gt;"","set "&amp;INDEX(CUEs!$A:$A,INT((ROW()-1)/7)*57+MOD(ROW()-1,7)+50)&amp;"=/ s "&amp;INDEX(CUEs!$B:$B,INT((ROW()-1)/7)*57+MOD(ROW()-1,7)+50),"")</f>
        <v/>
      </c>
    </row>
    <row r="800" spans="1:1" x14ac:dyDescent="0.25">
      <c r="A800" t="str" cm="1">
        <f t="array" ref="A800">IF(INDEX(CUEs!$A:$A,INT((ROW()-1)/7)*57+MOD(ROW()-1,7)+50)&lt;&gt;"","set "&amp;INDEX(CUEs!$A:$A,INT((ROW()-1)/7)*57+MOD(ROW()-1,7)+50)&amp;"=/ s "&amp;INDEX(CUEs!$B:$B,INT((ROW()-1)/7)*57+MOD(ROW()-1,7)+50),"")</f>
        <v/>
      </c>
    </row>
    <row r="801" spans="1:1" x14ac:dyDescent="0.25">
      <c r="A801" t="str" cm="1">
        <f t="array" ref="A801">IF(INDEX(CUEs!$A:$A,INT((ROW()-1)/7)*57+MOD(ROW()-1,7)+50)&lt;&gt;"","set "&amp;INDEX(CUEs!$A:$A,INT((ROW()-1)/7)*57+MOD(ROW()-1,7)+50)&amp;"=/ s "&amp;INDEX(CUEs!$B:$B,INT((ROW()-1)/7)*57+MOD(ROW()-1,7)+50),"")</f>
        <v/>
      </c>
    </row>
    <row r="802" spans="1:1" x14ac:dyDescent="0.25">
      <c r="A802" t="str" cm="1">
        <f t="array" ref="A802">IF(INDEX(CUEs!$A:$A,INT((ROW()-1)/7)*57+MOD(ROW()-1,7)+50)&lt;&gt;"","set "&amp;INDEX(CUEs!$A:$A,INT((ROW()-1)/7)*57+MOD(ROW()-1,7)+50)&amp;"=/ s "&amp;INDEX(CUEs!$B:$B,INT((ROW()-1)/7)*57+MOD(ROW()-1,7)+50),"")</f>
        <v/>
      </c>
    </row>
    <row r="803" spans="1:1" x14ac:dyDescent="0.25">
      <c r="A803" t="str" cm="1">
        <f t="array" ref="A803">IF(INDEX(CUEs!$A:$A,INT((ROW()-1)/7)*57+MOD(ROW()-1,7)+50)&lt;&gt;"","set "&amp;INDEX(CUEs!$A:$A,INT((ROW()-1)/7)*57+MOD(ROW()-1,7)+50)&amp;"=/ s "&amp;INDEX(CUEs!$B:$B,INT((ROW()-1)/7)*57+MOD(ROW()-1,7)+50),"")</f>
        <v/>
      </c>
    </row>
    <row r="804" spans="1:1" x14ac:dyDescent="0.25">
      <c r="A804" t="str" cm="1">
        <f t="array" ref="A804">IF(INDEX(CUEs!$A:$A,INT((ROW()-1)/7)*57+MOD(ROW()-1,7)+50)&lt;&gt;"","set "&amp;INDEX(CUEs!$A:$A,INT((ROW()-1)/7)*57+MOD(ROW()-1,7)+50)&amp;"=/ s "&amp;INDEX(CUEs!$B:$B,INT((ROW()-1)/7)*57+MOD(ROW()-1,7)+50),"")</f>
        <v/>
      </c>
    </row>
    <row r="805" spans="1:1" x14ac:dyDescent="0.25">
      <c r="A805" t="str" cm="1">
        <f t="array" ref="A805">IF(INDEX(CUEs!$A:$A,INT((ROW()-1)/7)*57+MOD(ROW()-1,7)+50)&lt;&gt;"","set "&amp;INDEX(CUEs!$A:$A,INT((ROW()-1)/7)*57+MOD(ROW()-1,7)+50)&amp;"=/ s "&amp;INDEX(CUEs!$B:$B,INT((ROW()-1)/7)*57+MOD(ROW()-1,7)+50),"")</f>
        <v/>
      </c>
    </row>
    <row r="806" spans="1:1" x14ac:dyDescent="0.25">
      <c r="A806" t="str" cm="1">
        <f t="array" ref="A806">IF(INDEX(CUEs!$A:$A,INT((ROW()-1)/7)*57+MOD(ROW()-1,7)+50)&lt;&gt;"","set "&amp;INDEX(CUEs!$A:$A,INT((ROW()-1)/7)*57+MOD(ROW()-1,7)+50)&amp;"=/ s "&amp;INDEX(CUEs!$B:$B,INT((ROW()-1)/7)*57+MOD(ROW()-1,7)+50),"")</f>
        <v/>
      </c>
    </row>
    <row r="807" spans="1:1" x14ac:dyDescent="0.25">
      <c r="A807" t="str" cm="1">
        <f t="array" ref="A807">IF(INDEX(CUEs!$A:$A,INT((ROW()-1)/7)*57+MOD(ROW()-1,7)+50)&lt;&gt;"","set "&amp;INDEX(CUEs!$A:$A,INT((ROW()-1)/7)*57+MOD(ROW()-1,7)+50)&amp;"=/ s "&amp;INDEX(CUEs!$B:$B,INT((ROW()-1)/7)*57+MOD(ROW()-1,7)+50),"")</f>
        <v/>
      </c>
    </row>
    <row r="808" spans="1:1" x14ac:dyDescent="0.25">
      <c r="A808" t="str" cm="1">
        <f t="array" ref="A808">IF(INDEX(CUEs!$A:$A,INT((ROW()-1)/7)*57+MOD(ROW()-1,7)+50)&lt;&gt;"","set "&amp;INDEX(CUEs!$A:$A,INT((ROW()-1)/7)*57+MOD(ROW()-1,7)+50)&amp;"=/ s "&amp;INDEX(CUEs!$B:$B,INT((ROW()-1)/7)*57+MOD(ROW()-1,7)+50),"")</f>
        <v/>
      </c>
    </row>
    <row r="809" spans="1:1" x14ac:dyDescent="0.25">
      <c r="A809" t="str" cm="1">
        <f t="array" ref="A809">IF(INDEX(CUEs!$A:$A,INT((ROW()-1)/7)*57+MOD(ROW()-1,7)+50)&lt;&gt;"","set "&amp;INDEX(CUEs!$A:$A,INT((ROW()-1)/7)*57+MOD(ROW()-1,7)+50)&amp;"=/ s "&amp;INDEX(CUEs!$B:$B,INT((ROW()-1)/7)*57+MOD(ROW()-1,7)+50),"")</f>
        <v/>
      </c>
    </row>
    <row r="810" spans="1:1" x14ac:dyDescent="0.25">
      <c r="A810" t="str" cm="1">
        <f t="array" ref="A810">IF(INDEX(CUEs!$A:$A,INT((ROW()-1)/7)*57+MOD(ROW()-1,7)+50)&lt;&gt;"","set "&amp;INDEX(CUEs!$A:$A,INT((ROW()-1)/7)*57+MOD(ROW()-1,7)+50)&amp;"=/ s "&amp;INDEX(CUEs!$B:$B,INT((ROW()-1)/7)*57+MOD(ROW()-1,7)+50),"")</f>
        <v/>
      </c>
    </row>
    <row r="811" spans="1:1" x14ac:dyDescent="0.25">
      <c r="A811" t="str" cm="1">
        <f t="array" ref="A811">IF(INDEX(CUEs!$A:$A,INT((ROW()-1)/7)*57+MOD(ROW()-1,7)+50)&lt;&gt;"","set "&amp;INDEX(CUEs!$A:$A,INT((ROW()-1)/7)*57+MOD(ROW()-1,7)+50)&amp;"=/ s "&amp;INDEX(CUEs!$B:$B,INT((ROW()-1)/7)*57+MOD(ROW()-1,7)+50),"")</f>
        <v/>
      </c>
    </row>
    <row r="812" spans="1:1" x14ac:dyDescent="0.25">
      <c r="A812" t="str" cm="1">
        <f t="array" ref="A812">IF(INDEX(CUEs!$A:$A,INT((ROW()-1)/7)*57+MOD(ROW()-1,7)+50)&lt;&gt;"","set "&amp;INDEX(CUEs!$A:$A,INT((ROW()-1)/7)*57+MOD(ROW()-1,7)+50)&amp;"=/ s "&amp;INDEX(CUEs!$B:$B,INT((ROW()-1)/7)*57+MOD(ROW()-1,7)+50),"")</f>
        <v/>
      </c>
    </row>
    <row r="813" spans="1:1" x14ac:dyDescent="0.25">
      <c r="A813" t="str" cm="1">
        <f t="array" ref="A813">IF(INDEX(CUEs!$A:$A,INT((ROW()-1)/7)*57+MOD(ROW()-1,7)+50)&lt;&gt;"","set "&amp;INDEX(CUEs!$A:$A,INT((ROW()-1)/7)*57+MOD(ROW()-1,7)+50)&amp;"=/ s "&amp;INDEX(CUEs!$B:$B,INT((ROW()-1)/7)*57+MOD(ROW()-1,7)+50),"")</f>
        <v/>
      </c>
    </row>
    <row r="814" spans="1:1" x14ac:dyDescent="0.25">
      <c r="A814" t="str" cm="1">
        <f t="array" ref="A814">IF(INDEX(CUEs!$A:$A,INT((ROW()-1)/7)*57+MOD(ROW()-1,7)+50)&lt;&gt;"","set "&amp;INDEX(CUEs!$A:$A,INT((ROW()-1)/7)*57+MOD(ROW()-1,7)+50)&amp;"=/ s "&amp;INDEX(CUEs!$B:$B,INT((ROW()-1)/7)*57+MOD(ROW()-1,7)+50),"")</f>
        <v/>
      </c>
    </row>
    <row r="815" spans="1:1" x14ac:dyDescent="0.25">
      <c r="A815" t="str" cm="1">
        <f t="array" ref="A815">IF(INDEX(CUEs!$A:$A,INT((ROW()-1)/7)*57+MOD(ROW()-1,7)+50)&lt;&gt;"","set "&amp;INDEX(CUEs!$A:$A,INT((ROW()-1)/7)*57+MOD(ROW()-1,7)+50)&amp;"=/ s "&amp;INDEX(CUEs!$B:$B,INT((ROW()-1)/7)*57+MOD(ROW()-1,7)+50),"")</f>
        <v/>
      </c>
    </row>
    <row r="816" spans="1:1" x14ac:dyDescent="0.25">
      <c r="A816" t="str" cm="1">
        <f t="array" ref="A816">IF(INDEX(CUEs!$A:$A,INT((ROW()-1)/7)*57+MOD(ROW()-1,7)+50)&lt;&gt;"","set "&amp;INDEX(CUEs!$A:$A,INT((ROW()-1)/7)*57+MOD(ROW()-1,7)+50)&amp;"=/ s "&amp;INDEX(CUEs!$B:$B,INT((ROW()-1)/7)*57+MOD(ROW()-1,7)+50),"")</f>
        <v/>
      </c>
    </row>
    <row r="817" spans="1:1" x14ac:dyDescent="0.25">
      <c r="A817" t="str" cm="1">
        <f t="array" ref="A817">IF(INDEX(CUEs!$A:$A,INT((ROW()-1)/7)*57+MOD(ROW()-1,7)+50)&lt;&gt;"","set "&amp;INDEX(CUEs!$A:$A,INT((ROW()-1)/7)*57+MOD(ROW()-1,7)+50)&amp;"=/ s "&amp;INDEX(CUEs!$B:$B,INT((ROW()-1)/7)*57+MOD(ROW()-1,7)+50),"")</f>
        <v/>
      </c>
    </row>
    <row r="818" spans="1:1" x14ac:dyDescent="0.25">
      <c r="A818" t="str" cm="1">
        <f t="array" ref="A818">IF(INDEX(CUEs!$A:$A,INT((ROW()-1)/7)*57+MOD(ROW()-1,7)+50)&lt;&gt;"","set "&amp;INDEX(CUEs!$A:$A,INT((ROW()-1)/7)*57+MOD(ROW()-1,7)+50)&amp;"=/ s "&amp;INDEX(CUEs!$B:$B,INT((ROW()-1)/7)*57+MOD(ROW()-1,7)+50),"")</f>
        <v/>
      </c>
    </row>
    <row r="819" spans="1:1" x14ac:dyDescent="0.25">
      <c r="A819" t="str" cm="1">
        <f t="array" ref="A819">IF(INDEX(CUEs!$A:$A,INT((ROW()-1)/7)*57+MOD(ROW()-1,7)+50)&lt;&gt;"","set "&amp;INDEX(CUEs!$A:$A,INT((ROW()-1)/7)*57+MOD(ROW()-1,7)+50)&amp;"=/ s "&amp;INDEX(CUEs!$B:$B,INT((ROW()-1)/7)*57+MOD(ROW()-1,7)+50),"")</f>
        <v/>
      </c>
    </row>
    <row r="820" spans="1:1" x14ac:dyDescent="0.25">
      <c r="A820" t="str" cm="1">
        <f t="array" ref="A820">IF(INDEX(CUEs!$A:$A,INT((ROW()-1)/7)*57+MOD(ROW()-1,7)+50)&lt;&gt;"","set "&amp;INDEX(CUEs!$A:$A,INT((ROW()-1)/7)*57+MOD(ROW()-1,7)+50)&amp;"=/ s "&amp;INDEX(CUEs!$B:$B,INT((ROW()-1)/7)*57+MOD(ROW()-1,7)+50),"")</f>
        <v/>
      </c>
    </row>
    <row r="821" spans="1:1" x14ac:dyDescent="0.25">
      <c r="A821" t="str" cm="1">
        <f t="array" ref="A821">IF(INDEX(CUEs!$A:$A,INT((ROW()-1)/7)*57+MOD(ROW()-1,7)+50)&lt;&gt;"","set "&amp;INDEX(CUEs!$A:$A,INT((ROW()-1)/7)*57+MOD(ROW()-1,7)+50)&amp;"=/ s "&amp;INDEX(CUEs!$B:$B,INT((ROW()-1)/7)*57+MOD(ROW()-1,7)+50),"")</f>
        <v/>
      </c>
    </row>
    <row r="822" spans="1:1" x14ac:dyDescent="0.25">
      <c r="A822" t="str" cm="1">
        <f t="array" ref="A822">IF(INDEX(CUEs!$A:$A,INT((ROW()-1)/7)*57+MOD(ROW()-1,7)+50)&lt;&gt;"","set "&amp;INDEX(CUEs!$A:$A,INT((ROW()-1)/7)*57+MOD(ROW()-1,7)+50)&amp;"=/ s "&amp;INDEX(CUEs!$B:$B,INT((ROW()-1)/7)*57+MOD(ROW()-1,7)+50),"")</f>
        <v/>
      </c>
    </row>
    <row r="823" spans="1:1" x14ac:dyDescent="0.25">
      <c r="A823" t="str" cm="1">
        <f t="array" ref="A823">IF(INDEX(CUEs!$A:$A,INT((ROW()-1)/7)*57+MOD(ROW()-1,7)+50)&lt;&gt;"","set "&amp;INDEX(CUEs!$A:$A,INT((ROW()-1)/7)*57+MOD(ROW()-1,7)+50)&amp;"=/ s "&amp;INDEX(CUEs!$B:$B,INT((ROW()-1)/7)*57+MOD(ROW()-1,7)+50),"")</f>
        <v/>
      </c>
    </row>
    <row r="824" spans="1:1" x14ac:dyDescent="0.25">
      <c r="A824" t="str" cm="1">
        <f t="array" ref="A824">IF(INDEX(CUEs!$A:$A,INT((ROW()-1)/7)*57+MOD(ROW()-1,7)+50)&lt;&gt;"","set "&amp;INDEX(CUEs!$A:$A,INT((ROW()-1)/7)*57+MOD(ROW()-1,7)+50)&amp;"=/ s "&amp;INDEX(CUEs!$B:$B,INT((ROW()-1)/7)*57+MOD(ROW()-1,7)+50),"")</f>
        <v/>
      </c>
    </row>
    <row r="825" spans="1:1" x14ac:dyDescent="0.25">
      <c r="A825" t="str" cm="1">
        <f t="array" ref="A825">IF(INDEX(CUEs!$A:$A,INT((ROW()-1)/7)*57+MOD(ROW()-1,7)+50)&lt;&gt;"","set "&amp;INDEX(CUEs!$A:$A,INT((ROW()-1)/7)*57+MOD(ROW()-1,7)+50)&amp;"=/ s "&amp;INDEX(CUEs!$B:$B,INT((ROW()-1)/7)*57+MOD(ROW()-1,7)+50),"")</f>
        <v/>
      </c>
    </row>
    <row r="826" spans="1:1" x14ac:dyDescent="0.25">
      <c r="A826" t="str" cm="1">
        <f t="array" ref="A826">IF(INDEX(CUEs!$A:$A,INT((ROW()-1)/7)*57+MOD(ROW()-1,7)+50)&lt;&gt;"","set "&amp;INDEX(CUEs!$A:$A,INT((ROW()-1)/7)*57+MOD(ROW()-1,7)+50)&amp;"=/ s "&amp;INDEX(CUEs!$B:$B,INT((ROW()-1)/7)*57+MOD(ROW()-1,7)+50),"")</f>
        <v/>
      </c>
    </row>
    <row r="827" spans="1:1" x14ac:dyDescent="0.25">
      <c r="A827" t="str" cm="1">
        <f t="array" ref="A827">IF(INDEX(CUEs!$A:$A,INT((ROW()-1)/7)*57+MOD(ROW()-1,7)+50)&lt;&gt;"","set "&amp;INDEX(CUEs!$A:$A,INT((ROW()-1)/7)*57+MOD(ROW()-1,7)+50)&amp;"=/ s "&amp;INDEX(CUEs!$B:$B,INT((ROW()-1)/7)*57+MOD(ROW()-1,7)+50),"")</f>
        <v/>
      </c>
    </row>
    <row r="828" spans="1:1" x14ac:dyDescent="0.25">
      <c r="A828" t="str" cm="1">
        <f t="array" ref="A828">IF(INDEX(CUEs!$A:$A,INT((ROW()-1)/7)*57+MOD(ROW()-1,7)+50)&lt;&gt;"","set "&amp;INDEX(CUEs!$A:$A,INT((ROW()-1)/7)*57+MOD(ROW()-1,7)+50)&amp;"=/ s "&amp;INDEX(CUEs!$B:$B,INT((ROW()-1)/7)*57+MOD(ROW()-1,7)+50),"")</f>
        <v/>
      </c>
    </row>
    <row r="829" spans="1:1" x14ac:dyDescent="0.25">
      <c r="A829" t="str" cm="1">
        <f t="array" ref="A829">IF(INDEX(CUEs!$A:$A,INT((ROW()-1)/7)*57+MOD(ROW()-1,7)+50)&lt;&gt;"","set "&amp;INDEX(CUEs!$A:$A,INT((ROW()-1)/7)*57+MOD(ROW()-1,7)+50)&amp;"=/ s "&amp;INDEX(CUEs!$B:$B,INT((ROW()-1)/7)*57+MOD(ROW()-1,7)+50),"")</f>
        <v/>
      </c>
    </row>
    <row r="830" spans="1:1" x14ac:dyDescent="0.25">
      <c r="A830" t="str" cm="1">
        <f t="array" ref="A830">IF(INDEX(CUEs!$A:$A,INT((ROW()-1)/7)*57+MOD(ROW()-1,7)+50)&lt;&gt;"","set "&amp;INDEX(CUEs!$A:$A,INT((ROW()-1)/7)*57+MOD(ROW()-1,7)+50)&amp;"=/ s "&amp;INDEX(CUEs!$B:$B,INT((ROW()-1)/7)*57+MOD(ROW()-1,7)+50),"")</f>
        <v/>
      </c>
    </row>
    <row r="831" spans="1:1" x14ac:dyDescent="0.25">
      <c r="A831" t="str" cm="1">
        <f t="array" ref="A831">IF(INDEX(CUEs!$A:$A,INT((ROW()-1)/7)*57+MOD(ROW()-1,7)+50)&lt;&gt;"","set "&amp;INDEX(CUEs!$A:$A,INT((ROW()-1)/7)*57+MOD(ROW()-1,7)+50)&amp;"=/ s "&amp;INDEX(CUEs!$B:$B,INT((ROW()-1)/7)*57+MOD(ROW()-1,7)+50),"")</f>
        <v/>
      </c>
    </row>
    <row r="832" spans="1:1" x14ac:dyDescent="0.25">
      <c r="A832" t="str" cm="1">
        <f t="array" ref="A832">IF(INDEX(CUEs!$A:$A,INT((ROW()-1)/7)*57+MOD(ROW()-1,7)+50)&lt;&gt;"","set "&amp;INDEX(CUEs!$A:$A,INT((ROW()-1)/7)*57+MOD(ROW()-1,7)+50)&amp;"=/ s "&amp;INDEX(CUEs!$B:$B,INT((ROW()-1)/7)*57+MOD(ROW()-1,7)+50),"")</f>
        <v/>
      </c>
    </row>
    <row r="833" spans="1:1" x14ac:dyDescent="0.25">
      <c r="A833" t="str" cm="1">
        <f t="array" ref="A833">IF(INDEX(CUEs!$A:$A,INT((ROW()-1)/7)*57+MOD(ROW()-1,7)+50)&lt;&gt;"","set "&amp;INDEX(CUEs!$A:$A,INT((ROW()-1)/7)*57+MOD(ROW()-1,7)+50)&amp;"=/ s "&amp;INDEX(CUEs!$B:$B,INT((ROW()-1)/7)*57+MOD(ROW()-1,7)+50),"")</f>
        <v/>
      </c>
    </row>
    <row r="834" spans="1:1" x14ac:dyDescent="0.25">
      <c r="A834" t="str" cm="1">
        <f t="array" ref="A834">IF(INDEX(CUEs!$A:$A,INT((ROW()-1)/7)*57+MOD(ROW()-1,7)+50)&lt;&gt;"","set "&amp;INDEX(CUEs!$A:$A,INT((ROW()-1)/7)*57+MOD(ROW()-1,7)+50)&amp;"=/ s "&amp;INDEX(CUEs!$B:$B,INT((ROW()-1)/7)*57+MOD(ROW()-1,7)+50),"")</f>
        <v/>
      </c>
    </row>
    <row r="835" spans="1:1" x14ac:dyDescent="0.25">
      <c r="A835" t="str" cm="1">
        <f t="array" ref="A835">IF(INDEX(CUEs!$A:$A,INT((ROW()-1)/7)*57+MOD(ROW()-1,7)+50)&lt;&gt;"","set "&amp;INDEX(CUEs!$A:$A,INT((ROW()-1)/7)*57+MOD(ROW()-1,7)+50)&amp;"=/ s "&amp;INDEX(CUEs!$B:$B,INT((ROW()-1)/7)*57+MOD(ROW()-1,7)+50),"")</f>
        <v/>
      </c>
    </row>
    <row r="836" spans="1:1" x14ac:dyDescent="0.25">
      <c r="A836" t="str" cm="1">
        <f t="array" ref="A836">IF(INDEX(CUEs!$A:$A,INT((ROW()-1)/7)*57+MOD(ROW()-1,7)+50)&lt;&gt;"","set "&amp;INDEX(CUEs!$A:$A,INT((ROW()-1)/7)*57+MOD(ROW()-1,7)+50)&amp;"=/ s "&amp;INDEX(CUEs!$B:$B,INT((ROW()-1)/7)*57+MOD(ROW()-1,7)+50),"")</f>
        <v/>
      </c>
    </row>
    <row r="837" spans="1:1" x14ac:dyDescent="0.25">
      <c r="A837" t="str" cm="1">
        <f t="array" ref="A837">IF(INDEX(CUEs!$A:$A,INT((ROW()-1)/7)*57+MOD(ROW()-1,7)+50)&lt;&gt;"","set "&amp;INDEX(CUEs!$A:$A,INT((ROW()-1)/7)*57+MOD(ROW()-1,7)+50)&amp;"=/ s "&amp;INDEX(CUEs!$B:$B,INT((ROW()-1)/7)*57+MOD(ROW()-1,7)+50),"")</f>
        <v/>
      </c>
    </row>
    <row r="838" spans="1:1" x14ac:dyDescent="0.25">
      <c r="A838" t="str" cm="1">
        <f t="array" ref="A838">IF(INDEX(CUEs!$A:$A,INT((ROW()-1)/7)*57+MOD(ROW()-1,7)+50)&lt;&gt;"","set "&amp;INDEX(CUEs!$A:$A,INT((ROW()-1)/7)*57+MOD(ROW()-1,7)+50)&amp;"=/ s "&amp;INDEX(CUEs!$B:$B,INT((ROW()-1)/7)*57+MOD(ROW()-1,7)+50),"")</f>
        <v/>
      </c>
    </row>
    <row r="839" spans="1:1" x14ac:dyDescent="0.25">
      <c r="A839" t="str" cm="1">
        <f t="array" ref="A839">IF(INDEX(CUEs!$A:$A,INT((ROW()-1)/7)*57+MOD(ROW()-1,7)+50)&lt;&gt;"","set "&amp;INDEX(CUEs!$A:$A,INT((ROW()-1)/7)*57+MOD(ROW()-1,7)+50)&amp;"=/ s "&amp;INDEX(CUEs!$B:$B,INT((ROW()-1)/7)*57+MOD(ROW()-1,7)+50),"")</f>
        <v/>
      </c>
    </row>
    <row r="840" spans="1:1" x14ac:dyDescent="0.25">
      <c r="A840" t="str" cm="1">
        <f t="array" ref="A840">IF(INDEX(CUEs!$A:$A,INT((ROW()-1)/7)*57+MOD(ROW()-1,7)+50)&lt;&gt;"","set "&amp;INDEX(CUEs!$A:$A,INT((ROW()-1)/7)*57+MOD(ROW()-1,7)+50)&amp;"=/ s "&amp;INDEX(CUEs!$B:$B,INT((ROW()-1)/7)*57+MOD(ROW()-1,7)+50),"")</f>
        <v/>
      </c>
    </row>
    <row r="841" spans="1:1" x14ac:dyDescent="0.25">
      <c r="A841" t="str" cm="1">
        <f t="array" ref="A841">IF(INDEX(CUEs!$A:$A,INT((ROW()-1)/7)*57+MOD(ROW()-1,7)+50)&lt;&gt;"","set "&amp;INDEX(CUEs!$A:$A,INT((ROW()-1)/7)*57+MOD(ROW()-1,7)+50)&amp;"=/ s "&amp;INDEX(CUEs!$B:$B,INT((ROW()-1)/7)*57+MOD(ROW()-1,7)+50),"")</f>
        <v/>
      </c>
    </row>
    <row r="842" spans="1:1" x14ac:dyDescent="0.25">
      <c r="A842" t="str" cm="1">
        <f t="array" ref="A842">IF(INDEX(CUEs!$A:$A,INT((ROW()-1)/7)*57+MOD(ROW()-1,7)+50)&lt;&gt;"","set "&amp;INDEX(CUEs!$A:$A,INT((ROW()-1)/7)*57+MOD(ROW()-1,7)+50)&amp;"=/ s "&amp;INDEX(CUEs!$B:$B,INT((ROW()-1)/7)*57+MOD(ROW()-1,7)+50),"")</f>
        <v/>
      </c>
    </row>
    <row r="843" spans="1:1" x14ac:dyDescent="0.25">
      <c r="A843" t="str" cm="1">
        <f t="array" ref="A843">IF(INDEX(CUEs!$A:$A,INT((ROW()-1)/7)*57+MOD(ROW()-1,7)+50)&lt;&gt;"","set "&amp;INDEX(CUEs!$A:$A,INT((ROW()-1)/7)*57+MOD(ROW()-1,7)+50)&amp;"=/ s "&amp;INDEX(CUEs!$B:$B,INT((ROW()-1)/7)*57+MOD(ROW()-1,7)+50),"")</f>
        <v/>
      </c>
    </row>
    <row r="844" spans="1:1" x14ac:dyDescent="0.25">
      <c r="A844" t="str" cm="1">
        <f t="array" ref="A844">IF(INDEX(CUEs!$A:$A,INT((ROW()-1)/7)*57+MOD(ROW()-1,7)+50)&lt;&gt;"","set "&amp;INDEX(CUEs!$A:$A,INT((ROW()-1)/7)*57+MOD(ROW()-1,7)+50)&amp;"=/ s "&amp;INDEX(CUEs!$B:$B,INT((ROW()-1)/7)*57+MOD(ROW()-1,7)+50),"")</f>
        <v/>
      </c>
    </row>
    <row r="845" spans="1:1" x14ac:dyDescent="0.25">
      <c r="A845" t="str" cm="1">
        <f t="array" ref="A845">IF(INDEX(CUEs!$A:$A,INT((ROW()-1)/7)*57+MOD(ROW()-1,7)+50)&lt;&gt;"","set "&amp;INDEX(CUEs!$A:$A,INT((ROW()-1)/7)*57+MOD(ROW()-1,7)+50)&amp;"=/ s "&amp;INDEX(CUEs!$B:$B,INT((ROW()-1)/7)*57+MOD(ROW()-1,7)+50),"")</f>
        <v/>
      </c>
    </row>
    <row r="846" spans="1:1" x14ac:dyDescent="0.25">
      <c r="A846" t="str" cm="1">
        <f t="array" ref="A846">IF(INDEX(CUEs!$A:$A,INT((ROW()-1)/7)*57+MOD(ROW()-1,7)+50)&lt;&gt;"","set "&amp;INDEX(CUEs!$A:$A,INT((ROW()-1)/7)*57+MOD(ROW()-1,7)+50)&amp;"=/ s "&amp;INDEX(CUEs!$B:$B,INT((ROW()-1)/7)*57+MOD(ROW()-1,7)+50),"")</f>
        <v/>
      </c>
    </row>
    <row r="847" spans="1:1" x14ac:dyDescent="0.25">
      <c r="A847" t="str" cm="1">
        <f t="array" ref="A847">IF(INDEX(CUEs!$A:$A,INT((ROW()-1)/7)*57+MOD(ROW()-1,7)+50)&lt;&gt;"","set "&amp;INDEX(CUEs!$A:$A,INT((ROW()-1)/7)*57+MOD(ROW()-1,7)+50)&amp;"=/ s "&amp;INDEX(CUEs!$B:$B,INT((ROW()-1)/7)*57+MOD(ROW()-1,7)+50),"")</f>
        <v/>
      </c>
    </row>
    <row r="848" spans="1:1" x14ac:dyDescent="0.25">
      <c r="A848" t="str" cm="1">
        <f t="array" ref="A848">IF(INDEX(CUEs!$A:$A,INT((ROW()-1)/7)*57+MOD(ROW()-1,7)+50)&lt;&gt;"","set "&amp;INDEX(CUEs!$A:$A,INT((ROW()-1)/7)*57+MOD(ROW()-1,7)+50)&amp;"=/ s "&amp;INDEX(CUEs!$B:$B,INT((ROW()-1)/7)*57+MOD(ROW()-1,7)+50),"")</f>
        <v/>
      </c>
    </row>
    <row r="849" spans="1:1" x14ac:dyDescent="0.25">
      <c r="A849" t="str" cm="1">
        <f t="array" ref="A849">IF(INDEX(CUEs!$A:$A,INT((ROW()-1)/7)*57+MOD(ROW()-1,7)+50)&lt;&gt;"","set "&amp;INDEX(CUEs!$A:$A,INT((ROW()-1)/7)*57+MOD(ROW()-1,7)+50)&amp;"=/ s "&amp;INDEX(CUEs!$B:$B,INT((ROW()-1)/7)*57+MOD(ROW()-1,7)+50),"")</f>
        <v/>
      </c>
    </row>
    <row r="850" spans="1:1" x14ac:dyDescent="0.25">
      <c r="A850" t="str" cm="1">
        <f t="array" ref="A850">IF(INDEX(CUEs!$A:$A,INT((ROW()-1)/7)*57+MOD(ROW()-1,7)+50)&lt;&gt;"","set "&amp;INDEX(CUEs!$A:$A,INT((ROW()-1)/7)*57+MOD(ROW()-1,7)+50)&amp;"=/ s "&amp;INDEX(CUEs!$B:$B,INT((ROW()-1)/7)*57+MOD(ROW()-1,7)+50),"")</f>
        <v/>
      </c>
    </row>
    <row r="851" spans="1:1" x14ac:dyDescent="0.25">
      <c r="A851" t="str" cm="1">
        <f t="array" ref="A851">IF(INDEX(CUEs!$A:$A,INT((ROW()-1)/7)*57+MOD(ROW()-1,7)+50)&lt;&gt;"","set "&amp;INDEX(CUEs!$A:$A,INT((ROW()-1)/7)*57+MOD(ROW()-1,7)+50)&amp;"=/ s "&amp;INDEX(CUEs!$B:$B,INT((ROW()-1)/7)*57+MOD(ROW()-1,7)+50),"")</f>
        <v/>
      </c>
    </row>
    <row r="852" spans="1:1" x14ac:dyDescent="0.25">
      <c r="A852" t="str" cm="1">
        <f t="array" ref="A852">IF(INDEX(CUEs!$A:$A,INT((ROW()-1)/7)*57+MOD(ROW()-1,7)+50)&lt;&gt;"","set "&amp;INDEX(CUEs!$A:$A,INT((ROW()-1)/7)*57+MOD(ROW()-1,7)+50)&amp;"=/ s "&amp;INDEX(CUEs!$B:$B,INT((ROW()-1)/7)*57+MOD(ROW()-1,7)+50),"")</f>
        <v/>
      </c>
    </row>
    <row r="853" spans="1:1" x14ac:dyDescent="0.25">
      <c r="A853" t="str" cm="1">
        <f t="array" ref="A853">IF(INDEX(CUEs!$A:$A,INT((ROW()-1)/7)*57+MOD(ROW()-1,7)+50)&lt;&gt;"","set "&amp;INDEX(CUEs!$A:$A,INT((ROW()-1)/7)*57+MOD(ROW()-1,7)+50)&amp;"=/ s "&amp;INDEX(CUEs!$B:$B,INT((ROW()-1)/7)*57+MOD(ROW()-1,7)+50),"")</f>
        <v/>
      </c>
    </row>
    <row r="854" spans="1:1" x14ac:dyDescent="0.25">
      <c r="A854" t="str" cm="1">
        <f t="array" ref="A854">IF(INDEX(CUEs!$A:$A,INT((ROW()-1)/7)*57+MOD(ROW()-1,7)+50)&lt;&gt;"","set "&amp;INDEX(CUEs!$A:$A,INT((ROW()-1)/7)*57+MOD(ROW()-1,7)+50)&amp;"=/ s "&amp;INDEX(CUEs!$B:$B,INT((ROW()-1)/7)*57+MOD(ROW()-1,7)+50),"")</f>
        <v/>
      </c>
    </row>
    <row r="855" spans="1:1" x14ac:dyDescent="0.25">
      <c r="A855" t="str" cm="1">
        <f t="array" ref="A855">IF(INDEX(CUEs!$A:$A,INT((ROW()-1)/7)*57+MOD(ROW()-1,7)+50)&lt;&gt;"","set "&amp;INDEX(CUEs!$A:$A,INT((ROW()-1)/7)*57+MOD(ROW()-1,7)+50)&amp;"=/ s "&amp;INDEX(CUEs!$B:$B,INT((ROW()-1)/7)*57+MOD(ROW()-1,7)+50),"")</f>
        <v/>
      </c>
    </row>
    <row r="856" spans="1:1" x14ac:dyDescent="0.25">
      <c r="A856" t="str" cm="1">
        <f t="array" ref="A856">IF(INDEX(CUEs!$A:$A,INT((ROW()-1)/7)*57+MOD(ROW()-1,7)+50)&lt;&gt;"","set "&amp;INDEX(CUEs!$A:$A,INT((ROW()-1)/7)*57+MOD(ROW()-1,7)+50)&amp;"=/ s "&amp;INDEX(CUEs!$B:$B,INT((ROW()-1)/7)*57+MOD(ROW()-1,7)+50),"")</f>
        <v/>
      </c>
    </row>
    <row r="857" spans="1:1" x14ac:dyDescent="0.25">
      <c r="A857" t="str" cm="1">
        <f t="array" ref="A857">IF(INDEX(CUEs!$A:$A,INT((ROW()-1)/7)*57+MOD(ROW()-1,7)+50)&lt;&gt;"","set "&amp;INDEX(CUEs!$A:$A,INT((ROW()-1)/7)*57+MOD(ROW()-1,7)+50)&amp;"=/ s "&amp;INDEX(CUEs!$B:$B,INT((ROW()-1)/7)*57+MOD(ROW()-1,7)+50),"")</f>
        <v/>
      </c>
    </row>
    <row r="858" spans="1:1" x14ac:dyDescent="0.25">
      <c r="A858" t="str" cm="1">
        <f t="array" ref="A858">IF(INDEX(CUEs!$A:$A,INT((ROW()-1)/7)*57+MOD(ROW()-1,7)+50)&lt;&gt;"","set "&amp;INDEX(CUEs!$A:$A,INT((ROW()-1)/7)*57+MOD(ROW()-1,7)+50)&amp;"=/ s "&amp;INDEX(CUEs!$B:$B,INT((ROW()-1)/7)*57+MOD(ROW()-1,7)+50),"")</f>
        <v/>
      </c>
    </row>
    <row r="859" spans="1:1" x14ac:dyDescent="0.25">
      <c r="A859" t="str" cm="1">
        <f t="array" ref="A859">IF(INDEX(CUEs!$A:$A,INT((ROW()-1)/7)*57+MOD(ROW()-1,7)+50)&lt;&gt;"","set "&amp;INDEX(CUEs!$A:$A,INT((ROW()-1)/7)*57+MOD(ROW()-1,7)+50)&amp;"=/ s "&amp;INDEX(CUEs!$B:$B,INT((ROW()-1)/7)*57+MOD(ROW()-1,7)+50),"")</f>
        <v/>
      </c>
    </row>
    <row r="860" spans="1:1" x14ac:dyDescent="0.25">
      <c r="A860" t="str" cm="1">
        <f t="array" ref="A860">IF(INDEX(CUEs!$A:$A,INT((ROW()-1)/7)*57+MOD(ROW()-1,7)+50)&lt;&gt;"","set "&amp;INDEX(CUEs!$A:$A,INT((ROW()-1)/7)*57+MOD(ROW()-1,7)+50)&amp;"=/ s "&amp;INDEX(CUEs!$B:$B,INT((ROW()-1)/7)*57+MOD(ROW()-1,7)+50),"")</f>
        <v/>
      </c>
    </row>
    <row r="861" spans="1:1" x14ac:dyDescent="0.25">
      <c r="A861" t="str" cm="1">
        <f t="array" ref="A861">IF(INDEX(CUEs!$A:$A,INT((ROW()-1)/7)*57+MOD(ROW()-1,7)+50)&lt;&gt;"","set "&amp;INDEX(CUEs!$A:$A,INT((ROW()-1)/7)*57+MOD(ROW()-1,7)+50)&amp;"=/ s "&amp;INDEX(CUEs!$B:$B,INT((ROW()-1)/7)*57+MOD(ROW()-1,7)+50),"")</f>
        <v/>
      </c>
    </row>
    <row r="862" spans="1:1" x14ac:dyDescent="0.25">
      <c r="A862" t="str" cm="1">
        <f t="array" ref="A862">IF(INDEX(CUEs!$A:$A,INT((ROW()-1)/7)*57+MOD(ROW()-1,7)+50)&lt;&gt;"","set "&amp;INDEX(CUEs!$A:$A,INT((ROW()-1)/7)*57+MOD(ROW()-1,7)+50)&amp;"=/ s "&amp;INDEX(CUEs!$B:$B,INT((ROW()-1)/7)*57+MOD(ROW()-1,7)+50),"")</f>
        <v/>
      </c>
    </row>
    <row r="863" spans="1:1" x14ac:dyDescent="0.25">
      <c r="A863" t="str" cm="1">
        <f t="array" ref="A863">IF(INDEX(CUEs!$A:$A,INT((ROW()-1)/7)*57+MOD(ROW()-1,7)+50)&lt;&gt;"","set "&amp;INDEX(CUEs!$A:$A,INT((ROW()-1)/7)*57+MOD(ROW()-1,7)+50)&amp;"=/ s "&amp;INDEX(CUEs!$B:$B,INT((ROW()-1)/7)*57+MOD(ROW()-1,7)+50),"")</f>
        <v/>
      </c>
    </row>
    <row r="864" spans="1:1" x14ac:dyDescent="0.25">
      <c r="A864" t="str" cm="1">
        <f t="array" ref="A864">IF(INDEX(CUEs!$A:$A,INT((ROW()-1)/7)*57+MOD(ROW()-1,7)+50)&lt;&gt;"","set "&amp;INDEX(CUEs!$A:$A,INT((ROW()-1)/7)*57+MOD(ROW()-1,7)+50)&amp;"=/ s "&amp;INDEX(CUEs!$B:$B,INT((ROW()-1)/7)*57+MOD(ROW()-1,7)+50),"")</f>
        <v/>
      </c>
    </row>
    <row r="865" spans="1:1" x14ac:dyDescent="0.25">
      <c r="A865" t="str" cm="1">
        <f t="array" ref="A865">IF(INDEX(CUEs!$A:$A,INT((ROW()-1)/7)*57+MOD(ROW()-1,7)+50)&lt;&gt;"","set "&amp;INDEX(CUEs!$A:$A,INT((ROW()-1)/7)*57+MOD(ROW()-1,7)+50)&amp;"=/ s "&amp;INDEX(CUEs!$B:$B,INT((ROW()-1)/7)*57+MOD(ROW()-1,7)+50),"")</f>
        <v/>
      </c>
    </row>
    <row r="866" spans="1:1" x14ac:dyDescent="0.25">
      <c r="A866" t="str" cm="1">
        <f t="array" ref="A866">IF(INDEX(CUEs!$A:$A,INT((ROW()-1)/7)*57+MOD(ROW()-1,7)+50)&lt;&gt;"","set "&amp;INDEX(CUEs!$A:$A,INT((ROW()-1)/7)*57+MOD(ROW()-1,7)+50)&amp;"=/ s "&amp;INDEX(CUEs!$B:$B,INT((ROW()-1)/7)*57+MOD(ROW()-1,7)+50),"")</f>
        <v/>
      </c>
    </row>
    <row r="867" spans="1:1" x14ac:dyDescent="0.25">
      <c r="A867" t="str" cm="1">
        <f t="array" ref="A867">IF(INDEX(CUEs!$A:$A,INT((ROW()-1)/7)*57+MOD(ROW()-1,7)+50)&lt;&gt;"","set "&amp;INDEX(CUEs!$A:$A,INT((ROW()-1)/7)*57+MOD(ROW()-1,7)+50)&amp;"=/ s "&amp;INDEX(CUEs!$B:$B,INT((ROW()-1)/7)*57+MOD(ROW()-1,7)+50),"")</f>
        <v/>
      </c>
    </row>
    <row r="868" spans="1:1" x14ac:dyDescent="0.25">
      <c r="A868" t="str" cm="1">
        <f t="array" ref="A868">IF(INDEX(CUEs!$A:$A,INT((ROW()-1)/7)*57+MOD(ROW()-1,7)+50)&lt;&gt;"","set "&amp;INDEX(CUEs!$A:$A,INT((ROW()-1)/7)*57+MOD(ROW()-1,7)+50)&amp;"=/ s "&amp;INDEX(CUEs!$B:$B,INT((ROW()-1)/7)*57+MOD(ROW()-1,7)+50),"")</f>
        <v/>
      </c>
    </row>
    <row r="869" spans="1:1" x14ac:dyDescent="0.25">
      <c r="A869" t="str" cm="1">
        <f t="array" ref="A869">IF(INDEX(CUEs!$A:$A,INT((ROW()-1)/7)*57+MOD(ROW()-1,7)+50)&lt;&gt;"","set "&amp;INDEX(CUEs!$A:$A,INT((ROW()-1)/7)*57+MOD(ROW()-1,7)+50)&amp;"=/ s "&amp;INDEX(CUEs!$B:$B,INT((ROW()-1)/7)*57+MOD(ROW()-1,7)+50),"")</f>
        <v/>
      </c>
    </row>
    <row r="870" spans="1:1" x14ac:dyDescent="0.25">
      <c r="A870" t="str" cm="1">
        <f t="array" ref="A870">IF(INDEX(CUEs!$A:$A,INT((ROW()-1)/7)*57+MOD(ROW()-1,7)+50)&lt;&gt;"","set "&amp;INDEX(CUEs!$A:$A,INT((ROW()-1)/7)*57+MOD(ROW()-1,7)+50)&amp;"=/ s "&amp;INDEX(CUEs!$B:$B,INT((ROW()-1)/7)*57+MOD(ROW()-1,7)+50),"")</f>
        <v/>
      </c>
    </row>
    <row r="871" spans="1:1" x14ac:dyDescent="0.25">
      <c r="A871" t="str" cm="1">
        <f t="array" ref="A871">IF(INDEX(CUEs!$A:$A,INT((ROW()-1)/7)*57+MOD(ROW()-1,7)+50)&lt;&gt;"","set "&amp;INDEX(CUEs!$A:$A,INT((ROW()-1)/7)*57+MOD(ROW()-1,7)+50)&amp;"=/ s "&amp;INDEX(CUEs!$B:$B,INT((ROW()-1)/7)*57+MOD(ROW()-1,7)+50),"")</f>
        <v/>
      </c>
    </row>
    <row r="872" spans="1:1" x14ac:dyDescent="0.25">
      <c r="A872" t="str" cm="1">
        <f t="array" ref="A872">IF(INDEX(CUEs!$A:$A,INT((ROW()-1)/7)*57+MOD(ROW()-1,7)+50)&lt;&gt;"","set "&amp;INDEX(CUEs!$A:$A,INT((ROW()-1)/7)*57+MOD(ROW()-1,7)+50)&amp;"=/ s "&amp;INDEX(CUEs!$B:$B,INT((ROW()-1)/7)*57+MOD(ROW()-1,7)+50),"")</f>
        <v/>
      </c>
    </row>
    <row r="873" spans="1:1" x14ac:dyDescent="0.25">
      <c r="A873" t="str" cm="1">
        <f t="array" ref="A873">IF(INDEX(CUEs!$A:$A,INT((ROW()-1)/7)*57+MOD(ROW()-1,7)+50)&lt;&gt;"","set "&amp;INDEX(CUEs!$A:$A,INT((ROW()-1)/7)*57+MOD(ROW()-1,7)+50)&amp;"=/ s "&amp;INDEX(CUEs!$B:$B,INT((ROW()-1)/7)*57+MOD(ROW()-1,7)+50),"")</f>
        <v/>
      </c>
    </row>
    <row r="874" spans="1:1" x14ac:dyDescent="0.25">
      <c r="A874" t="str" cm="1">
        <f t="array" ref="A874">IF(INDEX(CUEs!$A:$A,INT((ROW()-1)/7)*57+MOD(ROW()-1,7)+50)&lt;&gt;"","set "&amp;INDEX(CUEs!$A:$A,INT((ROW()-1)/7)*57+MOD(ROW()-1,7)+50)&amp;"=/ s "&amp;INDEX(CUEs!$B:$B,INT((ROW()-1)/7)*57+MOD(ROW()-1,7)+50),"")</f>
        <v/>
      </c>
    </row>
    <row r="875" spans="1:1" x14ac:dyDescent="0.25">
      <c r="A875" t="str" cm="1">
        <f t="array" ref="A875">IF(INDEX(CUEs!$A:$A,INT((ROW()-1)/7)*57+MOD(ROW()-1,7)+50)&lt;&gt;"","set "&amp;INDEX(CUEs!$A:$A,INT((ROW()-1)/7)*57+MOD(ROW()-1,7)+50)&amp;"=/ s "&amp;INDEX(CUEs!$B:$B,INT((ROW()-1)/7)*57+MOD(ROW()-1,7)+50),"")</f>
        <v/>
      </c>
    </row>
    <row r="876" spans="1:1" x14ac:dyDescent="0.25">
      <c r="A876" t="str" cm="1">
        <f t="array" ref="A876">IF(INDEX(CUEs!$A:$A,INT((ROW()-1)/7)*57+MOD(ROW()-1,7)+50)&lt;&gt;"","set "&amp;INDEX(CUEs!$A:$A,INT((ROW()-1)/7)*57+MOD(ROW()-1,7)+50)&amp;"=/ s "&amp;INDEX(CUEs!$B:$B,INT((ROW()-1)/7)*57+MOD(ROW()-1,7)+50),"")</f>
        <v/>
      </c>
    </row>
    <row r="877" spans="1:1" x14ac:dyDescent="0.25">
      <c r="A877" t="str" cm="1">
        <f t="array" ref="A877">IF(INDEX(CUEs!$A:$A,INT((ROW()-1)/7)*57+MOD(ROW()-1,7)+50)&lt;&gt;"","set "&amp;INDEX(CUEs!$A:$A,INT((ROW()-1)/7)*57+MOD(ROW()-1,7)+50)&amp;"=/ s "&amp;INDEX(CUEs!$B:$B,INT((ROW()-1)/7)*57+MOD(ROW()-1,7)+50),"")</f>
        <v/>
      </c>
    </row>
    <row r="878" spans="1:1" x14ac:dyDescent="0.25">
      <c r="A878" t="str" cm="1">
        <f t="array" ref="A878">IF(INDEX(CUEs!$A:$A,INT((ROW()-1)/7)*57+MOD(ROW()-1,7)+50)&lt;&gt;"","set "&amp;INDEX(CUEs!$A:$A,INT((ROW()-1)/7)*57+MOD(ROW()-1,7)+50)&amp;"=/ s "&amp;INDEX(CUEs!$B:$B,INT((ROW()-1)/7)*57+MOD(ROW()-1,7)+50),"")</f>
        <v/>
      </c>
    </row>
    <row r="879" spans="1:1" x14ac:dyDescent="0.25">
      <c r="A879" t="str" cm="1">
        <f t="array" ref="A879">IF(INDEX(CUEs!$A:$A,INT((ROW()-1)/7)*57+MOD(ROW()-1,7)+50)&lt;&gt;"","set "&amp;INDEX(CUEs!$A:$A,INT((ROW()-1)/7)*57+MOD(ROW()-1,7)+50)&amp;"=/ s "&amp;INDEX(CUEs!$B:$B,INT((ROW()-1)/7)*57+MOD(ROW()-1,7)+50),"")</f>
        <v/>
      </c>
    </row>
    <row r="880" spans="1:1" x14ac:dyDescent="0.25">
      <c r="A880" t="str" cm="1">
        <f t="array" ref="A880">IF(INDEX(CUEs!$A:$A,INT((ROW()-1)/7)*57+MOD(ROW()-1,7)+50)&lt;&gt;"","set "&amp;INDEX(CUEs!$A:$A,INT((ROW()-1)/7)*57+MOD(ROW()-1,7)+50)&amp;"=/ s "&amp;INDEX(CUEs!$B:$B,INT((ROW()-1)/7)*57+MOD(ROW()-1,7)+50),"")</f>
        <v/>
      </c>
    </row>
    <row r="881" spans="1:1" x14ac:dyDescent="0.25">
      <c r="A881" t="str" cm="1">
        <f t="array" ref="A881">IF(INDEX(CUEs!$A:$A,INT((ROW()-1)/7)*57+MOD(ROW()-1,7)+50)&lt;&gt;"","set "&amp;INDEX(CUEs!$A:$A,INT((ROW()-1)/7)*57+MOD(ROW()-1,7)+50)&amp;"=/ s "&amp;INDEX(CUEs!$B:$B,INT((ROW()-1)/7)*57+MOD(ROW()-1,7)+50),"")</f>
        <v/>
      </c>
    </row>
    <row r="882" spans="1:1" x14ac:dyDescent="0.25">
      <c r="A882" t="str" cm="1">
        <f t="array" ref="A882">IF(INDEX(CUEs!$A:$A,INT((ROW()-1)/7)*57+MOD(ROW()-1,7)+50)&lt;&gt;"","set "&amp;INDEX(CUEs!$A:$A,INT((ROW()-1)/7)*57+MOD(ROW()-1,7)+50)&amp;"=/ s "&amp;INDEX(CUEs!$B:$B,INT((ROW()-1)/7)*57+MOD(ROW()-1,7)+50),"")</f>
        <v/>
      </c>
    </row>
    <row r="883" spans="1:1" x14ac:dyDescent="0.25">
      <c r="A883" t="str" cm="1">
        <f t="array" ref="A883">IF(INDEX(CUEs!$A:$A,INT((ROW()-1)/7)*57+MOD(ROW()-1,7)+50)&lt;&gt;"","set "&amp;INDEX(CUEs!$A:$A,INT((ROW()-1)/7)*57+MOD(ROW()-1,7)+50)&amp;"=/ s "&amp;INDEX(CUEs!$B:$B,INT((ROW()-1)/7)*57+MOD(ROW()-1,7)+50),"")</f>
        <v/>
      </c>
    </row>
    <row r="884" spans="1:1" x14ac:dyDescent="0.25">
      <c r="A884" t="str" cm="1">
        <f t="array" ref="A884">IF(INDEX(CUEs!$A:$A,INT((ROW()-1)/7)*57+MOD(ROW()-1,7)+50)&lt;&gt;"","set "&amp;INDEX(CUEs!$A:$A,INT((ROW()-1)/7)*57+MOD(ROW()-1,7)+50)&amp;"=/ s "&amp;INDEX(CUEs!$B:$B,INT((ROW()-1)/7)*57+MOD(ROW()-1,7)+50),"")</f>
        <v/>
      </c>
    </row>
    <row r="885" spans="1:1" x14ac:dyDescent="0.25">
      <c r="A885" t="str" cm="1">
        <f t="array" ref="A885">IF(INDEX(CUEs!$A:$A,INT((ROW()-1)/7)*57+MOD(ROW()-1,7)+50)&lt;&gt;"","set "&amp;INDEX(CUEs!$A:$A,INT((ROW()-1)/7)*57+MOD(ROW()-1,7)+50)&amp;"=/ s "&amp;INDEX(CUEs!$B:$B,INT((ROW()-1)/7)*57+MOD(ROW()-1,7)+50),"")</f>
        <v/>
      </c>
    </row>
    <row r="886" spans="1:1" x14ac:dyDescent="0.25">
      <c r="A886" t="str" cm="1">
        <f t="array" ref="A886">IF(INDEX(CUEs!$A:$A,INT((ROW()-1)/7)*57+MOD(ROW()-1,7)+50)&lt;&gt;"","set "&amp;INDEX(CUEs!$A:$A,INT((ROW()-1)/7)*57+MOD(ROW()-1,7)+50)&amp;"=/ s "&amp;INDEX(CUEs!$B:$B,INT((ROW()-1)/7)*57+MOD(ROW()-1,7)+50),"")</f>
        <v/>
      </c>
    </row>
    <row r="887" spans="1:1" x14ac:dyDescent="0.25">
      <c r="A887" t="str" cm="1">
        <f t="array" ref="A887">IF(INDEX(CUEs!$A:$A,INT((ROW()-1)/7)*57+MOD(ROW()-1,7)+50)&lt;&gt;"","set "&amp;INDEX(CUEs!$A:$A,INT((ROW()-1)/7)*57+MOD(ROW()-1,7)+50)&amp;"=/ s "&amp;INDEX(CUEs!$B:$B,INT((ROW()-1)/7)*57+MOD(ROW()-1,7)+50),"")</f>
        <v/>
      </c>
    </row>
    <row r="888" spans="1:1" x14ac:dyDescent="0.25">
      <c r="A888" t="str" cm="1">
        <f t="array" ref="A888">IF(INDEX(CUEs!$A:$A,INT((ROW()-1)/7)*57+MOD(ROW()-1,7)+50)&lt;&gt;"","set "&amp;INDEX(CUEs!$A:$A,INT((ROW()-1)/7)*57+MOD(ROW()-1,7)+50)&amp;"=/ s "&amp;INDEX(CUEs!$B:$B,INT((ROW()-1)/7)*57+MOD(ROW()-1,7)+50),"")</f>
        <v/>
      </c>
    </row>
    <row r="889" spans="1:1" x14ac:dyDescent="0.25">
      <c r="A889" t="str" cm="1">
        <f t="array" ref="A889">IF(INDEX(CUEs!$A:$A,INT((ROW()-1)/7)*57+MOD(ROW()-1,7)+50)&lt;&gt;"","set "&amp;INDEX(CUEs!$A:$A,INT((ROW()-1)/7)*57+MOD(ROW()-1,7)+50)&amp;"=/ s "&amp;INDEX(CUEs!$B:$B,INT((ROW()-1)/7)*57+MOD(ROW()-1,7)+50),"")</f>
        <v/>
      </c>
    </row>
    <row r="890" spans="1:1" x14ac:dyDescent="0.25">
      <c r="A890" t="str" cm="1">
        <f t="array" ref="A890">IF(INDEX(CUEs!$A:$A,INT((ROW()-1)/7)*57+MOD(ROW()-1,7)+50)&lt;&gt;"","set "&amp;INDEX(CUEs!$A:$A,INT((ROW()-1)/7)*57+MOD(ROW()-1,7)+50)&amp;"=/ s "&amp;INDEX(CUEs!$B:$B,INT((ROW()-1)/7)*57+MOD(ROW()-1,7)+50),"")</f>
        <v/>
      </c>
    </row>
    <row r="891" spans="1:1" x14ac:dyDescent="0.25">
      <c r="A891" t="str" cm="1">
        <f t="array" ref="A891">IF(INDEX(CUEs!$A:$A,INT((ROW()-1)/7)*57+MOD(ROW()-1,7)+50)&lt;&gt;"","set "&amp;INDEX(CUEs!$A:$A,INT((ROW()-1)/7)*57+MOD(ROW()-1,7)+50)&amp;"=/ s "&amp;INDEX(CUEs!$B:$B,INT((ROW()-1)/7)*57+MOD(ROW()-1,7)+50),"")</f>
        <v/>
      </c>
    </row>
    <row r="892" spans="1:1" x14ac:dyDescent="0.25">
      <c r="A892" t="str" cm="1">
        <f t="array" ref="A892">IF(INDEX(CUEs!$A:$A,INT((ROW()-1)/7)*57+MOD(ROW()-1,7)+50)&lt;&gt;"","set "&amp;INDEX(CUEs!$A:$A,INT((ROW()-1)/7)*57+MOD(ROW()-1,7)+50)&amp;"=/ s "&amp;INDEX(CUEs!$B:$B,INT((ROW()-1)/7)*57+MOD(ROW()-1,7)+50),"")</f>
        <v/>
      </c>
    </row>
    <row r="893" spans="1:1" x14ac:dyDescent="0.25">
      <c r="A893" t="str" cm="1">
        <f t="array" ref="A893">IF(INDEX(CUEs!$A:$A,INT((ROW()-1)/7)*57+MOD(ROW()-1,7)+50)&lt;&gt;"","set "&amp;INDEX(CUEs!$A:$A,INT((ROW()-1)/7)*57+MOD(ROW()-1,7)+50)&amp;"=/ s "&amp;INDEX(CUEs!$B:$B,INT((ROW()-1)/7)*57+MOD(ROW()-1,7)+50),"")</f>
        <v/>
      </c>
    </row>
    <row r="894" spans="1:1" x14ac:dyDescent="0.25">
      <c r="A894" t="str" cm="1">
        <f t="array" ref="A894">IF(INDEX(CUEs!$A:$A,INT((ROW()-1)/7)*57+MOD(ROW()-1,7)+50)&lt;&gt;"","set "&amp;INDEX(CUEs!$A:$A,INT((ROW()-1)/7)*57+MOD(ROW()-1,7)+50)&amp;"=/ s "&amp;INDEX(CUEs!$B:$B,INT((ROW()-1)/7)*57+MOD(ROW()-1,7)+50),"")</f>
        <v/>
      </c>
    </row>
    <row r="895" spans="1:1" x14ac:dyDescent="0.25">
      <c r="A895" t="str" cm="1">
        <f t="array" ref="A895">IF(INDEX(CUEs!$A:$A,INT((ROW()-1)/7)*57+MOD(ROW()-1,7)+50)&lt;&gt;"","set "&amp;INDEX(CUEs!$A:$A,INT((ROW()-1)/7)*57+MOD(ROW()-1,7)+50)&amp;"=/ s "&amp;INDEX(CUEs!$B:$B,INT((ROW()-1)/7)*57+MOD(ROW()-1,7)+50),"")</f>
        <v/>
      </c>
    </row>
    <row r="896" spans="1:1" x14ac:dyDescent="0.25">
      <c r="A896" t="str" cm="1">
        <f t="array" ref="A896">IF(INDEX(CUEs!$A:$A,INT((ROW()-1)/7)*57+MOD(ROW()-1,7)+50)&lt;&gt;"","set "&amp;INDEX(CUEs!$A:$A,INT((ROW()-1)/7)*57+MOD(ROW()-1,7)+50)&amp;"=/ s "&amp;INDEX(CUEs!$B:$B,INT((ROW()-1)/7)*57+MOD(ROW()-1,7)+50),"")</f>
        <v/>
      </c>
    </row>
    <row r="897" spans="1:1" x14ac:dyDescent="0.25">
      <c r="A897" t="str" cm="1">
        <f t="array" ref="A897">IF(INDEX(CUEs!$A:$A,INT((ROW()-1)/7)*57+MOD(ROW()-1,7)+50)&lt;&gt;"","set "&amp;INDEX(CUEs!$A:$A,INT((ROW()-1)/7)*57+MOD(ROW()-1,7)+50)&amp;"=/ s "&amp;INDEX(CUEs!$B:$B,INT((ROW()-1)/7)*57+MOD(ROW()-1,7)+50),"")</f>
        <v/>
      </c>
    </row>
    <row r="898" spans="1:1" x14ac:dyDescent="0.25">
      <c r="A898" t="str" cm="1">
        <f t="array" ref="A898">IF(INDEX(CUEs!$A:$A,INT((ROW()-1)/7)*57+MOD(ROW()-1,7)+50)&lt;&gt;"","set "&amp;INDEX(CUEs!$A:$A,INT((ROW()-1)/7)*57+MOD(ROW()-1,7)+50)&amp;"=/ s "&amp;INDEX(CUEs!$B:$B,INT((ROW()-1)/7)*57+MOD(ROW()-1,7)+50),"")</f>
        <v/>
      </c>
    </row>
    <row r="899" spans="1:1" x14ac:dyDescent="0.25">
      <c r="A899" t="str" cm="1">
        <f t="array" ref="A899">IF(INDEX(CUEs!$A:$A,INT((ROW()-1)/7)*57+MOD(ROW()-1,7)+50)&lt;&gt;"","set "&amp;INDEX(CUEs!$A:$A,INT((ROW()-1)/7)*57+MOD(ROW()-1,7)+50)&amp;"=/ s "&amp;INDEX(CUEs!$B:$B,INT((ROW()-1)/7)*57+MOD(ROW()-1,7)+50),"")</f>
        <v/>
      </c>
    </row>
    <row r="900" spans="1:1" x14ac:dyDescent="0.25">
      <c r="A900" t="str" cm="1">
        <f t="array" ref="A900">IF(INDEX(CUEs!$A:$A,INT((ROW()-1)/7)*57+MOD(ROW()-1,7)+50)&lt;&gt;"","set "&amp;INDEX(CUEs!$A:$A,INT((ROW()-1)/7)*57+MOD(ROW()-1,7)+50)&amp;"=/ s "&amp;INDEX(CUEs!$B:$B,INT((ROW()-1)/7)*57+MOD(ROW()-1,7)+50),"")</f>
        <v/>
      </c>
    </row>
    <row r="901" spans="1:1" x14ac:dyDescent="0.25">
      <c r="A901" t="str" cm="1">
        <f t="array" ref="A901">IF(INDEX(CUEs!$A:$A,INT((ROW()-1)/7)*57+MOD(ROW()-1,7)+50)&lt;&gt;"","set "&amp;INDEX(CUEs!$A:$A,INT((ROW()-1)/7)*57+MOD(ROW()-1,7)+50)&amp;"=/ s "&amp;INDEX(CUEs!$B:$B,INT((ROW()-1)/7)*57+MOD(ROW()-1,7)+50),"")</f>
        <v/>
      </c>
    </row>
    <row r="902" spans="1:1" x14ac:dyDescent="0.25">
      <c r="A902" t="str" cm="1">
        <f t="array" ref="A902">IF(INDEX(CUEs!$A:$A,INT((ROW()-1)/7)*57+MOD(ROW()-1,7)+50)&lt;&gt;"","set "&amp;INDEX(CUEs!$A:$A,INT((ROW()-1)/7)*57+MOD(ROW()-1,7)+50)&amp;"=/ s "&amp;INDEX(CUEs!$B:$B,INT((ROW()-1)/7)*57+MOD(ROW()-1,7)+50),"")</f>
        <v/>
      </c>
    </row>
    <row r="903" spans="1:1" x14ac:dyDescent="0.25">
      <c r="A903" t="str" cm="1">
        <f t="array" ref="A903">IF(INDEX(CUEs!$A:$A,INT((ROW()-1)/7)*57+MOD(ROW()-1,7)+50)&lt;&gt;"","set "&amp;INDEX(CUEs!$A:$A,INT((ROW()-1)/7)*57+MOD(ROW()-1,7)+50)&amp;"=/ s "&amp;INDEX(CUEs!$B:$B,INT((ROW()-1)/7)*57+MOD(ROW()-1,7)+50),"")</f>
        <v/>
      </c>
    </row>
    <row r="904" spans="1:1" x14ac:dyDescent="0.25">
      <c r="A904" t="str" cm="1">
        <f t="array" ref="A904">IF(INDEX(CUEs!$A:$A,INT((ROW()-1)/7)*57+MOD(ROW()-1,7)+50)&lt;&gt;"","set "&amp;INDEX(CUEs!$A:$A,INT((ROW()-1)/7)*57+MOD(ROW()-1,7)+50)&amp;"=/ s "&amp;INDEX(CUEs!$B:$B,INT((ROW()-1)/7)*57+MOD(ROW()-1,7)+50),"")</f>
        <v/>
      </c>
    </row>
    <row r="905" spans="1:1" x14ac:dyDescent="0.25">
      <c r="A905" t="str" cm="1">
        <f t="array" ref="A905">IF(INDEX(CUEs!$A:$A,INT((ROW()-1)/7)*57+MOD(ROW()-1,7)+50)&lt;&gt;"","set "&amp;INDEX(CUEs!$A:$A,INT((ROW()-1)/7)*57+MOD(ROW()-1,7)+50)&amp;"=/ s "&amp;INDEX(CUEs!$B:$B,INT((ROW()-1)/7)*57+MOD(ROW()-1,7)+50),"")</f>
        <v/>
      </c>
    </row>
    <row r="906" spans="1:1" x14ac:dyDescent="0.25">
      <c r="A906" t="str" cm="1">
        <f t="array" ref="A906">IF(INDEX(CUEs!$A:$A,INT((ROW()-1)/7)*57+MOD(ROW()-1,7)+50)&lt;&gt;"","set "&amp;INDEX(CUEs!$A:$A,INT((ROW()-1)/7)*57+MOD(ROW()-1,7)+50)&amp;"=/ s "&amp;INDEX(CUEs!$B:$B,INT((ROW()-1)/7)*57+MOD(ROW()-1,7)+50),"")</f>
        <v/>
      </c>
    </row>
    <row r="907" spans="1:1" x14ac:dyDescent="0.25">
      <c r="A907" t="str" cm="1">
        <f t="array" ref="A907">IF(INDEX(CUEs!$A:$A,INT((ROW()-1)/7)*57+MOD(ROW()-1,7)+50)&lt;&gt;"","set "&amp;INDEX(CUEs!$A:$A,INT((ROW()-1)/7)*57+MOD(ROW()-1,7)+50)&amp;"=/ s "&amp;INDEX(CUEs!$B:$B,INT((ROW()-1)/7)*57+MOD(ROW()-1,7)+50),"")</f>
        <v/>
      </c>
    </row>
    <row r="908" spans="1:1" x14ac:dyDescent="0.25">
      <c r="A908" t="str" cm="1">
        <f t="array" ref="A908">IF(INDEX(CUEs!$A:$A,INT((ROW()-1)/7)*57+MOD(ROW()-1,7)+50)&lt;&gt;"","set "&amp;INDEX(CUEs!$A:$A,INT((ROW()-1)/7)*57+MOD(ROW()-1,7)+50)&amp;"=/ s "&amp;INDEX(CUEs!$B:$B,INT((ROW()-1)/7)*57+MOD(ROW()-1,7)+50),"")</f>
        <v/>
      </c>
    </row>
    <row r="909" spans="1:1" x14ac:dyDescent="0.25">
      <c r="A909" t="str" cm="1">
        <f t="array" ref="A909">IF(INDEX(CUEs!$A:$A,INT((ROW()-1)/7)*57+MOD(ROW()-1,7)+50)&lt;&gt;"","set "&amp;INDEX(CUEs!$A:$A,INT((ROW()-1)/7)*57+MOD(ROW()-1,7)+50)&amp;"=/ s "&amp;INDEX(CUEs!$B:$B,INT((ROW()-1)/7)*57+MOD(ROW()-1,7)+50),"")</f>
        <v/>
      </c>
    </row>
    <row r="910" spans="1:1" x14ac:dyDescent="0.25">
      <c r="A910" t="str" cm="1">
        <f t="array" ref="A910">IF(INDEX(CUEs!$A:$A,INT((ROW()-1)/7)*57+MOD(ROW()-1,7)+50)&lt;&gt;"","set "&amp;INDEX(CUEs!$A:$A,INT((ROW()-1)/7)*57+MOD(ROW()-1,7)+50)&amp;"=/ s "&amp;INDEX(CUEs!$B:$B,INT((ROW()-1)/7)*57+MOD(ROW()-1,7)+50),"")</f>
        <v/>
      </c>
    </row>
    <row r="911" spans="1:1" x14ac:dyDescent="0.25">
      <c r="A911" t="str" cm="1">
        <f t="array" ref="A911">IF(INDEX(CUEs!$A:$A,INT((ROW()-1)/7)*57+MOD(ROW()-1,7)+50)&lt;&gt;"","set "&amp;INDEX(CUEs!$A:$A,INT((ROW()-1)/7)*57+MOD(ROW()-1,7)+50)&amp;"=/ s "&amp;INDEX(CUEs!$B:$B,INT((ROW()-1)/7)*57+MOD(ROW()-1,7)+50),"")</f>
        <v/>
      </c>
    </row>
    <row r="912" spans="1:1" x14ac:dyDescent="0.25">
      <c r="A912" t="str" cm="1">
        <f t="array" ref="A912">IF(INDEX(CUEs!$A:$A,INT((ROW()-1)/7)*57+MOD(ROW()-1,7)+50)&lt;&gt;"","set "&amp;INDEX(CUEs!$A:$A,INT((ROW()-1)/7)*57+MOD(ROW()-1,7)+50)&amp;"=/ s "&amp;INDEX(CUEs!$B:$B,INT((ROW()-1)/7)*57+MOD(ROW()-1,7)+50),"")</f>
        <v/>
      </c>
    </row>
    <row r="913" spans="1:1" x14ac:dyDescent="0.25">
      <c r="A913" t="str" cm="1">
        <f t="array" ref="A913">IF(INDEX(CUEs!$A:$A,INT((ROW()-1)/7)*57+MOD(ROW()-1,7)+50)&lt;&gt;"","set "&amp;INDEX(CUEs!$A:$A,INT((ROW()-1)/7)*57+MOD(ROW()-1,7)+50)&amp;"=/ s "&amp;INDEX(CUEs!$B:$B,INT((ROW()-1)/7)*57+MOD(ROW()-1,7)+50),"")</f>
        <v/>
      </c>
    </row>
    <row r="914" spans="1:1" x14ac:dyDescent="0.25">
      <c r="A914" t="str" cm="1">
        <f t="array" ref="A914">IF(INDEX(CUEs!$A:$A,INT((ROW()-1)/7)*57+MOD(ROW()-1,7)+50)&lt;&gt;"","set "&amp;INDEX(CUEs!$A:$A,INT((ROW()-1)/7)*57+MOD(ROW()-1,7)+50)&amp;"=/ s "&amp;INDEX(CUEs!$B:$B,INT((ROW()-1)/7)*57+MOD(ROW()-1,7)+50),"")</f>
        <v/>
      </c>
    </row>
    <row r="915" spans="1:1" x14ac:dyDescent="0.25">
      <c r="A915" t="str" cm="1">
        <f t="array" ref="A915">IF(INDEX(CUEs!$A:$A,INT((ROW()-1)/7)*57+MOD(ROW()-1,7)+50)&lt;&gt;"","set "&amp;INDEX(CUEs!$A:$A,INT((ROW()-1)/7)*57+MOD(ROW()-1,7)+50)&amp;"=/ s "&amp;INDEX(CUEs!$B:$B,INT((ROW()-1)/7)*57+MOD(ROW()-1,7)+50),"")</f>
        <v/>
      </c>
    </row>
    <row r="916" spans="1:1" x14ac:dyDescent="0.25">
      <c r="A916" t="str" cm="1">
        <f t="array" ref="A916">IF(INDEX(CUEs!$A:$A,INT((ROW()-1)/7)*57+MOD(ROW()-1,7)+50)&lt;&gt;"","set "&amp;INDEX(CUEs!$A:$A,INT((ROW()-1)/7)*57+MOD(ROW()-1,7)+50)&amp;"=/ s "&amp;INDEX(CUEs!$B:$B,INT((ROW()-1)/7)*57+MOD(ROW()-1,7)+50),"")</f>
        <v/>
      </c>
    </row>
    <row r="917" spans="1:1" x14ac:dyDescent="0.25">
      <c r="A917" t="str" cm="1">
        <f t="array" ref="A917">IF(INDEX(CUEs!$A:$A,INT((ROW()-1)/7)*57+MOD(ROW()-1,7)+50)&lt;&gt;"","set "&amp;INDEX(CUEs!$A:$A,INT((ROW()-1)/7)*57+MOD(ROW()-1,7)+50)&amp;"=/ s "&amp;INDEX(CUEs!$B:$B,INT((ROW()-1)/7)*57+MOD(ROW()-1,7)+50),"")</f>
        <v/>
      </c>
    </row>
    <row r="918" spans="1:1" x14ac:dyDescent="0.25">
      <c r="A918" t="str" cm="1">
        <f t="array" ref="A918">IF(INDEX(CUEs!$A:$A,INT((ROW()-1)/7)*57+MOD(ROW()-1,7)+50)&lt;&gt;"","set "&amp;INDEX(CUEs!$A:$A,INT((ROW()-1)/7)*57+MOD(ROW()-1,7)+50)&amp;"=/ s "&amp;INDEX(CUEs!$B:$B,INT((ROW()-1)/7)*57+MOD(ROW()-1,7)+50),"")</f>
        <v/>
      </c>
    </row>
    <row r="919" spans="1:1" x14ac:dyDescent="0.25">
      <c r="A919" t="str" cm="1">
        <f t="array" ref="A919">IF(INDEX(CUEs!$A:$A,INT((ROW()-1)/7)*57+MOD(ROW()-1,7)+50)&lt;&gt;"","set "&amp;INDEX(CUEs!$A:$A,INT((ROW()-1)/7)*57+MOD(ROW()-1,7)+50)&amp;"=/ s "&amp;INDEX(CUEs!$B:$B,INT((ROW()-1)/7)*57+MOD(ROW()-1,7)+50),"")</f>
        <v/>
      </c>
    </row>
    <row r="920" spans="1:1" x14ac:dyDescent="0.25">
      <c r="A920" t="str" cm="1">
        <f t="array" ref="A920">IF(INDEX(CUEs!$A:$A,INT((ROW()-1)/7)*57+MOD(ROW()-1,7)+50)&lt;&gt;"","set "&amp;INDEX(CUEs!$A:$A,INT((ROW()-1)/7)*57+MOD(ROW()-1,7)+50)&amp;"=/ s "&amp;INDEX(CUEs!$B:$B,INT((ROW()-1)/7)*57+MOD(ROW()-1,7)+50),"")</f>
        <v/>
      </c>
    </row>
    <row r="921" spans="1:1" x14ac:dyDescent="0.25">
      <c r="A921" t="str" cm="1">
        <f t="array" ref="A921">IF(INDEX(CUEs!$A:$A,INT((ROW()-1)/7)*57+MOD(ROW()-1,7)+50)&lt;&gt;"","set "&amp;INDEX(CUEs!$A:$A,INT((ROW()-1)/7)*57+MOD(ROW()-1,7)+50)&amp;"=/ s "&amp;INDEX(CUEs!$B:$B,INT((ROW()-1)/7)*57+MOD(ROW()-1,7)+50),"")</f>
        <v/>
      </c>
    </row>
    <row r="922" spans="1:1" x14ac:dyDescent="0.25">
      <c r="A922" t="str" cm="1">
        <f t="array" ref="A922">IF(INDEX(CUEs!$A:$A,INT((ROW()-1)/7)*57+MOD(ROW()-1,7)+50)&lt;&gt;"","set "&amp;INDEX(CUEs!$A:$A,INT((ROW()-1)/7)*57+MOD(ROW()-1,7)+50)&amp;"=/ s "&amp;INDEX(CUEs!$B:$B,INT((ROW()-1)/7)*57+MOD(ROW()-1,7)+50),"")</f>
        <v/>
      </c>
    </row>
    <row r="923" spans="1:1" x14ac:dyDescent="0.25">
      <c r="A923" t="str" cm="1">
        <f t="array" ref="A923">IF(INDEX(CUEs!$A:$A,INT((ROW()-1)/7)*57+MOD(ROW()-1,7)+50)&lt;&gt;"","set "&amp;INDEX(CUEs!$A:$A,INT((ROW()-1)/7)*57+MOD(ROW()-1,7)+50)&amp;"=/ s "&amp;INDEX(CUEs!$B:$B,INT((ROW()-1)/7)*57+MOD(ROW()-1,7)+50),"")</f>
        <v/>
      </c>
    </row>
    <row r="924" spans="1:1" x14ac:dyDescent="0.25">
      <c r="A924" t="str" cm="1">
        <f t="array" ref="A924">IF(INDEX(CUEs!$A:$A,INT((ROW()-1)/7)*57+MOD(ROW()-1,7)+50)&lt;&gt;"","set "&amp;INDEX(CUEs!$A:$A,INT((ROW()-1)/7)*57+MOD(ROW()-1,7)+50)&amp;"=/ s "&amp;INDEX(CUEs!$B:$B,INT((ROW()-1)/7)*57+MOD(ROW()-1,7)+50),"")</f>
        <v/>
      </c>
    </row>
    <row r="925" spans="1:1" x14ac:dyDescent="0.25">
      <c r="A925" t="str" cm="1">
        <f t="array" ref="A925">IF(INDEX(CUEs!$A:$A,INT((ROW()-1)/7)*57+MOD(ROW()-1,7)+50)&lt;&gt;"","set "&amp;INDEX(CUEs!$A:$A,INT((ROW()-1)/7)*57+MOD(ROW()-1,7)+50)&amp;"=/ s "&amp;INDEX(CUEs!$B:$B,INT((ROW()-1)/7)*57+MOD(ROW()-1,7)+50),"")</f>
        <v/>
      </c>
    </row>
    <row r="926" spans="1:1" x14ac:dyDescent="0.25">
      <c r="A926" t="str" cm="1">
        <f t="array" ref="A926">IF(INDEX(CUEs!$A:$A,INT((ROW()-1)/7)*57+MOD(ROW()-1,7)+50)&lt;&gt;"","set "&amp;INDEX(CUEs!$A:$A,INT((ROW()-1)/7)*57+MOD(ROW()-1,7)+50)&amp;"=/ s "&amp;INDEX(CUEs!$B:$B,INT((ROW()-1)/7)*57+MOD(ROW()-1,7)+50),"")</f>
        <v/>
      </c>
    </row>
    <row r="927" spans="1:1" x14ac:dyDescent="0.25">
      <c r="A927" t="str" cm="1">
        <f t="array" ref="A927">IF(INDEX(CUEs!$A:$A,INT((ROW()-1)/7)*57+MOD(ROW()-1,7)+50)&lt;&gt;"","set "&amp;INDEX(CUEs!$A:$A,INT((ROW()-1)/7)*57+MOD(ROW()-1,7)+50)&amp;"=/ s "&amp;INDEX(CUEs!$B:$B,INT((ROW()-1)/7)*57+MOD(ROW()-1,7)+50),"")</f>
        <v/>
      </c>
    </row>
    <row r="928" spans="1:1" x14ac:dyDescent="0.25">
      <c r="A928" t="str" cm="1">
        <f t="array" ref="A928">IF(INDEX(CUEs!$A:$A,INT((ROW()-1)/7)*57+MOD(ROW()-1,7)+50)&lt;&gt;"","set "&amp;INDEX(CUEs!$A:$A,INT((ROW()-1)/7)*57+MOD(ROW()-1,7)+50)&amp;"=/ s "&amp;INDEX(CUEs!$B:$B,INT((ROW()-1)/7)*57+MOD(ROW()-1,7)+50),"")</f>
        <v/>
      </c>
    </row>
    <row r="929" spans="1:1" x14ac:dyDescent="0.25">
      <c r="A929" t="str" cm="1">
        <f t="array" ref="A929">IF(INDEX(CUEs!$A:$A,INT((ROW()-1)/7)*57+MOD(ROW()-1,7)+50)&lt;&gt;"","set "&amp;INDEX(CUEs!$A:$A,INT((ROW()-1)/7)*57+MOD(ROW()-1,7)+50)&amp;"=/ s "&amp;INDEX(CUEs!$B:$B,INT((ROW()-1)/7)*57+MOD(ROW()-1,7)+50),"")</f>
        <v/>
      </c>
    </row>
    <row r="930" spans="1:1" x14ac:dyDescent="0.25">
      <c r="A930" t="str" cm="1">
        <f t="array" ref="A930">IF(INDEX(CUEs!$A:$A,INT((ROW()-1)/7)*57+MOD(ROW()-1,7)+50)&lt;&gt;"","set "&amp;INDEX(CUEs!$A:$A,INT((ROW()-1)/7)*57+MOD(ROW()-1,7)+50)&amp;"=/ s "&amp;INDEX(CUEs!$B:$B,INT((ROW()-1)/7)*57+MOD(ROW()-1,7)+50),"")</f>
        <v/>
      </c>
    </row>
    <row r="931" spans="1:1" x14ac:dyDescent="0.25">
      <c r="A931" t="str" cm="1">
        <f t="array" ref="A931">IF(INDEX(CUEs!$A:$A,INT((ROW()-1)/7)*57+MOD(ROW()-1,7)+50)&lt;&gt;"","set "&amp;INDEX(CUEs!$A:$A,INT((ROW()-1)/7)*57+MOD(ROW()-1,7)+50)&amp;"=/ s "&amp;INDEX(CUEs!$B:$B,INT((ROW()-1)/7)*57+MOD(ROW()-1,7)+50),"")</f>
        <v/>
      </c>
    </row>
    <row r="932" spans="1:1" x14ac:dyDescent="0.25">
      <c r="A932" t="str" cm="1">
        <f t="array" ref="A932">IF(INDEX(CUEs!$A:$A,INT((ROW()-1)/7)*57+MOD(ROW()-1,7)+50)&lt;&gt;"","set "&amp;INDEX(CUEs!$A:$A,INT((ROW()-1)/7)*57+MOD(ROW()-1,7)+50)&amp;"=/ s "&amp;INDEX(CUEs!$B:$B,INT((ROW()-1)/7)*57+MOD(ROW()-1,7)+50),"")</f>
        <v/>
      </c>
    </row>
    <row r="933" spans="1:1" x14ac:dyDescent="0.25">
      <c r="A933" t="str" cm="1">
        <f t="array" ref="A933">IF(INDEX(CUEs!$A:$A,INT((ROW()-1)/7)*57+MOD(ROW()-1,7)+50)&lt;&gt;"","set "&amp;INDEX(CUEs!$A:$A,INT((ROW()-1)/7)*57+MOD(ROW()-1,7)+50)&amp;"=/ s "&amp;INDEX(CUEs!$B:$B,INT((ROW()-1)/7)*57+MOD(ROW()-1,7)+50),"")</f>
        <v/>
      </c>
    </row>
    <row r="934" spans="1:1" x14ac:dyDescent="0.25">
      <c r="A934" t="str" cm="1">
        <f t="array" ref="A934">IF(INDEX(CUEs!$A:$A,INT((ROW()-1)/7)*57+MOD(ROW()-1,7)+50)&lt;&gt;"","set "&amp;INDEX(CUEs!$A:$A,INT((ROW()-1)/7)*57+MOD(ROW()-1,7)+50)&amp;"=/ s "&amp;INDEX(CUEs!$B:$B,INT((ROW()-1)/7)*57+MOD(ROW()-1,7)+50),"")</f>
        <v/>
      </c>
    </row>
    <row r="935" spans="1:1" x14ac:dyDescent="0.25">
      <c r="A935" t="str" cm="1">
        <f t="array" ref="A935">IF(INDEX(CUEs!$A:$A,INT((ROW()-1)/7)*57+MOD(ROW()-1,7)+50)&lt;&gt;"","set "&amp;INDEX(CUEs!$A:$A,INT((ROW()-1)/7)*57+MOD(ROW()-1,7)+50)&amp;"=/ s "&amp;INDEX(CUEs!$B:$B,INT((ROW()-1)/7)*57+MOD(ROW()-1,7)+50),"")</f>
        <v/>
      </c>
    </row>
    <row r="936" spans="1:1" x14ac:dyDescent="0.25">
      <c r="A936" t="str" cm="1">
        <f t="array" ref="A936">IF(INDEX(CUEs!$A:$A,INT((ROW()-1)/7)*57+MOD(ROW()-1,7)+50)&lt;&gt;"","set "&amp;INDEX(CUEs!$A:$A,INT((ROW()-1)/7)*57+MOD(ROW()-1,7)+50)&amp;"=/ s "&amp;INDEX(CUEs!$B:$B,INT((ROW()-1)/7)*57+MOD(ROW()-1,7)+50),"")</f>
        <v/>
      </c>
    </row>
    <row r="937" spans="1:1" x14ac:dyDescent="0.25">
      <c r="A937" t="str" cm="1">
        <f t="array" ref="A937">IF(INDEX(CUEs!$A:$A,INT((ROW()-1)/7)*57+MOD(ROW()-1,7)+50)&lt;&gt;"","set "&amp;INDEX(CUEs!$A:$A,INT((ROW()-1)/7)*57+MOD(ROW()-1,7)+50)&amp;"=/ s "&amp;INDEX(CUEs!$B:$B,INT((ROW()-1)/7)*57+MOD(ROW()-1,7)+50),"")</f>
        <v/>
      </c>
    </row>
    <row r="938" spans="1:1" x14ac:dyDescent="0.25">
      <c r="A938" t="str" cm="1">
        <f t="array" ref="A938">IF(INDEX(CUEs!$A:$A,INT((ROW()-1)/7)*57+MOD(ROW()-1,7)+50)&lt;&gt;"","set "&amp;INDEX(CUEs!$A:$A,INT((ROW()-1)/7)*57+MOD(ROW()-1,7)+50)&amp;"=/ s "&amp;INDEX(CUEs!$B:$B,INT((ROW()-1)/7)*57+MOD(ROW()-1,7)+50),"")</f>
        <v/>
      </c>
    </row>
    <row r="939" spans="1:1" x14ac:dyDescent="0.25">
      <c r="A939" t="str" cm="1">
        <f t="array" ref="A939">IF(INDEX(CUEs!$A:$A,INT((ROW()-1)/7)*57+MOD(ROW()-1,7)+50)&lt;&gt;"","set "&amp;INDEX(CUEs!$A:$A,INT((ROW()-1)/7)*57+MOD(ROW()-1,7)+50)&amp;"=/ s "&amp;INDEX(CUEs!$B:$B,INT((ROW()-1)/7)*57+MOD(ROW()-1,7)+50),"")</f>
        <v/>
      </c>
    </row>
    <row r="940" spans="1:1" x14ac:dyDescent="0.25">
      <c r="A940" t="str" cm="1">
        <f t="array" ref="A940">IF(INDEX(CUEs!$A:$A,INT((ROW()-1)/7)*57+MOD(ROW()-1,7)+50)&lt;&gt;"","set "&amp;INDEX(CUEs!$A:$A,INT((ROW()-1)/7)*57+MOD(ROW()-1,7)+50)&amp;"=/ s "&amp;INDEX(CUEs!$B:$B,INT((ROW()-1)/7)*57+MOD(ROW()-1,7)+50),"")</f>
        <v/>
      </c>
    </row>
    <row r="941" spans="1:1" x14ac:dyDescent="0.25">
      <c r="A941" t="str" cm="1">
        <f t="array" ref="A941">IF(INDEX(CUEs!$A:$A,INT((ROW()-1)/7)*57+MOD(ROW()-1,7)+50)&lt;&gt;"","set "&amp;INDEX(CUEs!$A:$A,INT((ROW()-1)/7)*57+MOD(ROW()-1,7)+50)&amp;"=/ s "&amp;INDEX(CUEs!$B:$B,INT((ROW()-1)/7)*57+MOD(ROW()-1,7)+50),"")</f>
        <v/>
      </c>
    </row>
    <row r="942" spans="1:1" x14ac:dyDescent="0.25">
      <c r="A942" t="str" cm="1">
        <f t="array" ref="A942">IF(INDEX(CUEs!$A:$A,INT((ROW()-1)/7)*57+MOD(ROW()-1,7)+50)&lt;&gt;"","set "&amp;INDEX(CUEs!$A:$A,INT((ROW()-1)/7)*57+MOD(ROW()-1,7)+50)&amp;"=/ s "&amp;INDEX(CUEs!$B:$B,INT((ROW()-1)/7)*57+MOD(ROW()-1,7)+50),"")</f>
        <v/>
      </c>
    </row>
    <row r="943" spans="1:1" x14ac:dyDescent="0.25">
      <c r="A943" t="str" cm="1">
        <f t="array" ref="A943">IF(INDEX(CUEs!$A:$A,INT((ROW()-1)/7)*57+MOD(ROW()-1,7)+50)&lt;&gt;"","set "&amp;INDEX(CUEs!$A:$A,INT((ROW()-1)/7)*57+MOD(ROW()-1,7)+50)&amp;"=/ s "&amp;INDEX(CUEs!$B:$B,INT((ROW()-1)/7)*57+MOD(ROW()-1,7)+50),"")</f>
        <v/>
      </c>
    </row>
    <row r="944" spans="1:1" x14ac:dyDescent="0.25">
      <c r="A944" t="str" cm="1">
        <f t="array" ref="A944">IF(INDEX(CUEs!$A:$A,INT((ROW()-1)/7)*57+MOD(ROW()-1,7)+50)&lt;&gt;"","set "&amp;INDEX(CUEs!$A:$A,INT((ROW()-1)/7)*57+MOD(ROW()-1,7)+50)&amp;"=/ s "&amp;INDEX(CUEs!$B:$B,INT((ROW()-1)/7)*57+MOD(ROW()-1,7)+50),"")</f>
        <v/>
      </c>
    </row>
    <row r="945" spans="1:1" x14ac:dyDescent="0.25">
      <c r="A945" t="str" cm="1">
        <f t="array" ref="A945">IF(INDEX(CUEs!$A:$A,INT((ROW()-1)/7)*57+MOD(ROW()-1,7)+50)&lt;&gt;"","set "&amp;INDEX(CUEs!$A:$A,INT((ROW()-1)/7)*57+MOD(ROW()-1,7)+50)&amp;"=/ s "&amp;INDEX(CUEs!$B:$B,INT((ROW()-1)/7)*57+MOD(ROW()-1,7)+50),"")</f>
        <v/>
      </c>
    </row>
    <row r="946" spans="1:1" x14ac:dyDescent="0.25">
      <c r="A946" t="str" cm="1">
        <f t="array" ref="A946">IF(INDEX(CUEs!$A:$A,INT((ROW()-1)/7)*57+MOD(ROW()-1,7)+50)&lt;&gt;"","set "&amp;INDEX(CUEs!$A:$A,INT((ROW()-1)/7)*57+MOD(ROW()-1,7)+50)&amp;"=/ s "&amp;INDEX(CUEs!$B:$B,INT((ROW()-1)/7)*57+MOD(ROW()-1,7)+50),"")</f>
        <v/>
      </c>
    </row>
    <row r="947" spans="1:1" x14ac:dyDescent="0.25">
      <c r="A947" t="str" cm="1">
        <f t="array" ref="A947">IF(INDEX(CUEs!$A:$A,INT((ROW()-1)/7)*57+MOD(ROW()-1,7)+50)&lt;&gt;"","set "&amp;INDEX(CUEs!$A:$A,INT((ROW()-1)/7)*57+MOD(ROW()-1,7)+50)&amp;"=/ s "&amp;INDEX(CUEs!$B:$B,INT((ROW()-1)/7)*57+MOD(ROW()-1,7)+50),"")</f>
        <v/>
      </c>
    </row>
    <row r="948" spans="1:1" x14ac:dyDescent="0.25">
      <c r="A948" t="str" cm="1">
        <f t="array" ref="A948">IF(INDEX(CUEs!$A:$A,INT((ROW()-1)/7)*57+MOD(ROW()-1,7)+50)&lt;&gt;"","set "&amp;INDEX(CUEs!$A:$A,INT((ROW()-1)/7)*57+MOD(ROW()-1,7)+50)&amp;"=/ s "&amp;INDEX(CUEs!$B:$B,INT((ROW()-1)/7)*57+MOD(ROW()-1,7)+50),"")</f>
        <v/>
      </c>
    </row>
    <row r="949" spans="1:1" x14ac:dyDescent="0.25">
      <c r="A949" t="str" cm="1">
        <f t="array" ref="A949">IF(INDEX(CUEs!$A:$A,INT((ROW()-1)/7)*57+MOD(ROW()-1,7)+50)&lt;&gt;"","set "&amp;INDEX(CUEs!$A:$A,INT((ROW()-1)/7)*57+MOD(ROW()-1,7)+50)&amp;"=/ s "&amp;INDEX(CUEs!$B:$B,INT((ROW()-1)/7)*57+MOD(ROW()-1,7)+50),"")</f>
        <v/>
      </c>
    </row>
    <row r="950" spans="1:1" x14ac:dyDescent="0.25">
      <c r="A950" t="str" cm="1">
        <f t="array" ref="A950">IF(INDEX(CUEs!$A:$A,INT((ROW()-1)/7)*57+MOD(ROW()-1,7)+50)&lt;&gt;"","set "&amp;INDEX(CUEs!$A:$A,INT((ROW()-1)/7)*57+MOD(ROW()-1,7)+50)&amp;"=/ s "&amp;INDEX(CUEs!$B:$B,INT((ROW()-1)/7)*57+MOD(ROW()-1,7)+50),"")</f>
        <v/>
      </c>
    </row>
    <row r="951" spans="1:1" x14ac:dyDescent="0.25">
      <c r="A951" t="str" cm="1">
        <f t="array" ref="A951">IF(INDEX(CUEs!$A:$A,INT((ROW()-1)/7)*57+MOD(ROW()-1,7)+50)&lt;&gt;"","set "&amp;INDEX(CUEs!$A:$A,INT((ROW()-1)/7)*57+MOD(ROW()-1,7)+50)&amp;"=/ s "&amp;INDEX(CUEs!$B:$B,INT((ROW()-1)/7)*57+MOD(ROW()-1,7)+50),"")</f>
        <v/>
      </c>
    </row>
    <row r="952" spans="1:1" x14ac:dyDescent="0.25">
      <c r="A952" t="str" cm="1">
        <f t="array" ref="A952">IF(INDEX(CUEs!$A:$A,INT((ROW()-1)/7)*57+MOD(ROW()-1,7)+50)&lt;&gt;"","set "&amp;INDEX(CUEs!$A:$A,INT((ROW()-1)/7)*57+MOD(ROW()-1,7)+50)&amp;"=/ s "&amp;INDEX(CUEs!$B:$B,INT((ROW()-1)/7)*57+MOD(ROW()-1,7)+50),"")</f>
        <v/>
      </c>
    </row>
    <row r="953" spans="1:1" x14ac:dyDescent="0.25">
      <c r="A953" t="str" cm="1">
        <f t="array" ref="A953">IF(INDEX(CUEs!$A:$A,INT((ROW()-1)/7)*57+MOD(ROW()-1,7)+50)&lt;&gt;"","set "&amp;INDEX(CUEs!$A:$A,INT((ROW()-1)/7)*57+MOD(ROW()-1,7)+50)&amp;"=/ s "&amp;INDEX(CUEs!$B:$B,INT((ROW()-1)/7)*57+MOD(ROW()-1,7)+50),"")</f>
        <v/>
      </c>
    </row>
    <row r="954" spans="1:1" x14ac:dyDescent="0.25">
      <c r="A954" t="str" cm="1">
        <f t="array" ref="A954">IF(INDEX(CUEs!$A:$A,INT((ROW()-1)/7)*57+MOD(ROW()-1,7)+50)&lt;&gt;"","set "&amp;INDEX(CUEs!$A:$A,INT((ROW()-1)/7)*57+MOD(ROW()-1,7)+50)&amp;"=/ s "&amp;INDEX(CUEs!$B:$B,INT((ROW()-1)/7)*57+MOD(ROW()-1,7)+50),"")</f>
        <v/>
      </c>
    </row>
    <row r="955" spans="1:1" x14ac:dyDescent="0.25">
      <c r="A955" t="str" cm="1">
        <f t="array" ref="A955">IF(INDEX(CUEs!$A:$A,INT((ROW()-1)/7)*57+MOD(ROW()-1,7)+50)&lt;&gt;"","set "&amp;INDEX(CUEs!$A:$A,INT((ROW()-1)/7)*57+MOD(ROW()-1,7)+50)&amp;"=/ s "&amp;INDEX(CUEs!$B:$B,INT((ROW()-1)/7)*57+MOD(ROW()-1,7)+50),"")</f>
        <v/>
      </c>
    </row>
    <row r="956" spans="1:1" x14ac:dyDescent="0.25">
      <c r="A956" t="str" cm="1">
        <f t="array" ref="A956">IF(INDEX(CUEs!$A:$A,INT((ROW()-1)/7)*57+MOD(ROW()-1,7)+50)&lt;&gt;"","set "&amp;INDEX(CUEs!$A:$A,INT((ROW()-1)/7)*57+MOD(ROW()-1,7)+50)&amp;"=/ s "&amp;INDEX(CUEs!$B:$B,INT((ROW()-1)/7)*57+MOD(ROW()-1,7)+50),"")</f>
        <v/>
      </c>
    </row>
    <row r="957" spans="1:1" x14ac:dyDescent="0.25">
      <c r="A957" t="str" cm="1">
        <f t="array" ref="A957">IF(INDEX(CUEs!$A:$A,INT((ROW()-1)/7)*57+MOD(ROW()-1,7)+50)&lt;&gt;"","set "&amp;INDEX(CUEs!$A:$A,INT((ROW()-1)/7)*57+MOD(ROW()-1,7)+50)&amp;"=/ s "&amp;INDEX(CUEs!$B:$B,INT((ROW()-1)/7)*57+MOD(ROW()-1,7)+50),"")</f>
        <v/>
      </c>
    </row>
    <row r="958" spans="1:1" x14ac:dyDescent="0.25">
      <c r="A958" t="str" cm="1">
        <f t="array" ref="A958">IF(INDEX(CUEs!$A:$A,INT((ROW()-1)/7)*57+MOD(ROW()-1,7)+50)&lt;&gt;"","set "&amp;INDEX(CUEs!$A:$A,INT((ROW()-1)/7)*57+MOD(ROW()-1,7)+50)&amp;"=/ s "&amp;INDEX(CUEs!$B:$B,INT((ROW()-1)/7)*57+MOD(ROW()-1,7)+50),"")</f>
        <v/>
      </c>
    </row>
    <row r="959" spans="1:1" x14ac:dyDescent="0.25">
      <c r="A959" t="str" cm="1">
        <f t="array" ref="A959">IF(INDEX(CUEs!$A:$A,INT((ROW()-1)/7)*57+MOD(ROW()-1,7)+50)&lt;&gt;"","set "&amp;INDEX(CUEs!$A:$A,INT((ROW()-1)/7)*57+MOD(ROW()-1,7)+50)&amp;"=/ s "&amp;INDEX(CUEs!$B:$B,INT((ROW()-1)/7)*57+MOD(ROW()-1,7)+50),"")</f>
        <v/>
      </c>
    </row>
    <row r="960" spans="1:1" x14ac:dyDescent="0.25">
      <c r="A960" t="str" cm="1">
        <f t="array" ref="A960">IF(INDEX(CUEs!$A:$A,INT((ROW()-1)/7)*57+MOD(ROW()-1,7)+50)&lt;&gt;"","set "&amp;INDEX(CUEs!$A:$A,INT((ROW()-1)/7)*57+MOD(ROW()-1,7)+50)&amp;"=/ s "&amp;INDEX(CUEs!$B:$B,INT((ROW()-1)/7)*57+MOD(ROW()-1,7)+50),"")</f>
        <v/>
      </c>
    </row>
    <row r="961" spans="1:1" x14ac:dyDescent="0.25">
      <c r="A961" t="str" cm="1">
        <f t="array" ref="A961">IF(INDEX(CUEs!$A:$A,INT((ROW()-1)/7)*57+MOD(ROW()-1,7)+50)&lt;&gt;"","set "&amp;INDEX(CUEs!$A:$A,INT((ROW()-1)/7)*57+MOD(ROW()-1,7)+50)&amp;"=/ s "&amp;INDEX(CUEs!$B:$B,INT((ROW()-1)/7)*57+MOD(ROW()-1,7)+50),"")</f>
        <v/>
      </c>
    </row>
    <row r="962" spans="1:1" x14ac:dyDescent="0.25">
      <c r="A962" t="str" cm="1">
        <f t="array" ref="A962">IF(INDEX(CUEs!$A:$A,INT((ROW()-1)/7)*57+MOD(ROW()-1,7)+50)&lt;&gt;"","set "&amp;INDEX(CUEs!$A:$A,INT((ROW()-1)/7)*57+MOD(ROW()-1,7)+50)&amp;"=/ s "&amp;INDEX(CUEs!$B:$B,INT((ROW()-1)/7)*57+MOD(ROW()-1,7)+50),"")</f>
        <v/>
      </c>
    </row>
    <row r="963" spans="1:1" x14ac:dyDescent="0.25">
      <c r="A963" t="str" cm="1">
        <f t="array" ref="A963">IF(INDEX(CUEs!$A:$A,INT((ROW()-1)/7)*57+MOD(ROW()-1,7)+50)&lt;&gt;"","set "&amp;INDEX(CUEs!$A:$A,INT((ROW()-1)/7)*57+MOD(ROW()-1,7)+50)&amp;"=/ s "&amp;INDEX(CUEs!$B:$B,INT((ROW()-1)/7)*57+MOD(ROW()-1,7)+50),"")</f>
        <v/>
      </c>
    </row>
    <row r="964" spans="1:1" x14ac:dyDescent="0.25">
      <c r="A964" t="str" cm="1">
        <f t="array" ref="A964">IF(INDEX(CUEs!$A:$A,INT((ROW()-1)/7)*57+MOD(ROW()-1,7)+50)&lt;&gt;"","set "&amp;INDEX(CUEs!$A:$A,INT((ROW()-1)/7)*57+MOD(ROW()-1,7)+50)&amp;"=/ s "&amp;INDEX(CUEs!$B:$B,INT((ROW()-1)/7)*57+MOD(ROW()-1,7)+50),"")</f>
        <v/>
      </c>
    </row>
    <row r="965" spans="1:1" x14ac:dyDescent="0.25">
      <c r="A965" t="str" cm="1">
        <f t="array" ref="A965">IF(INDEX(CUEs!$A:$A,INT((ROW()-1)/7)*57+MOD(ROW()-1,7)+50)&lt;&gt;"","set "&amp;INDEX(CUEs!$A:$A,INT((ROW()-1)/7)*57+MOD(ROW()-1,7)+50)&amp;"=/ s "&amp;INDEX(CUEs!$B:$B,INT((ROW()-1)/7)*57+MOD(ROW()-1,7)+50),"")</f>
        <v/>
      </c>
    </row>
    <row r="966" spans="1:1" x14ac:dyDescent="0.25">
      <c r="A966" t="str" cm="1">
        <f t="array" ref="A966">IF(INDEX(CUEs!$A:$A,INT((ROW()-1)/7)*57+MOD(ROW()-1,7)+50)&lt;&gt;"","set "&amp;INDEX(CUEs!$A:$A,INT((ROW()-1)/7)*57+MOD(ROW()-1,7)+50)&amp;"=/ s "&amp;INDEX(CUEs!$B:$B,INT((ROW()-1)/7)*57+MOD(ROW()-1,7)+50),"")</f>
        <v/>
      </c>
    </row>
    <row r="967" spans="1:1" x14ac:dyDescent="0.25">
      <c r="A967" t="str" cm="1">
        <f t="array" ref="A967">IF(INDEX(CUEs!$A:$A,INT((ROW()-1)/7)*57+MOD(ROW()-1,7)+50)&lt;&gt;"","set "&amp;INDEX(CUEs!$A:$A,INT((ROW()-1)/7)*57+MOD(ROW()-1,7)+50)&amp;"=/ s "&amp;INDEX(CUEs!$B:$B,INT((ROW()-1)/7)*57+MOD(ROW()-1,7)+50),"")</f>
        <v/>
      </c>
    </row>
    <row r="968" spans="1:1" x14ac:dyDescent="0.25">
      <c r="A968" t="str" cm="1">
        <f t="array" ref="A968">IF(INDEX(CUEs!$A:$A,INT((ROW()-1)/7)*57+MOD(ROW()-1,7)+50)&lt;&gt;"","set "&amp;INDEX(CUEs!$A:$A,INT((ROW()-1)/7)*57+MOD(ROW()-1,7)+50)&amp;"=/ s "&amp;INDEX(CUEs!$B:$B,INT((ROW()-1)/7)*57+MOD(ROW()-1,7)+50),"")</f>
        <v/>
      </c>
    </row>
    <row r="969" spans="1:1" x14ac:dyDescent="0.25">
      <c r="A969" t="str" cm="1">
        <f t="array" ref="A969">IF(INDEX(CUEs!$A:$A,INT((ROW()-1)/7)*57+MOD(ROW()-1,7)+50)&lt;&gt;"","set "&amp;INDEX(CUEs!$A:$A,INT((ROW()-1)/7)*57+MOD(ROW()-1,7)+50)&amp;"=/ s "&amp;INDEX(CUEs!$B:$B,INT((ROW()-1)/7)*57+MOD(ROW()-1,7)+50),"")</f>
        <v/>
      </c>
    </row>
    <row r="970" spans="1:1" x14ac:dyDescent="0.25">
      <c r="A970" t="str" cm="1">
        <f t="array" ref="A970">IF(INDEX(CUEs!$A:$A,INT((ROW()-1)/7)*57+MOD(ROW()-1,7)+50)&lt;&gt;"","set "&amp;INDEX(CUEs!$A:$A,INT((ROW()-1)/7)*57+MOD(ROW()-1,7)+50)&amp;"=/ s "&amp;INDEX(CUEs!$B:$B,INT((ROW()-1)/7)*57+MOD(ROW()-1,7)+50),"")</f>
        <v/>
      </c>
    </row>
    <row r="971" spans="1:1" x14ac:dyDescent="0.25">
      <c r="A971" t="str" cm="1">
        <f t="array" ref="A971">IF(INDEX(CUEs!$A:$A,INT((ROW()-1)/7)*57+MOD(ROW()-1,7)+50)&lt;&gt;"","set "&amp;INDEX(CUEs!$A:$A,INT((ROW()-1)/7)*57+MOD(ROW()-1,7)+50)&amp;"=/ s "&amp;INDEX(CUEs!$B:$B,INT((ROW()-1)/7)*57+MOD(ROW()-1,7)+50),"")</f>
        <v/>
      </c>
    </row>
    <row r="972" spans="1:1" x14ac:dyDescent="0.25">
      <c r="A972" t="str" cm="1">
        <f t="array" ref="A972">IF(INDEX(CUEs!$A:$A,INT((ROW()-1)/7)*57+MOD(ROW()-1,7)+50)&lt;&gt;"","set "&amp;INDEX(CUEs!$A:$A,INT((ROW()-1)/7)*57+MOD(ROW()-1,7)+50)&amp;"=/ s "&amp;INDEX(CUEs!$B:$B,INT((ROW()-1)/7)*57+MOD(ROW()-1,7)+50),"")</f>
        <v/>
      </c>
    </row>
    <row r="973" spans="1:1" x14ac:dyDescent="0.25">
      <c r="A973" t="str" cm="1">
        <f t="array" ref="A973">IF(INDEX(CUEs!$A:$A,INT((ROW()-1)/7)*57+MOD(ROW()-1,7)+50)&lt;&gt;"","set "&amp;INDEX(CUEs!$A:$A,INT((ROW()-1)/7)*57+MOD(ROW()-1,7)+50)&amp;"=/ s "&amp;INDEX(CUEs!$B:$B,INT((ROW()-1)/7)*57+MOD(ROW()-1,7)+50),"")</f>
        <v/>
      </c>
    </row>
    <row r="974" spans="1:1" x14ac:dyDescent="0.25">
      <c r="A974" t="str" cm="1">
        <f t="array" ref="A974">IF(INDEX(CUEs!$A:$A,INT((ROW()-1)/7)*57+MOD(ROW()-1,7)+50)&lt;&gt;"","set "&amp;INDEX(CUEs!$A:$A,INT((ROW()-1)/7)*57+MOD(ROW()-1,7)+50)&amp;"=/ s "&amp;INDEX(CUEs!$B:$B,INT((ROW()-1)/7)*57+MOD(ROW()-1,7)+50),"")</f>
        <v/>
      </c>
    </row>
    <row r="975" spans="1:1" x14ac:dyDescent="0.25">
      <c r="A975" t="str" cm="1">
        <f t="array" ref="A975">IF(INDEX(CUEs!$A:$A,INT((ROW()-1)/7)*57+MOD(ROW()-1,7)+50)&lt;&gt;"","set "&amp;INDEX(CUEs!$A:$A,INT((ROW()-1)/7)*57+MOD(ROW()-1,7)+50)&amp;"=/ s "&amp;INDEX(CUEs!$B:$B,INT((ROW()-1)/7)*57+MOD(ROW()-1,7)+50),"")</f>
        <v/>
      </c>
    </row>
    <row r="976" spans="1:1" x14ac:dyDescent="0.25">
      <c r="A976" t="str" cm="1">
        <f t="array" ref="A976">IF(INDEX(CUEs!$A:$A,INT((ROW()-1)/7)*57+MOD(ROW()-1,7)+50)&lt;&gt;"","set "&amp;INDEX(CUEs!$A:$A,INT((ROW()-1)/7)*57+MOD(ROW()-1,7)+50)&amp;"=/ s "&amp;INDEX(CUEs!$B:$B,INT((ROW()-1)/7)*57+MOD(ROW()-1,7)+50),"")</f>
        <v/>
      </c>
    </row>
    <row r="977" spans="1:1" x14ac:dyDescent="0.25">
      <c r="A977" t="str" cm="1">
        <f t="array" ref="A977">IF(INDEX(CUEs!$A:$A,INT((ROW()-1)/7)*57+MOD(ROW()-1,7)+50)&lt;&gt;"","set "&amp;INDEX(CUEs!$A:$A,INT((ROW()-1)/7)*57+MOD(ROW()-1,7)+50)&amp;"=/ s "&amp;INDEX(CUEs!$B:$B,INT((ROW()-1)/7)*57+MOD(ROW()-1,7)+50),"")</f>
        <v/>
      </c>
    </row>
    <row r="978" spans="1:1" x14ac:dyDescent="0.25">
      <c r="A978" t="str" cm="1">
        <f t="array" ref="A978">IF(INDEX(CUEs!$A:$A,INT((ROW()-1)/7)*57+MOD(ROW()-1,7)+50)&lt;&gt;"","set "&amp;INDEX(CUEs!$A:$A,INT((ROW()-1)/7)*57+MOD(ROW()-1,7)+50)&amp;"=/ s "&amp;INDEX(CUEs!$B:$B,INT((ROW()-1)/7)*57+MOD(ROW()-1,7)+50),"")</f>
        <v/>
      </c>
    </row>
    <row r="979" spans="1:1" x14ac:dyDescent="0.25">
      <c r="A979" t="str" cm="1">
        <f t="array" ref="A979">IF(INDEX(CUEs!$A:$A,INT((ROW()-1)/7)*57+MOD(ROW()-1,7)+50)&lt;&gt;"","set "&amp;INDEX(CUEs!$A:$A,INT((ROW()-1)/7)*57+MOD(ROW()-1,7)+50)&amp;"=/ s "&amp;INDEX(CUEs!$B:$B,INT((ROW()-1)/7)*57+MOD(ROW()-1,7)+50),"")</f>
        <v/>
      </c>
    </row>
    <row r="980" spans="1:1" x14ac:dyDescent="0.25">
      <c r="A980" t="str" cm="1">
        <f t="array" ref="A980">IF(INDEX(CUEs!$A:$A,INT((ROW()-1)/7)*57+MOD(ROW()-1,7)+50)&lt;&gt;"","set "&amp;INDEX(CUEs!$A:$A,INT((ROW()-1)/7)*57+MOD(ROW()-1,7)+50)&amp;"=/ s "&amp;INDEX(CUEs!$B:$B,INT((ROW()-1)/7)*57+MOD(ROW()-1,7)+50),"")</f>
        <v/>
      </c>
    </row>
    <row r="981" spans="1:1" x14ac:dyDescent="0.25">
      <c r="A981" t="str" cm="1">
        <f t="array" ref="A981">IF(INDEX(CUEs!$A:$A,INT((ROW()-1)/7)*57+MOD(ROW()-1,7)+50)&lt;&gt;"","set "&amp;INDEX(CUEs!$A:$A,INT((ROW()-1)/7)*57+MOD(ROW()-1,7)+50)&amp;"=/ s "&amp;INDEX(CUEs!$B:$B,INT((ROW()-1)/7)*57+MOD(ROW()-1,7)+50),"")</f>
        <v/>
      </c>
    </row>
    <row r="982" spans="1:1" x14ac:dyDescent="0.25">
      <c r="A982" t="str" cm="1">
        <f t="array" ref="A982">IF(INDEX(CUEs!$A:$A,INT((ROW()-1)/7)*57+MOD(ROW()-1,7)+50)&lt;&gt;"","set "&amp;INDEX(CUEs!$A:$A,INT((ROW()-1)/7)*57+MOD(ROW()-1,7)+50)&amp;"=/ s "&amp;INDEX(CUEs!$B:$B,INT((ROW()-1)/7)*57+MOD(ROW()-1,7)+50),"")</f>
        <v/>
      </c>
    </row>
    <row r="983" spans="1:1" x14ac:dyDescent="0.25">
      <c r="A983" t="str" cm="1">
        <f t="array" ref="A983">IF(INDEX(CUEs!$A:$A,INT((ROW()-1)/7)*57+MOD(ROW()-1,7)+50)&lt;&gt;"","set "&amp;INDEX(CUEs!$A:$A,INT((ROW()-1)/7)*57+MOD(ROW()-1,7)+50)&amp;"=/ s "&amp;INDEX(CUEs!$B:$B,INT((ROW()-1)/7)*57+MOD(ROW()-1,7)+50),"")</f>
        <v/>
      </c>
    </row>
    <row r="984" spans="1:1" x14ac:dyDescent="0.25">
      <c r="A984" t="str" cm="1">
        <f t="array" ref="A984">IF(INDEX(CUEs!$A:$A,INT((ROW()-1)/7)*57+MOD(ROW()-1,7)+50)&lt;&gt;"","set "&amp;INDEX(CUEs!$A:$A,INT((ROW()-1)/7)*57+MOD(ROW()-1,7)+50)&amp;"=/ s "&amp;INDEX(CUEs!$B:$B,INT((ROW()-1)/7)*57+MOD(ROW()-1,7)+50),"")</f>
        <v/>
      </c>
    </row>
    <row r="985" spans="1:1" x14ac:dyDescent="0.25">
      <c r="A985" t="str" cm="1">
        <f t="array" ref="A985">IF(INDEX(CUEs!$A:$A,INT((ROW()-1)/7)*57+MOD(ROW()-1,7)+50)&lt;&gt;"","set "&amp;INDEX(CUEs!$A:$A,INT((ROW()-1)/7)*57+MOD(ROW()-1,7)+50)&amp;"=/ s "&amp;INDEX(CUEs!$B:$B,INT((ROW()-1)/7)*57+MOD(ROW()-1,7)+50),"")</f>
        <v/>
      </c>
    </row>
    <row r="986" spans="1:1" x14ac:dyDescent="0.25">
      <c r="A986" t="str" cm="1">
        <f t="array" ref="A986">IF(INDEX(CUEs!$A:$A,INT((ROW()-1)/7)*57+MOD(ROW()-1,7)+50)&lt;&gt;"","set "&amp;INDEX(CUEs!$A:$A,INT((ROW()-1)/7)*57+MOD(ROW()-1,7)+50)&amp;"=/ s "&amp;INDEX(CUEs!$B:$B,INT((ROW()-1)/7)*57+MOD(ROW()-1,7)+50),"")</f>
        <v/>
      </c>
    </row>
    <row r="987" spans="1:1" x14ac:dyDescent="0.25">
      <c r="A987" t="str" cm="1">
        <f t="array" ref="A987">IF(INDEX(CUEs!$A:$A,INT((ROW()-1)/7)*57+MOD(ROW()-1,7)+50)&lt;&gt;"","set "&amp;INDEX(CUEs!$A:$A,INT((ROW()-1)/7)*57+MOD(ROW()-1,7)+50)&amp;"=/ s "&amp;INDEX(CUEs!$B:$B,INT((ROW()-1)/7)*57+MOD(ROW()-1,7)+50),"")</f>
        <v/>
      </c>
    </row>
    <row r="988" spans="1:1" x14ac:dyDescent="0.25">
      <c r="A988" t="str" cm="1">
        <f t="array" ref="A988">IF(INDEX(CUEs!$A:$A,INT((ROW()-1)/7)*57+MOD(ROW()-1,7)+50)&lt;&gt;"","set "&amp;INDEX(CUEs!$A:$A,INT((ROW()-1)/7)*57+MOD(ROW()-1,7)+50)&amp;"=/ s "&amp;INDEX(CUEs!$B:$B,INT((ROW()-1)/7)*57+MOD(ROW()-1,7)+50),"")</f>
        <v/>
      </c>
    </row>
    <row r="989" spans="1:1" x14ac:dyDescent="0.25">
      <c r="A989" t="str" cm="1">
        <f t="array" ref="A989">IF(INDEX(CUEs!$A:$A,INT((ROW()-1)/7)*57+MOD(ROW()-1,7)+50)&lt;&gt;"","set "&amp;INDEX(CUEs!$A:$A,INT((ROW()-1)/7)*57+MOD(ROW()-1,7)+50)&amp;"=/ s "&amp;INDEX(CUEs!$B:$B,INT((ROW()-1)/7)*57+MOD(ROW()-1,7)+50),"")</f>
        <v/>
      </c>
    </row>
    <row r="990" spans="1:1" x14ac:dyDescent="0.25">
      <c r="A990" t="str" cm="1">
        <f t="array" ref="A990">IF(INDEX(CUEs!$A:$A,INT((ROW()-1)/7)*57+MOD(ROW()-1,7)+50)&lt;&gt;"","set "&amp;INDEX(CUEs!$A:$A,INT((ROW()-1)/7)*57+MOD(ROW()-1,7)+50)&amp;"=/ s "&amp;INDEX(CUEs!$B:$B,INT((ROW()-1)/7)*57+MOD(ROW()-1,7)+50),"")</f>
        <v/>
      </c>
    </row>
    <row r="991" spans="1:1" x14ac:dyDescent="0.25">
      <c r="A991" t="str" cm="1">
        <f t="array" ref="A991">IF(INDEX(CUEs!$A:$A,INT((ROW()-1)/7)*57+MOD(ROW()-1,7)+50)&lt;&gt;"","set "&amp;INDEX(CUEs!$A:$A,INT((ROW()-1)/7)*57+MOD(ROW()-1,7)+50)&amp;"=/ s "&amp;INDEX(CUEs!$B:$B,INT((ROW()-1)/7)*57+MOD(ROW()-1,7)+50),"")</f>
        <v/>
      </c>
    </row>
    <row r="992" spans="1:1" x14ac:dyDescent="0.25">
      <c r="A992" t="str" cm="1">
        <f t="array" ref="A992">IF(INDEX(CUEs!$A:$A,INT((ROW()-1)/7)*57+MOD(ROW()-1,7)+50)&lt;&gt;"","set "&amp;INDEX(CUEs!$A:$A,INT((ROW()-1)/7)*57+MOD(ROW()-1,7)+50)&amp;"=/ s "&amp;INDEX(CUEs!$B:$B,INT((ROW()-1)/7)*57+MOD(ROW()-1,7)+50),"")</f>
        <v/>
      </c>
    </row>
    <row r="993" spans="1:1" x14ac:dyDescent="0.25">
      <c r="A993" t="str" cm="1">
        <f t="array" ref="A993">IF(INDEX(CUEs!$A:$A,INT((ROW()-1)/7)*57+MOD(ROW()-1,7)+50)&lt;&gt;"","set "&amp;INDEX(CUEs!$A:$A,INT((ROW()-1)/7)*57+MOD(ROW()-1,7)+50)&amp;"=/ s "&amp;INDEX(CUEs!$B:$B,INT((ROW()-1)/7)*57+MOD(ROW()-1,7)+50),"")</f>
        <v/>
      </c>
    </row>
    <row r="994" spans="1:1" x14ac:dyDescent="0.25">
      <c r="A994" t="str" cm="1">
        <f t="array" ref="A994">IF(INDEX(CUEs!$A:$A,INT((ROW()-1)/7)*57+MOD(ROW()-1,7)+50)&lt;&gt;"","set "&amp;INDEX(CUEs!$A:$A,INT((ROW()-1)/7)*57+MOD(ROW()-1,7)+50)&amp;"=/ s "&amp;INDEX(CUEs!$B:$B,INT((ROW()-1)/7)*57+MOD(ROW()-1,7)+50),"")</f>
        <v/>
      </c>
    </row>
    <row r="995" spans="1:1" x14ac:dyDescent="0.25">
      <c r="A995" t="str" cm="1">
        <f t="array" ref="A995">IF(INDEX(CUEs!$A:$A,INT((ROW()-1)/7)*57+MOD(ROW()-1,7)+50)&lt;&gt;"","set "&amp;INDEX(CUEs!$A:$A,INT((ROW()-1)/7)*57+MOD(ROW()-1,7)+50)&amp;"=/ s "&amp;INDEX(CUEs!$B:$B,INT((ROW()-1)/7)*57+MOD(ROW()-1,7)+50),"")</f>
        <v/>
      </c>
    </row>
    <row r="996" spans="1:1" x14ac:dyDescent="0.25">
      <c r="A996" t="str" cm="1">
        <f t="array" ref="A996">IF(INDEX(CUEs!$A:$A,INT((ROW()-1)/7)*57+MOD(ROW()-1,7)+50)&lt;&gt;"","set "&amp;INDEX(CUEs!$A:$A,INT((ROW()-1)/7)*57+MOD(ROW()-1,7)+50)&amp;"=/ s "&amp;INDEX(CUEs!$B:$B,INT((ROW()-1)/7)*57+MOD(ROW()-1,7)+50),"")</f>
        <v/>
      </c>
    </row>
    <row r="997" spans="1:1" x14ac:dyDescent="0.25">
      <c r="A997" t="str" cm="1">
        <f t="array" ref="A997">IF(INDEX(CUEs!$A:$A,INT((ROW()-1)/7)*57+MOD(ROW()-1,7)+50)&lt;&gt;"","set "&amp;INDEX(CUEs!$A:$A,INT((ROW()-1)/7)*57+MOD(ROW()-1,7)+50)&amp;"=/ s "&amp;INDEX(CUEs!$B:$B,INT((ROW()-1)/7)*57+MOD(ROW()-1,7)+50),"")</f>
        <v/>
      </c>
    </row>
    <row r="998" spans="1:1" x14ac:dyDescent="0.25">
      <c r="A998" t="str" cm="1">
        <f t="array" ref="A998">IF(INDEX(CUEs!$A:$A,INT((ROW()-1)/7)*57+MOD(ROW()-1,7)+50)&lt;&gt;"","set "&amp;INDEX(CUEs!$A:$A,INT((ROW()-1)/7)*57+MOD(ROW()-1,7)+50)&amp;"=/ s "&amp;INDEX(CUEs!$B:$B,INT((ROW()-1)/7)*57+MOD(ROW()-1,7)+50),"")</f>
        <v/>
      </c>
    </row>
    <row r="999" spans="1:1" x14ac:dyDescent="0.25">
      <c r="A999" t="str" cm="1">
        <f t="array" ref="A999">IF(INDEX(CUEs!$A:$A,INT((ROW()-1)/7)*57+MOD(ROW()-1,7)+50)&lt;&gt;"","set "&amp;INDEX(CUEs!$A:$A,INT((ROW()-1)/7)*57+MOD(ROW()-1,7)+50)&amp;"=/ s "&amp;INDEX(CUEs!$B:$B,INT((ROW()-1)/7)*57+MOD(ROW()-1,7)+50),"")</f>
        <v/>
      </c>
    </row>
    <row r="1000" spans="1:1" x14ac:dyDescent="0.25">
      <c r="A1000" t="str" cm="1">
        <f t="array" ref="A1000">IF(INDEX(CUEs!$A:$A,INT((ROW()-1)/7)*57+MOD(ROW()-1,7)+50)&lt;&gt;"","set "&amp;INDEX(CUEs!$A:$A,INT((ROW()-1)/7)*57+MOD(ROW()-1,7)+50)&amp;"=/ s "&amp;INDEX(CUEs!$B:$B,INT((ROW()-1)/7)*57+MOD(ROW()-1,7)+50),"")</f>
        <v/>
      </c>
    </row>
    <row r="1001" spans="1:1" x14ac:dyDescent="0.25">
      <c r="A1001" t="str" cm="1">
        <f t="array" ref="A1001">IF(INDEX(CUEs!$A:$A,INT((ROW()-1)/7)*57+MOD(ROW()-1,7)+50)&lt;&gt;"","set "&amp;INDEX(CUEs!$A:$A,INT((ROW()-1)/7)*57+MOD(ROW()-1,7)+50)&amp;"=/ s "&amp;INDEX(CUEs!$B:$B,INT((ROW()-1)/7)*57+MOD(ROW()-1,7)+50),"")</f>
        <v/>
      </c>
    </row>
    <row r="1002" spans="1:1" x14ac:dyDescent="0.25">
      <c r="A1002" t="str" cm="1">
        <f t="array" ref="A1002">IF(INDEX(CUEs!$A:$A,INT((ROW()-1)/7)*57+MOD(ROW()-1,7)+50)&lt;&gt;"","set "&amp;INDEX(CUEs!$A:$A,INT((ROW()-1)/7)*57+MOD(ROW()-1,7)+50)&amp;"=/ s "&amp;INDEX(CUEs!$B:$B,INT((ROW()-1)/7)*57+MOD(ROW()-1,7)+50),"")</f>
        <v/>
      </c>
    </row>
    <row r="1003" spans="1:1" x14ac:dyDescent="0.25">
      <c r="A1003" t="str" cm="1">
        <f t="array" ref="A1003">IF(INDEX(CUEs!$A:$A,INT((ROW()-1)/7)*57+MOD(ROW()-1,7)+50)&lt;&gt;"","set "&amp;INDEX(CUEs!$A:$A,INT((ROW()-1)/7)*57+MOD(ROW()-1,7)+50)&amp;"=/ s "&amp;INDEX(CUEs!$B:$B,INT((ROW()-1)/7)*57+MOD(ROW()-1,7)+50),"")</f>
        <v/>
      </c>
    </row>
    <row r="1004" spans="1:1" x14ac:dyDescent="0.25">
      <c r="A1004" t="str" cm="1">
        <f t="array" ref="A1004">IF(INDEX(CUEs!$A:$A,INT((ROW()-1)/7)*57+MOD(ROW()-1,7)+50)&lt;&gt;"","set "&amp;INDEX(CUEs!$A:$A,INT((ROW()-1)/7)*57+MOD(ROW()-1,7)+50)&amp;"=/ s "&amp;INDEX(CUEs!$B:$B,INT((ROW()-1)/7)*57+MOD(ROW()-1,7)+50),"")</f>
        <v/>
      </c>
    </row>
    <row r="1005" spans="1:1" x14ac:dyDescent="0.25">
      <c r="A1005" t="str" cm="1">
        <f t="array" ref="A1005">IF(INDEX(CUEs!$A:$A,INT((ROW()-1)/7)*57+MOD(ROW()-1,7)+50)&lt;&gt;"","set "&amp;INDEX(CUEs!$A:$A,INT((ROW()-1)/7)*57+MOD(ROW()-1,7)+50)&amp;"=/ s "&amp;INDEX(CUEs!$B:$B,INT((ROW()-1)/7)*57+MOD(ROW()-1,7)+50),"")</f>
        <v/>
      </c>
    </row>
    <row r="1006" spans="1:1" x14ac:dyDescent="0.25">
      <c r="A1006" t="str" cm="1">
        <f t="array" ref="A1006">IF(INDEX(CUEs!$A:$A,INT((ROW()-1)/7)*57+MOD(ROW()-1,7)+50)&lt;&gt;"","set "&amp;INDEX(CUEs!$A:$A,INT((ROW()-1)/7)*57+MOD(ROW()-1,7)+50)&amp;"=/ s "&amp;INDEX(CUEs!$B:$B,INT((ROW()-1)/7)*57+MOD(ROW()-1,7)+50),"")</f>
        <v/>
      </c>
    </row>
    <row r="1007" spans="1:1" x14ac:dyDescent="0.25">
      <c r="A1007" t="str" cm="1">
        <f t="array" ref="A1007">IF(INDEX(CUEs!$A:$A,INT((ROW()-1)/7)*57+MOD(ROW()-1,7)+50)&lt;&gt;"","set "&amp;INDEX(CUEs!$A:$A,INT((ROW()-1)/7)*57+MOD(ROW()-1,7)+50)&amp;"=/ s "&amp;INDEX(CUEs!$B:$B,INT((ROW()-1)/7)*57+MOD(ROW()-1,7)+50),"")</f>
        <v/>
      </c>
    </row>
    <row r="1008" spans="1:1" x14ac:dyDescent="0.25">
      <c r="A1008" t="str" cm="1">
        <f t="array" ref="A1008">IF(INDEX(CUEs!$A:$A,INT((ROW()-1)/7)*57+MOD(ROW()-1,7)+50)&lt;&gt;"","set "&amp;INDEX(CUEs!$A:$A,INT((ROW()-1)/7)*57+MOD(ROW()-1,7)+50)&amp;"=/ s "&amp;INDEX(CUEs!$B:$B,INT((ROW()-1)/7)*57+MOD(ROW()-1,7)+50),"")</f>
        <v/>
      </c>
    </row>
    <row r="1009" spans="1:1" x14ac:dyDescent="0.25">
      <c r="A1009" t="str" cm="1">
        <f t="array" ref="A1009">IF(INDEX(CUEs!$A:$A,INT((ROW()-1)/7)*57+MOD(ROW()-1,7)+50)&lt;&gt;"","set "&amp;INDEX(CUEs!$A:$A,INT((ROW()-1)/7)*57+MOD(ROW()-1,7)+50)&amp;"=/ s "&amp;INDEX(CUEs!$B:$B,INT((ROW()-1)/7)*57+MOD(ROW()-1,7)+50),"")</f>
        <v/>
      </c>
    </row>
    <row r="1010" spans="1:1" x14ac:dyDescent="0.25">
      <c r="A1010" t="str" cm="1">
        <f t="array" ref="A1010">IF(INDEX(CUEs!$A:$A,INT((ROW()-1)/7)*57+MOD(ROW()-1,7)+50)&lt;&gt;"","set "&amp;INDEX(CUEs!$A:$A,INT((ROW()-1)/7)*57+MOD(ROW()-1,7)+50)&amp;"=/ s "&amp;INDEX(CUEs!$B:$B,INT((ROW()-1)/7)*57+MOD(ROW()-1,7)+50),"")</f>
        <v/>
      </c>
    </row>
    <row r="1011" spans="1:1" x14ac:dyDescent="0.25">
      <c r="A1011" t="str" cm="1">
        <f t="array" ref="A1011">IF(INDEX(CUEs!$A:$A,INT((ROW()-1)/7)*57+MOD(ROW()-1,7)+50)&lt;&gt;"","set "&amp;INDEX(CUEs!$A:$A,INT((ROW()-1)/7)*57+MOD(ROW()-1,7)+50)&amp;"=/ s "&amp;INDEX(CUEs!$B:$B,INT((ROW()-1)/7)*57+MOD(ROW()-1,7)+50),"")</f>
        <v/>
      </c>
    </row>
    <row r="1012" spans="1:1" x14ac:dyDescent="0.25">
      <c r="A1012" t="str" cm="1">
        <f t="array" ref="A1012">IF(INDEX(CUEs!$A:$A,INT((ROW()-1)/7)*57+MOD(ROW()-1,7)+50)&lt;&gt;"","set "&amp;INDEX(CUEs!$A:$A,INT((ROW()-1)/7)*57+MOD(ROW()-1,7)+50)&amp;"=/ s "&amp;INDEX(CUEs!$B:$B,INT((ROW()-1)/7)*57+MOD(ROW()-1,7)+50),"")</f>
        <v/>
      </c>
    </row>
    <row r="1013" spans="1:1" x14ac:dyDescent="0.25">
      <c r="A1013" t="str" cm="1">
        <f t="array" ref="A1013">IF(INDEX(CUEs!$A:$A,INT((ROW()-1)/7)*57+MOD(ROW()-1,7)+50)&lt;&gt;"","set "&amp;INDEX(CUEs!$A:$A,INT((ROW()-1)/7)*57+MOD(ROW()-1,7)+50)&amp;"=/ s "&amp;INDEX(CUEs!$B:$B,INT((ROW()-1)/7)*57+MOD(ROW()-1,7)+50),"")</f>
        <v/>
      </c>
    </row>
    <row r="1014" spans="1:1" x14ac:dyDescent="0.25">
      <c r="A1014" t="str" cm="1">
        <f t="array" ref="A1014">IF(INDEX(CUEs!$A:$A,INT((ROW()-1)/7)*57+MOD(ROW()-1,7)+50)&lt;&gt;"","set "&amp;INDEX(CUEs!$A:$A,INT((ROW()-1)/7)*57+MOD(ROW()-1,7)+50)&amp;"=/ s "&amp;INDEX(CUEs!$B:$B,INT((ROW()-1)/7)*57+MOD(ROW()-1,7)+50),"")</f>
        <v/>
      </c>
    </row>
    <row r="1015" spans="1:1" x14ac:dyDescent="0.25">
      <c r="A1015" t="str" cm="1">
        <f t="array" ref="A1015">IF(INDEX(CUEs!$A:$A,INT((ROW()-1)/7)*57+MOD(ROW()-1,7)+50)&lt;&gt;"","set "&amp;INDEX(CUEs!$A:$A,INT((ROW()-1)/7)*57+MOD(ROW()-1,7)+50)&amp;"=/ s "&amp;INDEX(CUEs!$B:$B,INT((ROW()-1)/7)*57+MOD(ROW()-1,7)+50),"")</f>
        <v/>
      </c>
    </row>
    <row r="1016" spans="1:1" x14ac:dyDescent="0.25">
      <c r="A1016" t="str" cm="1">
        <f t="array" ref="A1016">IF(INDEX(CUEs!$A:$A,INT((ROW()-1)/7)*57+MOD(ROW()-1,7)+50)&lt;&gt;"","set "&amp;INDEX(CUEs!$A:$A,INT((ROW()-1)/7)*57+MOD(ROW()-1,7)+50)&amp;"=/ s "&amp;INDEX(CUEs!$B:$B,INT((ROW()-1)/7)*57+MOD(ROW()-1,7)+50),"")</f>
        <v/>
      </c>
    </row>
    <row r="1017" spans="1:1" x14ac:dyDescent="0.25">
      <c r="A1017" t="str" cm="1">
        <f t="array" ref="A1017">IF(INDEX(CUEs!$A:$A,INT((ROW()-1)/7)*57+MOD(ROW()-1,7)+50)&lt;&gt;"","set "&amp;INDEX(CUEs!$A:$A,INT((ROW()-1)/7)*57+MOD(ROW()-1,7)+50)&amp;"=/ s "&amp;INDEX(CUEs!$B:$B,INT((ROW()-1)/7)*57+MOD(ROW()-1,7)+50),"")</f>
        <v/>
      </c>
    </row>
    <row r="1018" spans="1:1" x14ac:dyDescent="0.25">
      <c r="A1018" t="str" cm="1">
        <f t="array" ref="A1018">IF(INDEX(CUEs!$A:$A,INT((ROW()-1)/7)*57+MOD(ROW()-1,7)+50)&lt;&gt;"","set "&amp;INDEX(CUEs!$A:$A,INT((ROW()-1)/7)*57+MOD(ROW()-1,7)+50)&amp;"=/ s "&amp;INDEX(CUEs!$B:$B,INT((ROW()-1)/7)*57+MOD(ROW()-1,7)+50),"")</f>
        <v/>
      </c>
    </row>
    <row r="1019" spans="1:1" x14ac:dyDescent="0.25">
      <c r="A1019" t="str" cm="1">
        <f t="array" ref="A1019">IF(INDEX(CUEs!$A:$A,INT((ROW()-1)/7)*57+MOD(ROW()-1,7)+50)&lt;&gt;"","set "&amp;INDEX(CUEs!$A:$A,INT((ROW()-1)/7)*57+MOD(ROW()-1,7)+50)&amp;"=/ s "&amp;INDEX(CUEs!$B:$B,INT((ROW()-1)/7)*57+MOD(ROW()-1,7)+50),"")</f>
        <v/>
      </c>
    </row>
    <row r="1020" spans="1:1" x14ac:dyDescent="0.25">
      <c r="A1020" t="str" cm="1">
        <f t="array" ref="A1020">IF(INDEX(CUEs!$A:$A,INT((ROW()-1)/7)*57+MOD(ROW()-1,7)+50)&lt;&gt;"","set "&amp;INDEX(CUEs!$A:$A,INT((ROW()-1)/7)*57+MOD(ROW()-1,7)+50)&amp;"=/ s "&amp;INDEX(CUEs!$B:$B,INT((ROW()-1)/7)*57+MOD(ROW()-1,7)+50),"")</f>
        <v/>
      </c>
    </row>
    <row r="1021" spans="1:1" x14ac:dyDescent="0.25">
      <c r="A1021" t="str" cm="1">
        <f t="array" ref="A1021">IF(INDEX(CUEs!$A:$A,INT((ROW()-1)/7)*57+MOD(ROW()-1,7)+50)&lt;&gt;"","set "&amp;INDEX(CUEs!$A:$A,INT((ROW()-1)/7)*57+MOD(ROW()-1,7)+50)&amp;"=/ s "&amp;INDEX(CUEs!$B:$B,INT((ROW()-1)/7)*57+MOD(ROW()-1,7)+50),"")</f>
        <v/>
      </c>
    </row>
    <row r="1022" spans="1:1" x14ac:dyDescent="0.25">
      <c r="A1022" t="str" cm="1">
        <f t="array" ref="A1022">IF(INDEX(CUEs!$A:$A,INT((ROW()-1)/7)*57+MOD(ROW()-1,7)+50)&lt;&gt;"","set "&amp;INDEX(CUEs!$A:$A,INT((ROW()-1)/7)*57+MOD(ROW()-1,7)+50)&amp;"=/ s "&amp;INDEX(CUEs!$B:$B,INT((ROW()-1)/7)*57+MOD(ROW()-1,7)+50),"")</f>
        <v/>
      </c>
    </row>
    <row r="1023" spans="1:1" x14ac:dyDescent="0.25">
      <c r="A1023" t="str" cm="1">
        <f t="array" ref="A1023">IF(INDEX(CUEs!$A:$A,INT((ROW()-1)/7)*57+MOD(ROW()-1,7)+50)&lt;&gt;"","set "&amp;INDEX(CUEs!$A:$A,INT((ROW()-1)/7)*57+MOD(ROW()-1,7)+50)&amp;"=/ s "&amp;INDEX(CUEs!$B:$B,INT((ROW()-1)/7)*57+MOD(ROW()-1,7)+50),"")</f>
        <v/>
      </c>
    </row>
    <row r="1024" spans="1:1" x14ac:dyDescent="0.25">
      <c r="A1024" t="str" cm="1">
        <f t="array" ref="A1024">IF(INDEX(CUEs!$A:$A,INT((ROW()-1)/7)*57+MOD(ROW()-1,7)+50)&lt;&gt;"","set "&amp;INDEX(CUEs!$A:$A,INT((ROW()-1)/7)*57+MOD(ROW()-1,7)+50)&amp;"=/ s "&amp;INDEX(CUEs!$B:$B,INT((ROW()-1)/7)*57+MOD(ROW()-1,7)+50),"")</f>
        <v/>
      </c>
    </row>
    <row r="1025" spans="1:1" x14ac:dyDescent="0.25">
      <c r="A1025" t="str" cm="1">
        <f t="array" ref="A1025">IF(INDEX(CUEs!$A:$A,INT((ROW()-1)/7)*57+MOD(ROW()-1,7)+50)&lt;&gt;"","set "&amp;INDEX(CUEs!$A:$A,INT((ROW()-1)/7)*57+MOD(ROW()-1,7)+50)&amp;"=/ s "&amp;INDEX(CUEs!$B:$B,INT((ROW()-1)/7)*57+MOD(ROW()-1,7)+50),"")</f>
        <v/>
      </c>
    </row>
    <row r="1026" spans="1:1" x14ac:dyDescent="0.25">
      <c r="A1026" t="str" cm="1">
        <f t="array" ref="A1026">IF(INDEX(CUEs!$A:$A,INT((ROW()-1)/7)*57+MOD(ROW()-1,7)+50)&lt;&gt;"","set "&amp;INDEX(CUEs!$A:$A,INT((ROW()-1)/7)*57+MOD(ROW()-1,7)+50)&amp;"=/ s "&amp;INDEX(CUEs!$B:$B,INT((ROW()-1)/7)*57+MOD(ROW()-1,7)+50),"")</f>
        <v/>
      </c>
    </row>
    <row r="1027" spans="1:1" x14ac:dyDescent="0.25">
      <c r="A1027" t="str" cm="1">
        <f t="array" ref="A1027">IF(INDEX(CUEs!$A:$A,INT((ROW()-1)/7)*57+MOD(ROW()-1,7)+50)&lt;&gt;"","set "&amp;INDEX(CUEs!$A:$A,INT((ROW()-1)/7)*57+MOD(ROW()-1,7)+50)&amp;"=/ s "&amp;INDEX(CUEs!$B:$B,INT((ROW()-1)/7)*57+MOD(ROW()-1,7)+50),"")</f>
        <v/>
      </c>
    </row>
    <row r="1028" spans="1:1" x14ac:dyDescent="0.25">
      <c r="A1028" t="str" cm="1">
        <f t="array" ref="A1028">IF(INDEX(CUEs!$A:$A,INT((ROW()-1)/7)*57+MOD(ROW()-1,7)+50)&lt;&gt;"","set "&amp;INDEX(CUEs!$A:$A,INT((ROW()-1)/7)*57+MOD(ROW()-1,7)+50)&amp;"=/ s "&amp;INDEX(CUEs!$B:$B,INT((ROW()-1)/7)*57+MOD(ROW()-1,7)+50),"")</f>
        <v/>
      </c>
    </row>
    <row r="1029" spans="1:1" x14ac:dyDescent="0.25">
      <c r="A1029" t="str" cm="1">
        <f t="array" ref="A1029">IF(INDEX(CUEs!$A:$A,INT((ROW()-1)/7)*57+MOD(ROW()-1,7)+50)&lt;&gt;"","set "&amp;INDEX(CUEs!$A:$A,INT((ROW()-1)/7)*57+MOD(ROW()-1,7)+50)&amp;"=/ s "&amp;INDEX(CUEs!$B:$B,INT((ROW()-1)/7)*57+MOD(ROW()-1,7)+50),"")</f>
        <v/>
      </c>
    </row>
    <row r="1030" spans="1:1" x14ac:dyDescent="0.25">
      <c r="A1030" t="str" cm="1">
        <f t="array" ref="A1030">IF(INDEX(CUEs!$A:$A,INT((ROW()-1)/7)*57+MOD(ROW()-1,7)+50)&lt;&gt;"","set "&amp;INDEX(CUEs!$A:$A,INT((ROW()-1)/7)*57+MOD(ROW()-1,7)+50)&amp;"=/ s "&amp;INDEX(CUEs!$B:$B,INT((ROW()-1)/7)*57+MOD(ROW()-1,7)+50),"")</f>
        <v/>
      </c>
    </row>
    <row r="1031" spans="1:1" x14ac:dyDescent="0.25">
      <c r="A1031" t="str" cm="1">
        <f t="array" ref="A1031">IF(INDEX(CUEs!$A:$A,INT((ROW()-1)/7)*57+MOD(ROW()-1,7)+50)&lt;&gt;"","set "&amp;INDEX(CUEs!$A:$A,INT((ROW()-1)/7)*57+MOD(ROW()-1,7)+50)&amp;"=/ s "&amp;INDEX(CUEs!$B:$B,INT((ROW()-1)/7)*57+MOD(ROW()-1,7)+50),"")</f>
        <v/>
      </c>
    </row>
    <row r="1032" spans="1:1" x14ac:dyDescent="0.25">
      <c r="A1032" t="str" cm="1">
        <f t="array" ref="A1032">IF(INDEX(CUEs!$A:$A,INT((ROW()-1)/7)*57+MOD(ROW()-1,7)+50)&lt;&gt;"","set "&amp;INDEX(CUEs!$A:$A,INT((ROW()-1)/7)*57+MOD(ROW()-1,7)+50)&amp;"=/ s "&amp;INDEX(CUEs!$B:$B,INT((ROW()-1)/7)*57+MOD(ROW()-1,7)+50),"")</f>
        <v/>
      </c>
    </row>
    <row r="1033" spans="1:1" x14ac:dyDescent="0.25">
      <c r="A1033" t="str" cm="1">
        <f t="array" ref="A1033">IF(INDEX(CUEs!$A:$A,INT((ROW()-1)/7)*57+MOD(ROW()-1,7)+50)&lt;&gt;"","set "&amp;INDEX(CUEs!$A:$A,INT((ROW()-1)/7)*57+MOD(ROW()-1,7)+50)&amp;"=/ s "&amp;INDEX(CUEs!$B:$B,INT((ROW()-1)/7)*57+MOD(ROW()-1,7)+50),"")</f>
        <v/>
      </c>
    </row>
    <row r="1034" spans="1:1" x14ac:dyDescent="0.25">
      <c r="A1034" t="str" cm="1">
        <f t="array" ref="A1034">IF(INDEX(CUEs!$A:$A,INT((ROW()-1)/7)*57+MOD(ROW()-1,7)+50)&lt;&gt;"","set "&amp;INDEX(CUEs!$A:$A,INT((ROW()-1)/7)*57+MOD(ROW()-1,7)+50)&amp;"=/ s "&amp;INDEX(CUEs!$B:$B,INT((ROW()-1)/7)*57+MOD(ROW()-1,7)+50),"")</f>
        <v/>
      </c>
    </row>
    <row r="1035" spans="1:1" x14ac:dyDescent="0.25">
      <c r="A1035" t="str" cm="1">
        <f t="array" ref="A1035">IF(INDEX(CUEs!$A:$A,INT((ROW()-1)/7)*57+MOD(ROW()-1,7)+50)&lt;&gt;"","set "&amp;INDEX(CUEs!$A:$A,INT((ROW()-1)/7)*57+MOD(ROW()-1,7)+50)&amp;"=/ s "&amp;INDEX(CUEs!$B:$B,INT((ROW()-1)/7)*57+MOD(ROW()-1,7)+50),"")</f>
        <v/>
      </c>
    </row>
    <row r="1036" spans="1:1" x14ac:dyDescent="0.25">
      <c r="A1036" t="str" cm="1">
        <f t="array" ref="A1036">IF(INDEX(CUEs!$A:$A,INT((ROW()-1)/7)*57+MOD(ROW()-1,7)+50)&lt;&gt;"","set "&amp;INDEX(CUEs!$A:$A,INT((ROW()-1)/7)*57+MOD(ROW()-1,7)+50)&amp;"=/ s "&amp;INDEX(CUEs!$B:$B,INT((ROW()-1)/7)*57+MOD(ROW()-1,7)+50),"")</f>
        <v/>
      </c>
    </row>
    <row r="1037" spans="1:1" x14ac:dyDescent="0.25">
      <c r="A1037" t="str" cm="1">
        <f t="array" ref="A1037">IF(INDEX(CUEs!$A:$A,INT((ROW()-1)/7)*57+MOD(ROW()-1,7)+50)&lt;&gt;"","set "&amp;INDEX(CUEs!$A:$A,INT((ROW()-1)/7)*57+MOD(ROW()-1,7)+50)&amp;"=/ s "&amp;INDEX(CUEs!$B:$B,INT((ROW()-1)/7)*57+MOD(ROW()-1,7)+50),"")</f>
        <v/>
      </c>
    </row>
    <row r="1038" spans="1:1" x14ac:dyDescent="0.25">
      <c r="A1038" t="str" cm="1">
        <f t="array" ref="A1038">IF(INDEX(CUEs!$A:$A,INT((ROW()-1)/7)*57+MOD(ROW()-1,7)+50)&lt;&gt;"","set "&amp;INDEX(CUEs!$A:$A,INT((ROW()-1)/7)*57+MOD(ROW()-1,7)+50)&amp;"=/ s "&amp;INDEX(CUEs!$B:$B,INT((ROW()-1)/7)*57+MOD(ROW()-1,7)+50),"")</f>
        <v/>
      </c>
    </row>
    <row r="1039" spans="1:1" x14ac:dyDescent="0.25">
      <c r="A1039" t="str" cm="1">
        <f t="array" ref="A1039">IF(INDEX(CUEs!$A:$A,INT((ROW()-1)/7)*57+MOD(ROW()-1,7)+50)&lt;&gt;"","set "&amp;INDEX(CUEs!$A:$A,INT((ROW()-1)/7)*57+MOD(ROW()-1,7)+50)&amp;"=/ s "&amp;INDEX(CUEs!$B:$B,INT((ROW()-1)/7)*57+MOD(ROW()-1,7)+50),"")</f>
        <v/>
      </c>
    </row>
    <row r="1040" spans="1:1" x14ac:dyDescent="0.25">
      <c r="A1040" t="str" cm="1">
        <f t="array" ref="A1040">IF(INDEX(CUEs!$A:$A,INT((ROW()-1)/7)*57+MOD(ROW()-1,7)+50)&lt;&gt;"","set "&amp;INDEX(CUEs!$A:$A,INT((ROW()-1)/7)*57+MOD(ROW()-1,7)+50)&amp;"=/ s "&amp;INDEX(CUEs!$B:$B,INT((ROW()-1)/7)*57+MOD(ROW()-1,7)+50),"")</f>
        <v/>
      </c>
    </row>
    <row r="1041" spans="1:1" x14ac:dyDescent="0.25">
      <c r="A1041" t="str" cm="1">
        <f t="array" ref="A1041">IF(INDEX(CUEs!$A:$A,INT((ROW()-1)/7)*57+MOD(ROW()-1,7)+50)&lt;&gt;"","set "&amp;INDEX(CUEs!$A:$A,INT((ROW()-1)/7)*57+MOD(ROW()-1,7)+50)&amp;"=/ s "&amp;INDEX(CUEs!$B:$B,INT((ROW()-1)/7)*57+MOD(ROW()-1,7)+50),"")</f>
        <v/>
      </c>
    </row>
    <row r="1042" spans="1:1" x14ac:dyDescent="0.25">
      <c r="A1042" t="str" cm="1">
        <f t="array" ref="A1042">IF(INDEX(CUEs!$A:$A,INT((ROW()-1)/7)*57+MOD(ROW()-1,7)+50)&lt;&gt;"","set "&amp;INDEX(CUEs!$A:$A,INT((ROW()-1)/7)*57+MOD(ROW()-1,7)+50)&amp;"=/ s "&amp;INDEX(CUEs!$B:$B,INT((ROW()-1)/7)*57+MOD(ROW()-1,7)+50),"")</f>
        <v/>
      </c>
    </row>
    <row r="1043" spans="1:1" x14ac:dyDescent="0.25">
      <c r="A1043" t="str" cm="1">
        <f t="array" ref="A1043">IF(INDEX(CUEs!$A:$A,INT((ROW()-1)/7)*57+MOD(ROW()-1,7)+50)&lt;&gt;"","set "&amp;INDEX(CUEs!$A:$A,INT((ROW()-1)/7)*57+MOD(ROW()-1,7)+50)&amp;"=/ s "&amp;INDEX(CUEs!$B:$B,INT((ROW()-1)/7)*57+MOD(ROW()-1,7)+50),"")</f>
        <v/>
      </c>
    </row>
    <row r="1044" spans="1:1" x14ac:dyDescent="0.25">
      <c r="A1044" t="str" cm="1">
        <f t="array" ref="A1044">IF(INDEX(CUEs!$A:$A,INT((ROW()-1)/7)*57+MOD(ROW()-1,7)+50)&lt;&gt;"","set "&amp;INDEX(CUEs!$A:$A,INT((ROW()-1)/7)*57+MOD(ROW()-1,7)+50)&amp;"=/ s "&amp;INDEX(CUEs!$B:$B,INT((ROW()-1)/7)*57+MOD(ROW()-1,7)+50),"")</f>
        <v/>
      </c>
    </row>
    <row r="1045" spans="1:1" x14ac:dyDescent="0.25">
      <c r="A1045" t="str" cm="1">
        <f t="array" ref="A1045">IF(INDEX(CUEs!$A:$A,INT((ROW()-1)/7)*57+MOD(ROW()-1,7)+50)&lt;&gt;"","set "&amp;INDEX(CUEs!$A:$A,INT((ROW()-1)/7)*57+MOD(ROW()-1,7)+50)&amp;"=/ s "&amp;INDEX(CUEs!$B:$B,INT((ROW()-1)/7)*57+MOD(ROW()-1,7)+50),"")</f>
        <v/>
      </c>
    </row>
    <row r="1046" spans="1:1" x14ac:dyDescent="0.25">
      <c r="A1046" t="str" cm="1">
        <f t="array" ref="A1046">IF(INDEX(CUEs!$A:$A,INT((ROW()-1)/7)*57+MOD(ROW()-1,7)+50)&lt;&gt;"","set "&amp;INDEX(CUEs!$A:$A,INT((ROW()-1)/7)*57+MOD(ROW()-1,7)+50)&amp;"=/ s "&amp;INDEX(CUEs!$B:$B,INT((ROW()-1)/7)*57+MOD(ROW()-1,7)+50),"")</f>
        <v/>
      </c>
    </row>
    <row r="1047" spans="1:1" x14ac:dyDescent="0.25">
      <c r="A1047" t="str" cm="1">
        <f t="array" ref="A1047">IF(INDEX(CUEs!$A:$A,INT((ROW()-1)/7)*57+MOD(ROW()-1,7)+50)&lt;&gt;"","set "&amp;INDEX(CUEs!$A:$A,INT((ROW()-1)/7)*57+MOD(ROW()-1,7)+50)&amp;"=/ s "&amp;INDEX(CUEs!$B:$B,INT((ROW()-1)/7)*57+MOD(ROW()-1,7)+50),"")</f>
        <v/>
      </c>
    </row>
    <row r="1048" spans="1:1" x14ac:dyDescent="0.25">
      <c r="A1048" t="str" cm="1">
        <f t="array" ref="A1048">IF(INDEX(CUEs!$A:$A,INT((ROW()-1)/7)*57+MOD(ROW()-1,7)+50)&lt;&gt;"","set "&amp;INDEX(CUEs!$A:$A,INT((ROW()-1)/7)*57+MOD(ROW()-1,7)+50)&amp;"=/ s "&amp;INDEX(CUEs!$B:$B,INT((ROW()-1)/7)*57+MOD(ROW()-1,7)+50),"")</f>
        <v/>
      </c>
    </row>
    <row r="1049" spans="1:1" x14ac:dyDescent="0.25">
      <c r="A1049" t="str" cm="1">
        <f t="array" ref="A1049">IF(INDEX(CUEs!$A:$A,INT((ROW()-1)/7)*57+MOD(ROW()-1,7)+50)&lt;&gt;"","set "&amp;INDEX(CUEs!$A:$A,INT((ROW()-1)/7)*57+MOD(ROW()-1,7)+50)&amp;"=/ s "&amp;INDEX(CUEs!$B:$B,INT((ROW()-1)/7)*57+MOD(ROW()-1,7)+50),"")</f>
        <v/>
      </c>
    </row>
    <row r="1050" spans="1:1" x14ac:dyDescent="0.25">
      <c r="A1050" t="str" cm="1">
        <f t="array" ref="A1050">IF(INDEX(CUEs!$A:$A,INT((ROW()-1)/7)*57+MOD(ROW()-1,7)+50)&lt;&gt;"","set "&amp;INDEX(CUEs!$A:$A,INT((ROW()-1)/7)*57+MOD(ROW()-1,7)+50)&amp;"=/ s "&amp;INDEX(CUEs!$B:$B,INT((ROW()-1)/7)*57+MOD(ROW()-1,7)+50),"")</f>
        <v/>
      </c>
    </row>
    <row r="1051" spans="1:1" x14ac:dyDescent="0.25">
      <c r="A1051" t="str" cm="1">
        <f t="array" ref="A1051">IF(INDEX(CUEs!$A:$A,INT((ROW()-1)/7)*57+MOD(ROW()-1,7)+50)&lt;&gt;"","set "&amp;INDEX(CUEs!$A:$A,INT((ROW()-1)/7)*57+MOD(ROW()-1,7)+50)&amp;"=/ s "&amp;INDEX(CUEs!$B:$B,INT((ROW()-1)/7)*57+MOD(ROW()-1,7)+50),"")</f>
        <v/>
      </c>
    </row>
    <row r="1052" spans="1:1" x14ac:dyDescent="0.25">
      <c r="A1052" t="str" cm="1">
        <f t="array" ref="A1052">IF(INDEX(CUEs!$A:$A,INT((ROW()-1)/7)*57+MOD(ROW()-1,7)+50)&lt;&gt;"","set "&amp;INDEX(CUEs!$A:$A,INT((ROW()-1)/7)*57+MOD(ROW()-1,7)+50)&amp;"=/ s "&amp;INDEX(CUEs!$B:$B,INT((ROW()-1)/7)*57+MOD(ROW()-1,7)+50),"")</f>
        <v/>
      </c>
    </row>
    <row r="1053" spans="1:1" x14ac:dyDescent="0.25">
      <c r="A1053" t="str" cm="1">
        <f t="array" ref="A1053">IF(INDEX(CUEs!$A:$A,INT((ROW()-1)/7)*57+MOD(ROW()-1,7)+50)&lt;&gt;"","set "&amp;INDEX(CUEs!$A:$A,INT((ROW()-1)/7)*57+MOD(ROW()-1,7)+50)&amp;"=/ s "&amp;INDEX(CUEs!$B:$B,INT((ROW()-1)/7)*57+MOD(ROW()-1,7)+50),"")</f>
        <v/>
      </c>
    </row>
    <row r="1054" spans="1:1" x14ac:dyDescent="0.25">
      <c r="A1054" t="str" cm="1">
        <f t="array" ref="A1054">IF(INDEX(CUEs!$A:$A,INT((ROW()-1)/7)*57+MOD(ROW()-1,7)+50)&lt;&gt;"","set "&amp;INDEX(CUEs!$A:$A,INT((ROW()-1)/7)*57+MOD(ROW()-1,7)+50)&amp;"=/ s "&amp;INDEX(CUEs!$B:$B,INT((ROW()-1)/7)*57+MOD(ROW()-1,7)+50),"")</f>
        <v/>
      </c>
    </row>
    <row r="1055" spans="1:1" x14ac:dyDescent="0.25">
      <c r="A1055" t="str" cm="1">
        <f t="array" ref="A1055">IF(INDEX(CUEs!$A:$A,INT((ROW()-1)/7)*57+MOD(ROW()-1,7)+50)&lt;&gt;"","set "&amp;INDEX(CUEs!$A:$A,INT((ROW()-1)/7)*57+MOD(ROW()-1,7)+50)&amp;"=/ s "&amp;INDEX(CUEs!$B:$B,INT((ROW()-1)/7)*57+MOD(ROW()-1,7)+50),"")</f>
        <v/>
      </c>
    </row>
    <row r="1056" spans="1:1" x14ac:dyDescent="0.25">
      <c r="A1056" t="str" cm="1">
        <f t="array" ref="A1056">IF(INDEX(CUEs!$A:$A,INT((ROW()-1)/7)*57+MOD(ROW()-1,7)+50)&lt;&gt;"","set "&amp;INDEX(CUEs!$A:$A,INT((ROW()-1)/7)*57+MOD(ROW()-1,7)+50)&amp;"=/ s "&amp;INDEX(CUEs!$B:$B,INT((ROW()-1)/7)*57+MOD(ROW()-1,7)+50),"")</f>
        <v/>
      </c>
    </row>
    <row r="1057" spans="1:1" x14ac:dyDescent="0.25">
      <c r="A1057" t="str" cm="1">
        <f t="array" ref="A1057">IF(INDEX(CUEs!$A:$A,INT((ROW()-1)/7)*57+MOD(ROW()-1,7)+50)&lt;&gt;"","set "&amp;INDEX(CUEs!$A:$A,INT((ROW()-1)/7)*57+MOD(ROW()-1,7)+50)&amp;"=/ s "&amp;INDEX(CUEs!$B:$B,INT((ROW()-1)/7)*57+MOD(ROW()-1,7)+50),"")</f>
        <v/>
      </c>
    </row>
    <row r="1058" spans="1:1" x14ac:dyDescent="0.25">
      <c r="A1058" t="str" cm="1">
        <f t="array" ref="A1058">IF(INDEX(CUEs!$A:$A,INT((ROW()-1)/7)*57+MOD(ROW()-1,7)+50)&lt;&gt;"","set "&amp;INDEX(CUEs!$A:$A,INT((ROW()-1)/7)*57+MOD(ROW()-1,7)+50)&amp;"=/ s "&amp;INDEX(CUEs!$B:$B,INT((ROW()-1)/7)*57+MOD(ROW()-1,7)+50),"")</f>
        <v/>
      </c>
    </row>
    <row r="1059" spans="1:1" x14ac:dyDescent="0.25">
      <c r="A1059" t="str" cm="1">
        <f t="array" ref="A1059">IF(INDEX(CUEs!$A:$A,INT((ROW()-1)/7)*57+MOD(ROW()-1,7)+50)&lt;&gt;"","set "&amp;INDEX(CUEs!$A:$A,INT((ROW()-1)/7)*57+MOD(ROW()-1,7)+50)&amp;"=/ s "&amp;INDEX(CUEs!$B:$B,INT((ROW()-1)/7)*57+MOD(ROW()-1,7)+50),"")</f>
        <v/>
      </c>
    </row>
    <row r="1060" spans="1:1" x14ac:dyDescent="0.25">
      <c r="A1060" t="str" cm="1">
        <f t="array" ref="A1060">IF(INDEX(CUEs!$A:$A,INT((ROW()-1)/7)*57+MOD(ROW()-1,7)+50)&lt;&gt;"","set "&amp;INDEX(CUEs!$A:$A,INT((ROW()-1)/7)*57+MOD(ROW()-1,7)+50)&amp;"=/ s "&amp;INDEX(CUEs!$B:$B,INT((ROW()-1)/7)*57+MOD(ROW()-1,7)+50),"")</f>
        <v/>
      </c>
    </row>
    <row r="1061" spans="1:1" x14ac:dyDescent="0.25">
      <c r="A1061" t="str" cm="1">
        <f t="array" ref="A1061">IF(INDEX(CUEs!$A:$A,INT((ROW()-1)/7)*57+MOD(ROW()-1,7)+50)&lt;&gt;"","set "&amp;INDEX(CUEs!$A:$A,INT((ROW()-1)/7)*57+MOD(ROW()-1,7)+50)&amp;"=/ s "&amp;INDEX(CUEs!$B:$B,INT((ROW()-1)/7)*57+MOD(ROW()-1,7)+50),"")</f>
        <v/>
      </c>
    </row>
    <row r="1062" spans="1:1" x14ac:dyDescent="0.25">
      <c r="A1062" t="str" cm="1">
        <f t="array" ref="A1062">IF(INDEX(CUEs!$A:$A,INT((ROW()-1)/7)*57+MOD(ROW()-1,7)+50)&lt;&gt;"","set "&amp;INDEX(CUEs!$A:$A,INT((ROW()-1)/7)*57+MOD(ROW()-1,7)+50)&amp;"=/ s "&amp;INDEX(CUEs!$B:$B,INT((ROW()-1)/7)*57+MOD(ROW()-1,7)+50),"")</f>
        <v/>
      </c>
    </row>
    <row r="1063" spans="1:1" x14ac:dyDescent="0.25">
      <c r="A1063" t="str" cm="1">
        <f t="array" ref="A1063">IF(INDEX(CUEs!$A:$A,INT((ROW()-1)/7)*57+MOD(ROW()-1,7)+50)&lt;&gt;"","set "&amp;INDEX(CUEs!$A:$A,INT((ROW()-1)/7)*57+MOD(ROW()-1,7)+50)&amp;"=/ s "&amp;INDEX(CUEs!$B:$B,INT((ROW()-1)/7)*57+MOD(ROW()-1,7)+50),"")</f>
        <v/>
      </c>
    </row>
    <row r="1064" spans="1:1" x14ac:dyDescent="0.25">
      <c r="A1064" t="str" cm="1">
        <f t="array" ref="A1064">IF(INDEX(CUEs!$A:$A,INT((ROW()-1)/7)*57+MOD(ROW()-1,7)+50)&lt;&gt;"","set "&amp;INDEX(CUEs!$A:$A,INT((ROW()-1)/7)*57+MOD(ROW()-1,7)+50)&amp;"=/ s "&amp;INDEX(CUEs!$B:$B,INT((ROW()-1)/7)*57+MOD(ROW()-1,7)+50),"")</f>
        <v/>
      </c>
    </row>
    <row r="1065" spans="1:1" x14ac:dyDescent="0.25">
      <c r="A1065" t="str" cm="1">
        <f t="array" ref="A1065">IF(INDEX(CUEs!$A:$A,INT((ROW()-1)/7)*57+MOD(ROW()-1,7)+50)&lt;&gt;"","set "&amp;INDEX(CUEs!$A:$A,INT((ROW()-1)/7)*57+MOD(ROW()-1,7)+50)&amp;"=/ s "&amp;INDEX(CUEs!$B:$B,INT((ROW()-1)/7)*57+MOD(ROW()-1,7)+50),"")</f>
        <v/>
      </c>
    </row>
    <row r="1066" spans="1:1" x14ac:dyDescent="0.25">
      <c r="A1066" t="str" cm="1">
        <f t="array" ref="A1066">IF(INDEX(CUEs!$A:$A,INT((ROW()-1)/7)*57+MOD(ROW()-1,7)+50)&lt;&gt;"","set "&amp;INDEX(CUEs!$A:$A,INT((ROW()-1)/7)*57+MOD(ROW()-1,7)+50)&amp;"=/ s "&amp;INDEX(CUEs!$B:$B,INT((ROW()-1)/7)*57+MOD(ROW()-1,7)+50),"")</f>
        <v/>
      </c>
    </row>
    <row r="1067" spans="1:1" x14ac:dyDescent="0.25">
      <c r="A1067" t="str" cm="1">
        <f t="array" ref="A1067">IF(INDEX(CUEs!$A:$A,INT((ROW()-1)/7)*57+MOD(ROW()-1,7)+50)&lt;&gt;"","set "&amp;INDEX(CUEs!$A:$A,INT((ROW()-1)/7)*57+MOD(ROW()-1,7)+50)&amp;"=/ s "&amp;INDEX(CUEs!$B:$B,INT((ROW()-1)/7)*57+MOD(ROW()-1,7)+50),"")</f>
        <v/>
      </c>
    </row>
    <row r="1068" spans="1:1" x14ac:dyDescent="0.25">
      <c r="A1068" t="str" cm="1">
        <f t="array" ref="A1068">IF(INDEX(CUEs!$A:$A,INT((ROW()-1)/7)*57+MOD(ROW()-1,7)+50)&lt;&gt;"","set "&amp;INDEX(CUEs!$A:$A,INT((ROW()-1)/7)*57+MOD(ROW()-1,7)+50)&amp;"=/ s "&amp;INDEX(CUEs!$B:$B,INT((ROW()-1)/7)*57+MOD(ROW()-1,7)+50),"")</f>
        <v/>
      </c>
    </row>
    <row r="1069" spans="1:1" x14ac:dyDescent="0.25">
      <c r="A1069" t="str" cm="1">
        <f t="array" ref="A1069">IF(INDEX(CUEs!$A:$A,INT((ROW()-1)/7)*57+MOD(ROW()-1,7)+50)&lt;&gt;"","set "&amp;INDEX(CUEs!$A:$A,INT((ROW()-1)/7)*57+MOD(ROW()-1,7)+50)&amp;"=/ s "&amp;INDEX(CUEs!$B:$B,INT((ROW()-1)/7)*57+MOD(ROW()-1,7)+50),"")</f>
        <v/>
      </c>
    </row>
    <row r="1070" spans="1:1" x14ac:dyDescent="0.25">
      <c r="A1070" t="str" cm="1">
        <f t="array" ref="A1070">IF(INDEX(CUEs!$A:$A,INT((ROW()-1)/7)*57+MOD(ROW()-1,7)+50)&lt;&gt;"","set "&amp;INDEX(CUEs!$A:$A,INT((ROW()-1)/7)*57+MOD(ROW()-1,7)+50)&amp;"=/ s "&amp;INDEX(CUEs!$B:$B,INT((ROW()-1)/7)*57+MOD(ROW()-1,7)+50),"")</f>
        <v/>
      </c>
    </row>
    <row r="1071" spans="1:1" x14ac:dyDescent="0.25">
      <c r="A1071" t="str" cm="1">
        <f t="array" ref="A1071">IF(INDEX(CUEs!$A:$A,INT((ROW()-1)/7)*57+MOD(ROW()-1,7)+50)&lt;&gt;"","set "&amp;INDEX(CUEs!$A:$A,INT((ROW()-1)/7)*57+MOD(ROW()-1,7)+50)&amp;"=/ s "&amp;INDEX(CUEs!$B:$B,INT((ROW()-1)/7)*57+MOD(ROW()-1,7)+50),"")</f>
        <v/>
      </c>
    </row>
    <row r="1072" spans="1:1" x14ac:dyDescent="0.25">
      <c r="A1072" t="str" cm="1">
        <f t="array" ref="A1072">IF(INDEX(CUEs!$A:$A,INT((ROW()-1)/7)*57+MOD(ROW()-1,7)+50)&lt;&gt;"","set "&amp;INDEX(CUEs!$A:$A,INT((ROW()-1)/7)*57+MOD(ROW()-1,7)+50)&amp;"=/ s "&amp;INDEX(CUEs!$B:$B,INT((ROW()-1)/7)*57+MOD(ROW()-1,7)+50),"")</f>
        <v/>
      </c>
    </row>
    <row r="1073" spans="1:1" x14ac:dyDescent="0.25">
      <c r="A1073" t="str" cm="1">
        <f t="array" ref="A1073">IF(INDEX(CUEs!$A:$A,INT((ROW()-1)/7)*57+MOD(ROW()-1,7)+50)&lt;&gt;"","set "&amp;INDEX(CUEs!$A:$A,INT((ROW()-1)/7)*57+MOD(ROW()-1,7)+50)&amp;"=/ s "&amp;INDEX(CUEs!$B:$B,INT((ROW()-1)/7)*57+MOD(ROW()-1,7)+50),"")</f>
        <v/>
      </c>
    </row>
    <row r="1074" spans="1:1" x14ac:dyDescent="0.25">
      <c r="A1074" t="str" cm="1">
        <f t="array" ref="A1074">IF(INDEX(CUEs!$A:$A,INT((ROW()-1)/7)*57+MOD(ROW()-1,7)+50)&lt;&gt;"","set "&amp;INDEX(CUEs!$A:$A,INT((ROW()-1)/7)*57+MOD(ROW()-1,7)+50)&amp;"=/ s "&amp;INDEX(CUEs!$B:$B,INT((ROW()-1)/7)*57+MOD(ROW()-1,7)+50),"")</f>
        <v/>
      </c>
    </row>
    <row r="1075" spans="1:1" x14ac:dyDescent="0.25">
      <c r="A1075" t="str" cm="1">
        <f t="array" ref="A1075">IF(INDEX(CUEs!$A:$A,INT((ROW()-1)/7)*57+MOD(ROW()-1,7)+50)&lt;&gt;"","set "&amp;INDEX(CUEs!$A:$A,INT((ROW()-1)/7)*57+MOD(ROW()-1,7)+50)&amp;"=/ s "&amp;INDEX(CUEs!$B:$B,INT((ROW()-1)/7)*57+MOD(ROW()-1,7)+50),"")</f>
        <v/>
      </c>
    </row>
    <row r="1076" spans="1:1" x14ac:dyDescent="0.25">
      <c r="A1076" t="str" cm="1">
        <f t="array" ref="A1076">IF(INDEX(CUEs!$A:$A,INT((ROW()-1)/7)*57+MOD(ROW()-1,7)+50)&lt;&gt;"","set "&amp;INDEX(CUEs!$A:$A,INT((ROW()-1)/7)*57+MOD(ROW()-1,7)+50)&amp;"=/ s "&amp;INDEX(CUEs!$B:$B,INT((ROW()-1)/7)*57+MOD(ROW()-1,7)+50),"")</f>
        <v/>
      </c>
    </row>
    <row r="1077" spans="1:1" x14ac:dyDescent="0.25">
      <c r="A1077" t="str" cm="1">
        <f t="array" ref="A1077">IF(INDEX(CUEs!$A:$A,INT((ROW()-1)/7)*57+MOD(ROW()-1,7)+50)&lt;&gt;"","set "&amp;INDEX(CUEs!$A:$A,INT((ROW()-1)/7)*57+MOD(ROW()-1,7)+50)&amp;"=/ s "&amp;INDEX(CUEs!$B:$B,INT((ROW()-1)/7)*57+MOD(ROW()-1,7)+50),"")</f>
        <v/>
      </c>
    </row>
    <row r="1078" spans="1:1" x14ac:dyDescent="0.25">
      <c r="A1078" t="str" cm="1">
        <f t="array" ref="A1078">IF(INDEX(CUEs!$A:$A,INT((ROW()-1)/7)*57+MOD(ROW()-1,7)+50)&lt;&gt;"","set "&amp;INDEX(CUEs!$A:$A,INT((ROW()-1)/7)*57+MOD(ROW()-1,7)+50)&amp;"=/ s "&amp;INDEX(CUEs!$B:$B,INT((ROW()-1)/7)*57+MOD(ROW()-1,7)+50),"")</f>
        <v/>
      </c>
    </row>
    <row r="1079" spans="1:1" x14ac:dyDescent="0.25">
      <c r="A1079" t="str" cm="1">
        <f t="array" ref="A1079">IF(INDEX(CUEs!$A:$A,INT((ROW()-1)/7)*57+MOD(ROW()-1,7)+50)&lt;&gt;"","set "&amp;INDEX(CUEs!$A:$A,INT((ROW()-1)/7)*57+MOD(ROW()-1,7)+50)&amp;"=/ s "&amp;INDEX(CUEs!$B:$B,INT((ROW()-1)/7)*57+MOD(ROW()-1,7)+50),"")</f>
        <v/>
      </c>
    </row>
    <row r="1080" spans="1:1" x14ac:dyDescent="0.25">
      <c r="A1080" t="str" cm="1">
        <f t="array" ref="A1080">IF(INDEX(CUEs!$A:$A,INT((ROW()-1)/7)*57+MOD(ROW()-1,7)+50)&lt;&gt;"","set "&amp;INDEX(CUEs!$A:$A,INT((ROW()-1)/7)*57+MOD(ROW()-1,7)+50)&amp;"=/ s "&amp;INDEX(CUEs!$B:$B,INT((ROW()-1)/7)*57+MOD(ROW()-1,7)+50),"")</f>
        <v/>
      </c>
    </row>
    <row r="1081" spans="1:1" x14ac:dyDescent="0.25">
      <c r="A1081" t="str" cm="1">
        <f t="array" ref="A1081">IF(INDEX(CUEs!$A:$A,INT((ROW()-1)/7)*57+MOD(ROW()-1,7)+50)&lt;&gt;"","set "&amp;INDEX(CUEs!$A:$A,INT((ROW()-1)/7)*57+MOD(ROW()-1,7)+50)&amp;"=/ s "&amp;INDEX(CUEs!$B:$B,INT((ROW()-1)/7)*57+MOD(ROW()-1,7)+50),"")</f>
        <v/>
      </c>
    </row>
    <row r="1082" spans="1:1" x14ac:dyDescent="0.25">
      <c r="A1082" t="str" cm="1">
        <f t="array" ref="A1082">IF(INDEX(CUEs!$A:$A,INT((ROW()-1)/7)*57+MOD(ROW()-1,7)+50)&lt;&gt;"","set "&amp;INDEX(CUEs!$A:$A,INT((ROW()-1)/7)*57+MOD(ROW()-1,7)+50)&amp;"=/ s "&amp;INDEX(CUEs!$B:$B,INT((ROW()-1)/7)*57+MOD(ROW()-1,7)+50),"")</f>
        <v/>
      </c>
    </row>
    <row r="1083" spans="1:1" x14ac:dyDescent="0.25">
      <c r="A1083" t="str" cm="1">
        <f t="array" ref="A1083">IF(INDEX(CUEs!$A:$A,INT((ROW()-1)/7)*57+MOD(ROW()-1,7)+50)&lt;&gt;"","set "&amp;INDEX(CUEs!$A:$A,INT((ROW()-1)/7)*57+MOD(ROW()-1,7)+50)&amp;"=/ s "&amp;INDEX(CUEs!$B:$B,INT((ROW()-1)/7)*57+MOD(ROW()-1,7)+50),"")</f>
        <v/>
      </c>
    </row>
    <row r="1084" spans="1:1" x14ac:dyDescent="0.25">
      <c r="A1084" t="str" cm="1">
        <f t="array" ref="A1084">IF(INDEX(CUEs!$A:$A,INT((ROW()-1)/7)*57+MOD(ROW()-1,7)+50)&lt;&gt;"","set "&amp;INDEX(CUEs!$A:$A,INT((ROW()-1)/7)*57+MOD(ROW()-1,7)+50)&amp;"=/ s "&amp;INDEX(CUEs!$B:$B,INT((ROW()-1)/7)*57+MOD(ROW()-1,7)+50),"")</f>
        <v/>
      </c>
    </row>
    <row r="1085" spans="1:1" x14ac:dyDescent="0.25">
      <c r="A1085" t="str" cm="1">
        <f t="array" ref="A1085">IF(INDEX(CUEs!$A:$A,INT((ROW()-1)/7)*57+MOD(ROW()-1,7)+50)&lt;&gt;"","set "&amp;INDEX(CUEs!$A:$A,INT((ROW()-1)/7)*57+MOD(ROW()-1,7)+50)&amp;"=/ s "&amp;INDEX(CUEs!$B:$B,INT((ROW()-1)/7)*57+MOD(ROW()-1,7)+50),"")</f>
        <v/>
      </c>
    </row>
    <row r="1086" spans="1:1" x14ac:dyDescent="0.25">
      <c r="A1086" t="str" cm="1">
        <f t="array" ref="A1086">IF(INDEX(CUEs!$A:$A,INT((ROW()-1)/7)*57+MOD(ROW()-1,7)+50)&lt;&gt;"","set "&amp;INDEX(CUEs!$A:$A,INT((ROW()-1)/7)*57+MOD(ROW()-1,7)+50)&amp;"=/ s "&amp;INDEX(CUEs!$B:$B,INT((ROW()-1)/7)*57+MOD(ROW()-1,7)+50),"")</f>
        <v/>
      </c>
    </row>
    <row r="1087" spans="1:1" x14ac:dyDescent="0.25">
      <c r="A1087" t="str" cm="1">
        <f t="array" ref="A1087">IF(INDEX(CUEs!$A:$A,INT((ROW()-1)/7)*57+MOD(ROW()-1,7)+50)&lt;&gt;"","set "&amp;INDEX(CUEs!$A:$A,INT((ROW()-1)/7)*57+MOD(ROW()-1,7)+50)&amp;"=/ s "&amp;INDEX(CUEs!$B:$B,INT((ROW()-1)/7)*57+MOD(ROW()-1,7)+50),"")</f>
        <v/>
      </c>
    </row>
    <row r="1088" spans="1:1" x14ac:dyDescent="0.25">
      <c r="A1088" t="str" cm="1">
        <f t="array" ref="A1088">IF(INDEX(CUEs!$A:$A,INT((ROW()-1)/7)*57+MOD(ROW()-1,7)+50)&lt;&gt;"","set "&amp;INDEX(CUEs!$A:$A,INT((ROW()-1)/7)*57+MOD(ROW()-1,7)+50)&amp;"=/ s "&amp;INDEX(CUEs!$B:$B,INT((ROW()-1)/7)*57+MOD(ROW()-1,7)+50),"")</f>
        <v/>
      </c>
    </row>
    <row r="1089" spans="1:1" x14ac:dyDescent="0.25">
      <c r="A1089" t="str" cm="1">
        <f t="array" ref="A1089">IF(INDEX(CUEs!$A:$A,INT((ROW()-1)/7)*57+MOD(ROW()-1,7)+50)&lt;&gt;"","set "&amp;INDEX(CUEs!$A:$A,INT((ROW()-1)/7)*57+MOD(ROW()-1,7)+50)&amp;"=/ s "&amp;INDEX(CUEs!$B:$B,INT((ROW()-1)/7)*57+MOD(ROW()-1,7)+50),"")</f>
        <v/>
      </c>
    </row>
    <row r="1090" spans="1:1" x14ac:dyDescent="0.25">
      <c r="A1090" t="str" cm="1">
        <f t="array" ref="A1090">IF(INDEX(CUEs!$A:$A,INT((ROW()-1)/7)*57+MOD(ROW()-1,7)+50)&lt;&gt;"","set "&amp;INDEX(CUEs!$A:$A,INT((ROW()-1)/7)*57+MOD(ROW()-1,7)+50)&amp;"=/ s "&amp;INDEX(CUEs!$B:$B,INT((ROW()-1)/7)*57+MOD(ROW()-1,7)+50),"")</f>
        <v/>
      </c>
    </row>
    <row r="1091" spans="1:1" x14ac:dyDescent="0.25">
      <c r="A1091" t="str" cm="1">
        <f t="array" ref="A1091">IF(INDEX(CUEs!$A:$A,INT((ROW()-1)/7)*57+MOD(ROW()-1,7)+50)&lt;&gt;"","set "&amp;INDEX(CUEs!$A:$A,INT((ROW()-1)/7)*57+MOD(ROW()-1,7)+50)&amp;"=/ s "&amp;INDEX(CUEs!$B:$B,INT((ROW()-1)/7)*57+MOD(ROW()-1,7)+50),"")</f>
        <v/>
      </c>
    </row>
    <row r="1092" spans="1:1" x14ac:dyDescent="0.25">
      <c r="A1092" t="str" cm="1">
        <f t="array" ref="A1092">IF(INDEX(CUEs!$A:$A,INT((ROW()-1)/7)*57+MOD(ROW()-1,7)+50)&lt;&gt;"","set "&amp;INDEX(CUEs!$A:$A,INT((ROW()-1)/7)*57+MOD(ROW()-1,7)+50)&amp;"=/ s "&amp;INDEX(CUEs!$B:$B,INT((ROW()-1)/7)*57+MOD(ROW()-1,7)+50),"")</f>
        <v/>
      </c>
    </row>
    <row r="1093" spans="1:1" x14ac:dyDescent="0.25">
      <c r="A1093" t="str" cm="1">
        <f t="array" ref="A1093">IF(INDEX(CUEs!$A:$A,INT((ROW()-1)/7)*57+MOD(ROW()-1,7)+50)&lt;&gt;"","set "&amp;INDEX(CUEs!$A:$A,INT((ROW()-1)/7)*57+MOD(ROW()-1,7)+50)&amp;"=/ s "&amp;INDEX(CUEs!$B:$B,INT((ROW()-1)/7)*57+MOD(ROW()-1,7)+50),"")</f>
        <v/>
      </c>
    </row>
    <row r="1094" spans="1:1" x14ac:dyDescent="0.25">
      <c r="A1094" t="str" cm="1">
        <f t="array" ref="A1094">IF(INDEX(CUEs!$A:$A,INT((ROW()-1)/7)*57+MOD(ROW()-1,7)+50)&lt;&gt;"","set "&amp;INDEX(CUEs!$A:$A,INT((ROW()-1)/7)*57+MOD(ROW()-1,7)+50)&amp;"=/ s "&amp;INDEX(CUEs!$B:$B,INT((ROW()-1)/7)*57+MOD(ROW()-1,7)+50),"")</f>
        <v/>
      </c>
    </row>
    <row r="1095" spans="1:1" x14ac:dyDescent="0.25">
      <c r="A1095" t="str" cm="1">
        <f t="array" ref="A1095">IF(INDEX(CUEs!$A:$A,INT((ROW()-1)/7)*57+MOD(ROW()-1,7)+50)&lt;&gt;"","set "&amp;INDEX(CUEs!$A:$A,INT((ROW()-1)/7)*57+MOD(ROW()-1,7)+50)&amp;"=/ s "&amp;INDEX(CUEs!$B:$B,INT((ROW()-1)/7)*57+MOD(ROW()-1,7)+50),"")</f>
        <v/>
      </c>
    </row>
    <row r="1096" spans="1:1" x14ac:dyDescent="0.25">
      <c r="A1096" t="str" cm="1">
        <f t="array" ref="A1096">IF(INDEX(CUEs!$A:$A,INT((ROW()-1)/7)*57+MOD(ROW()-1,7)+50)&lt;&gt;"","set "&amp;INDEX(CUEs!$A:$A,INT((ROW()-1)/7)*57+MOD(ROW()-1,7)+50)&amp;"=/ s "&amp;INDEX(CUEs!$B:$B,INT((ROW()-1)/7)*57+MOD(ROW()-1,7)+50),"")</f>
        <v/>
      </c>
    </row>
    <row r="1097" spans="1:1" x14ac:dyDescent="0.25">
      <c r="A1097" t="str" cm="1">
        <f t="array" ref="A1097">IF(INDEX(CUEs!$A:$A,INT((ROW()-1)/7)*57+MOD(ROW()-1,7)+50)&lt;&gt;"","set "&amp;INDEX(CUEs!$A:$A,INT((ROW()-1)/7)*57+MOD(ROW()-1,7)+50)&amp;"=/ s "&amp;INDEX(CUEs!$B:$B,INT((ROW()-1)/7)*57+MOD(ROW()-1,7)+50),"")</f>
        <v/>
      </c>
    </row>
    <row r="1098" spans="1:1" x14ac:dyDescent="0.25">
      <c r="A1098" t="str" cm="1">
        <f t="array" ref="A1098">IF(INDEX(CUEs!$A:$A,INT((ROW()-1)/7)*57+MOD(ROW()-1,7)+50)&lt;&gt;"","set "&amp;INDEX(CUEs!$A:$A,INT((ROW()-1)/7)*57+MOD(ROW()-1,7)+50)&amp;"=/ s "&amp;INDEX(CUEs!$B:$B,INT((ROW()-1)/7)*57+MOD(ROW()-1,7)+50),"")</f>
        <v/>
      </c>
    </row>
    <row r="1099" spans="1:1" x14ac:dyDescent="0.25">
      <c r="A1099" t="str" cm="1">
        <f t="array" ref="A1099">IF(INDEX(CUEs!$A:$A,INT((ROW()-1)/7)*57+MOD(ROW()-1,7)+50)&lt;&gt;"","set "&amp;INDEX(CUEs!$A:$A,INT((ROW()-1)/7)*57+MOD(ROW()-1,7)+50)&amp;"=/ s "&amp;INDEX(CUEs!$B:$B,INT((ROW()-1)/7)*57+MOD(ROW()-1,7)+50),"")</f>
        <v/>
      </c>
    </row>
    <row r="1100" spans="1:1" x14ac:dyDescent="0.25">
      <c r="A1100" t="str" cm="1">
        <f t="array" ref="A1100">IF(INDEX(CUEs!$A:$A,INT((ROW()-1)/7)*57+MOD(ROW()-1,7)+50)&lt;&gt;"","set "&amp;INDEX(CUEs!$A:$A,INT((ROW()-1)/7)*57+MOD(ROW()-1,7)+50)&amp;"=/ s "&amp;INDEX(CUEs!$B:$B,INT((ROW()-1)/7)*57+MOD(ROW()-1,7)+50),"")</f>
        <v/>
      </c>
    </row>
    <row r="1101" spans="1:1" x14ac:dyDescent="0.25">
      <c r="A1101" t="str" cm="1">
        <f t="array" ref="A1101">IF(INDEX(CUEs!$A:$A,INT((ROW()-1)/7)*57+MOD(ROW()-1,7)+50)&lt;&gt;"","set "&amp;INDEX(CUEs!$A:$A,INT((ROW()-1)/7)*57+MOD(ROW()-1,7)+50)&amp;"=/ s "&amp;INDEX(CUEs!$B:$B,INT((ROW()-1)/7)*57+MOD(ROW()-1,7)+50),"")</f>
        <v/>
      </c>
    </row>
    <row r="1102" spans="1:1" x14ac:dyDescent="0.25">
      <c r="A1102" t="str" cm="1">
        <f t="array" ref="A1102">IF(INDEX(CUEs!$A:$A,INT((ROW()-1)/7)*57+MOD(ROW()-1,7)+50)&lt;&gt;"","set "&amp;INDEX(CUEs!$A:$A,INT((ROW()-1)/7)*57+MOD(ROW()-1,7)+50)&amp;"=/ s "&amp;INDEX(CUEs!$B:$B,INT((ROW()-1)/7)*57+MOD(ROW()-1,7)+50),"")</f>
        <v/>
      </c>
    </row>
    <row r="1103" spans="1:1" x14ac:dyDescent="0.25">
      <c r="A1103" t="str" cm="1">
        <f t="array" ref="A1103">IF(INDEX(CUEs!$A:$A,INT((ROW()-1)/7)*57+MOD(ROW()-1,7)+50)&lt;&gt;"","set "&amp;INDEX(CUEs!$A:$A,INT((ROW()-1)/7)*57+MOD(ROW()-1,7)+50)&amp;"=/ s "&amp;INDEX(CUEs!$B:$B,INT((ROW()-1)/7)*57+MOD(ROW()-1,7)+50),"")</f>
        <v/>
      </c>
    </row>
    <row r="1104" spans="1:1" x14ac:dyDescent="0.25">
      <c r="A1104" t="str" cm="1">
        <f t="array" ref="A1104">IF(INDEX(CUEs!$A:$A,INT((ROW()-1)/7)*57+MOD(ROW()-1,7)+50)&lt;&gt;"","set "&amp;INDEX(CUEs!$A:$A,INT((ROW()-1)/7)*57+MOD(ROW()-1,7)+50)&amp;"=/ s "&amp;INDEX(CUEs!$B:$B,INT((ROW()-1)/7)*57+MOD(ROW()-1,7)+50),"")</f>
        <v/>
      </c>
    </row>
    <row r="1105" spans="1:1" x14ac:dyDescent="0.25">
      <c r="A1105" t="str" cm="1">
        <f t="array" ref="A1105">IF(INDEX(CUEs!$A:$A,INT((ROW()-1)/7)*57+MOD(ROW()-1,7)+50)&lt;&gt;"","set "&amp;INDEX(CUEs!$A:$A,INT((ROW()-1)/7)*57+MOD(ROW()-1,7)+50)&amp;"=/ s "&amp;INDEX(CUEs!$B:$B,INT((ROW()-1)/7)*57+MOD(ROW()-1,7)+50),"")</f>
        <v/>
      </c>
    </row>
    <row r="1106" spans="1:1" x14ac:dyDescent="0.25">
      <c r="A1106" t="str" cm="1">
        <f t="array" ref="A1106">IF(INDEX(CUEs!$A:$A,INT((ROW()-1)/7)*57+MOD(ROW()-1,7)+50)&lt;&gt;"","set "&amp;INDEX(CUEs!$A:$A,INT((ROW()-1)/7)*57+MOD(ROW()-1,7)+50)&amp;"=/ s "&amp;INDEX(CUEs!$B:$B,INT((ROW()-1)/7)*57+MOD(ROW()-1,7)+50),"")</f>
        <v/>
      </c>
    </row>
    <row r="1107" spans="1:1" x14ac:dyDescent="0.25">
      <c r="A1107" t="str" cm="1">
        <f t="array" ref="A1107">IF(INDEX(CUEs!$A:$A,INT((ROW()-1)/7)*57+MOD(ROW()-1,7)+50)&lt;&gt;"","set "&amp;INDEX(CUEs!$A:$A,INT((ROW()-1)/7)*57+MOD(ROW()-1,7)+50)&amp;"=/ s "&amp;INDEX(CUEs!$B:$B,INT((ROW()-1)/7)*57+MOD(ROW()-1,7)+50),"")</f>
        <v/>
      </c>
    </row>
    <row r="1108" spans="1:1" x14ac:dyDescent="0.25">
      <c r="A1108" t="str" cm="1">
        <f t="array" ref="A1108">IF(INDEX(CUEs!$A:$A,INT((ROW()-1)/7)*57+MOD(ROW()-1,7)+50)&lt;&gt;"","set "&amp;INDEX(CUEs!$A:$A,INT((ROW()-1)/7)*57+MOD(ROW()-1,7)+50)&amp;"=/ s "&amp;INDEX(CUEs!$B:$B,INT((ROW()-1)/7)*57+MOD(ROW()-1,7)+50),"")</f>
        <v/>
      </c>
    </row>
    <row r="1109" spans="1:1" x14ac:dyDescent="0.25">
      <c r="A1109" t="str" cm="1">
        <f t="array" ref="A1109">IF(INDEX(CUEs!$A:$A,INT((ROW()-1)/7)*57+MOD(ROW()-1,7)+50)&lt;&gt;"","set "&amp;INDEX(CUEs!$A:$A,INT((ROW()-1)/7)*57+MOD(ROW()-1,7)+50)&amp;"=/ s "&amp;INDEX(CUEs!$B:$B,INT((ROW()-1)/7)*57+MOD(ROW()-1,7)+50),"")</f>
        <v/>
      </c>
    </row>
    <row r="1110" spans="1:1" x14ac:dyDescent="0.25">
      <c r="A1110" t="str" cm="1">
        <f t="array" ref="A1110">IF(INDEX(CUEs!$A:$A,INT((ROW()-1)/7)*57+MOD(ROW()-1,7)+50)&lt;&gt;"","set "&amp;INDEX(CUEs!$A:$A,INT((ROW()-1)/7)*57+MOD(ROW()-1,7)+50)&amp;"=/ s "&amp;INDEX(CUEs!$B:$B,INT((ROW()-1)/7)*57+MOD(ROW()-1,7)+50),"")</f>
        <v/>
      </c>
    </row>
    <row r="1111" spans="1:1" x14ac:dyDescent="0.25">
      <c r="A1111" t="str" cm="1">
        <f t="array" ref="A1111">IF(INDEX(CUEs!$A:$A,INT((ROW()-1)/7)*57+MOD(ROW()-1,7)+50)&lt;&gt;"","set "&amp;INDEX(CUEs!$A:$A,INT((ROW()-1)/7)*57+MOD(ROW()-1,7)+50)&amp;"=/ s "&amp;INDEX(CUEs!$B:$B,INT((ROW()-1)/7)*57+MOD(ROW()-1,7)+50),"")</f>
        <v/>
      </c>
    </row>
    <row r="1112" spans="1:1" x14ac:dyDescent="0.25">
      <c r="A1112" t="str" cm="1">
        <f t="array" ref="A1112">IF(INDEX(CUEs!$A:$A,INT((ROW()-1)/7)*57+MOD(ROW()-1,7)+50)&lt;&gt;"","set "&amp;INDEX(CUEs!$A:$A,INT((ROW()-1)/7)*57+MOD(ROW()-1,7)+50)&amp;"=/ s "&amp;INDEX(CUEs!$B:$B,INT((ROW()-1)/7)*57+MOD(ROW()-1,7)+50),"")</f>
        <v/>
      </c>
    </row>
    <row r="1113" spans="1:1" x14ac:dyDescent="0.25">
      <c r="A1113" t="str" cm="1">
        <f t="array" ref="A1113">IF(INDEX(CUEs!$A:$A,INT((ROW()-1)/7)*57+MOD(ROW()-1,7)+50)&lt;&gt;"","set "&amp;INDEX(CUEs!$A:$A,INT((ROW()-1)/7)*57+MOD(ROW()-1,7)+50)&amp;"=/ s "&amp;INDEX(CUEs!$B:$B,INT((ROW()-1)/7)*57+MOD(ROW()-1,7)+50),"")</f>
        <v/>
      </c>
    </row>
    <row r="1114" spans="1:1" x14ac:dyDescent="0.25">
      <c r="A1114" t="str" cm="1">
        <f t="array" ref="A1114">IF(INDEX(CUEs!$A:$A,INT((ROW()-1)/7)*57+MOD(ROW()-1,7)+50)&lt;&gt;"","set "&amp;INDEX(CUEs!$A:$A,INT((ROW()-1)/7)*57+MOD(ROW()-1,7)+50)&amp;"=/ s "&amp;INDEX(CUEs!$B:$B,INT((ROW()-1)/7)*57+MOD(ROW()-1,7)+50),"")</f>
        <v/>
      </c>
    </row>
    <row r="1115" spans="1:1" x14ac:dyDescent="0.25">
      <c r="A1115" t="str" cm="1">
        <f t="array" ref="A1115">IF(INDEX(CUEs!$A:$A,INT((ROW()-1)/7)*57+MOD(ROW()-1,7)+50)&lt;&gt;"","set "&amp;INDEX(CUEs!$A:$A,INT((ROW()-1)/7)*57+MOD(ROW()-1,7)+50)&amp;"=/ s "&amp;INDEX(CUEs!$B:$B,INT((ROW()-1)/7)*57+MOD(ROW()-1,7)+50),"")</f>
        <v/>
      </c>
    </row>
    <row r="1116" spans="1:1" x14ac:dyDescent="0.25">
      <c r="A1116" t="str" cm="1">
        <f t="array" ref="A1116">IF(INDEX(CUEs!$A:$A,INT((ROW()-1)/7)*57+MOD(ROW()-1,7)+50)&lt;&gt;"","set "&amp;INDEX(CUEs!$A:$A,INT((ROW()-1)/7)*57+MOD(ROW()-1,7)+50)&amp;"=/ s "&amp;INDEX(CUEs!$B:$B,INT((ROW()-1)/7)*57+MOD(ROW()-1,7)+50),"")</f>
        <v/>
      </c>
    </row>
    <row r="1117" spans="1:1" x14ac:dyDescent="0.25">
      <c r="A1117" t="str" cm="1">
        <f t="array" ref="A1117">IF(INDEX(CUEs!$A:$A,INT((ROW()-1)/7)*57+MOD(ROW()-1,7)+50)&lt;&gt;"","set "&amp;INDEX(CUEs!$A:$A,INT((ROW()-1)/7)*57+MOD(ROW()-1,7)+50)&amp;"=/ s "&amp;INDEX(CUEs!$B:$B,INT((ROW()-1)/7)*57+MOD(ROW()-1,7)+50),"")</f>
        <v/>
      </c>
    </row>
    <row r="1118" spans="1:1" x14ac:dyDescent="0.25">
      <c r="A1118" t="str" cm="1">
        <f t="array" ref="A1118">IF(INDEX(CUEs!$A:$A,INT((ROW()-1)/7)*57+MOD(ROW()-1,7)+50)&lt;&gt;"","set "&amp;INDEX(CUEs!$A:$A,INT((ROW()-1)/7)*57+MOD(ROW()-1,7)+50)&amp;"=/ s "&amp;INDEX(CUEs!$B:$B,INT((ROW()-1)/7)*57+MOD(ROW()-1,7)+50),"")</f>
        <v/>
      </c>
    </row>
    <row r="1119" spans="1:1" x14ac:dyDescent="0.25">
      <c r="A1119" t="str" cm="1">
        <f t="array" ref="A1119">IF(INDEX(CUEs!$A:$A,INT((ROW()-1)/7)*57+MOD(ROW()-1,7)+50)&lt;&gt;"","set "&amp;INDEX(CUEs!$A:$A,INT((ROW()-1)/7)*57+MOD(ROW()-1,7)+50)&amp;"=/ s "&amp;INDEX(CUEs!$B:$B,INT((ROW()-1)/7)*57+MOD(ROW()-1,7)+50),"")</f>
        <v/>
      </c>
    </row>
    <row r="1120" spans="1:1" x14ac:dyDescent="0.25">
      <c r="A1120" t="str" cm="1">
        <f t="array" ref="A1120">IF(INDEX(CUEs!$A:$A,INT((ROW()-1)/7)*57+MOD(ROW()-1,7)+50)&lt;&gt;"","set "&amp;INDEX(CUEs!$A:$A,INT((ROW()-1)/7)*57+MOD(ROW()-1,7)+50)&amp;"=/ s "&amp;INDEX(CUEs!$B:$B,INT((ROW()-1)/7)*57+MOD(ROW()-1,7)+50),"")</f>
        <v/>
      </c>
    </row>
    <row r="1121" spans="1:1" x14ac:dyDescent="0.25">
      <c r="A1121" t="str" cm="1">
        <f t="array" ref="A1121">IF(INDEX(CUEs!$A:$A,INT((ROW()-1)/7)*57+MOD(ROW()-1,7)+50)&lt;&gt;"","set "&amp;INDEX(CUEs!$A:$A,INT((ROW()-1)/7)*57+MOD(ROW()-1,7)+50)&amp;"=/ s "&amp;INDEX(CUEs!$B:$B,INT((ROW()-1)/7)*57+MOD(ROW()-1,7)+50),"")</f>
        <v/>
      </c>
    </row>
    <row r="1122" spans="1:1" x14ac:dyDescent="0.25">
      <c r="A1122" t="str" cm="1">
        <f t="array" ref="A1122">IF(INDEX(CUEs!$A:$A,INT((ROW()-1)/7)*57+MOD(ROW()-1,7)+50)&lt;&gt;"","set "&amp;INDEX(CUEs!$A:$A,INT((ROW()-1)/7)*57+MOD(ROW()-1,7)+50)&amp;"=/ s "&amp;INDEX(CUEs!$B:$B,INT((ROW()-1)/7)*57+MOD(ROW()-1,7)+50),"")</f>
        <v/>
      </c>
    </row>
    <row r="1123" spans="1:1" x14ac:dyDescent="0.25">
      <c r="A1123" t="str" cm="1">
        <f t="array" ref="A1123">IF(INDEX(CUEs!$A:$A,INT((ROW()-1)/7)*57+MOD(ROW()-1,7)+50)&lt;&gt;"","set "&amp;INDEX(CUEs!$A:$A,INT((ROW()-1)/7)*57+MOD(ROW()-1,7)+50)&amp;"=/ s "&amp;INDEX(CUEs!$B:$B,INT((ROW()-1)/7)*57+MOD(ROW()-1,7)+50),"")</f>
        <v/>
      </c>
    </row>
    <row r="1124" spans="1:1" x14ac:dyDescent="0.25">
      <c r="A1124" t="str" cm="1">
        <f t="array" ref="A1124">IF(INDEX(CUEs!$A:$A,INT((ROW()-1)/7)*57+MOD(ROW()-1,7)+50)&lt;&gt;"","set "&amp;INDEX(CUEs!$A:$A,INT((ROW()-1)/7)*57+MOD(ROW()-1,7)+50)&amp;"=/ s "&amp;INDEX(CUEs!$B:$B,INT((ROW()-1)/7)*57+MOD(ROW()-1,7)+50),"")</f>
        <v/>
      </c>
    </row>
    <row r="1125" spans="1:1" x14ac:dyDescent="0.25">
      <c r="A1125" t="str" cm="1">
        <f t="array" ref="A1125">IF(INDEX(CUEs!$A:$A,INT((ROW()-1)/7)*57+MOD(ROW()-1,7)+50)&lt;&gt;"","set "&amp;INDEX(CUEs!$A:$A,INT((ROW()-1)/7)*57+MOD(ROW()-1,7)+50)&amp;"=/ s "&amp;INDEX(CUEs!$B:$B,INT((ROW()-1)/7)*57+MOD(ROW()-1,7)+50),"")</f>
        <v/>
      </c>
    </row>
    <row r="1126" spans="1:1" x14ac:dyDescent="0.25">
      <c r="A1126" t="str" cm="1">
        <f t="array" ref="A1126">IF(INDEX(CUEs!$A:$A,INT((ROW()-1)/7)*57+MOD(ROW()-1,7)+50)&lt;&gt;"","set "&amp;INDEX(CUEs!$A:$A,INT((ROW()-1)/7)*57+MOD(ROW()-1,7)+50)&amp;"=/ s "&amp;INDEX(CUEs!$B:$B,INT((ROW()-1)/7)*57+MOD(ROW()-1,7)+50),"")</f>
        <v/>
      </c>
    </row>
    <row r="1127" spans="1:1" x14ac:dyDescent="0.25">
      <c r="A1127" t="str" cm="1">
        <f t="array" ref="A1127">IF(INDEX(CUEs!$A:$A,INT((ROW()-1)/7)*57+MOD(ROW()-1,7)+50)&lt;&gt;"","set "&amp;INDEX(CUEs!$A:$A,INT((ROW()-1)/7)*57+MOD(ROW()-1,7)+50)&amp;"=/ s "&amp;INDEX(CUEs!$B:$B,INT((ROW()-1)/7)*57+MOD(ROW()-1,7)+50),"")</f>
        <v/>
      </c>
    </row>
    <row r="1128" spans="1:1" x14ac:dyDescent="0.25">
      <c r="A1128" t="str" cm="1">
        <f t="array" ref="A1128">IF(INDEX(CUEs!$A:$A,INT((ROW()-1)/7)*57+MOD(ROW()-1,7)+50)&lt;&gt;"","set "&amp;INDEX(CUEs!$A:$A,INT((ROW()-1)/7)*57+MOD(ROW()-1,7)+50)&amp;"=/ s "&amp;INDEX(CUEs!$B:$B,INT((ROW()-1)/7)*57+MOD(ROW()-1,7)+50),"")</f>
        <v/>
      </c>
    </row>
    <row r="1129" spans="1:1" x14ac:dyDescent="0.25">
      <c r="A1129" t="str" cm="1">
        <f t="array" ref="A1129">IF(INDEX(CUEs!$A:$A,INT((ROW()-1)/7)*57+MOD(ROW()-1,7)+50)&lt;&gt;"","set "&amp;INDEX(CUEs!$A:$A,INT((ROW()-1)/7)*57+MOD(ROW()-1,7)+50)&amp;"=/ s "&amp;INDEX(CUEs!$B:$B,INT((ROW()-1)/7)*57+MOD(ROW()-1,7)+50),"")</f>
        <v/>
      </c>
    </row>
    <row r="1130" spans="1:1" x14ac:dyDescent="0.25">
      <c r="A1130" t="str" cm="1">
        <f t="array" ref="A1130">IF(INDEX(CUEs!$A:$A,INT((ROW()-1)/7)*57+MOD(ROW()-1,7)+50)&lt;&gt;"","set "&amp;INDEX(CUEs!$A:$A,INT((ROW()-1)/7)*57+MOD(ROW()-1,7)+50)&amp;"=/ s "&amp;INDEX(CUEs!$B:$B,INT((ROW()-1)/7)*57+MOD(ROW()-1,7)+50),"")</f>
        <v/>
      </c>
    </row>
    <row r="1131" spans="1:1" x14ac:dyDescent="0.25">
      <c r="A1131" t="str" cm="1">
        <f t="array" ref="A1131">IF(INDEX(CUEs!$A:$A,INT((ROW()-1)/7)*57+MOD(ROW()-1,7)+50)&lt;&gt;"","set "&amp;INDEX(CUEs!$A:$A,INT((ROW()-1)/7)*57+MOD(ROW()-1,7)+50)&amp;"=/ s "&amp;INDEX(CUEs!$B:$B,INT((ROW()-1)/7)*57+MOD(ROW()-1,7)+50),"")</f>
        <v/>
      </c>
    </row>
    <row r="1132" spans="1:1" x14ac:dyDescent="0.25">
      <c r="A1132" t="str" cm="1">
        <f t="array" ref="A1132">IF(INDEX(CUEs!$A:$A,INT((ROW()-1)/7)*57+MOD(ROW()-1,7)+50)&lt;&gt;"","set "&amp;INDEX(CUEs!$A:$A,INT((ROW()-1)/7)*57+MOD(ROW()-1,7)+50)&amp;"=/ s "&amp;INDEX(CUEs!$B:$B,INT((ROW()-1)/7)*57+MOD(ROW()-1,7)+50),"")</f>
        <v/>
      </c>
    </row>
    <row r="1133" spans="1:1" x14ac:dyDescent="0.25">
      <c r="A1133" t="str" cm="1">
        <f t="array" ref="A1133">IF(INDEX(CUEs!$A:$A,INT((ROW()-1)/7)*57+MOD(ROW()-1,7)+50)&lt;&gt;"","set "&amp;INDEX(CUEs!$A:$A,INT((ROW()-1)/7)*57+MOD(ROW()-1,7)+50)&amp;"=/ s "&amp;INDEX(CUEs!$B:$B,INT((ROW()-1)/7)*57+MOD(ROW()-1,7)+50),"")</f>
        <v/>
      </c>
    </row>
    <row r="1134" spans="1:1" x14ac:dyDescent="0.25">
      <c r="A1134" t="str" cm="1">
        <f t="array" ref="A1134">IF(INDEX(CUEs!$A:$A,INT((ROW()-1)/7)*57+MOD(ROW()-1,7)+50)&lt;&gt;"","set "&amp;INDEX(CUEs!$A:$A,INT((ROW()-1)/7)*57+MOD(ROW()-1,7)+50)&amp;"=/ s "&amp;INDEX(CUEs!$B:$B,INT((ROW()-1)/7)*57+MOD(ROW()-1,7)+50),"")</f>
        <v/>
      </c>
    </row>
    <row r="1135" spans="1:1" x14ac:dyDescent="0.25">
      <c r="A1135" t="str" cm="1">
        <f t="array" ref="A1135">IF(INDEX(CUEs!$A:$A,INT((ROW()-1)/7)*57+MOD(ROW()-1,7)+50)&lt;&gt;"","set "&amp;INDEX(CUEs!$A:$A,INT((ROW()-1)/7)*57+MOD(ROW()-1,7)+50)&amp;"=/ s "&amp;INDEX(CUEs!$B:$B,INT((ROW()-1)/7)*57+MOD(ROW()-1,7)+50),"")</f>
        <v/>
      </c>
    </row>
    <row r="1136" spans="1:1" x14ac:dyDescent="0.25">
      <c r="A1136" t="str" cm="1">
        <f t="array" ref="A1136">IF(INDEX(CUEs!$A:$A,INT((ROW()-1)/7)*57+MOD(ROW()-1,7)+50)&lt;&gt;"","set "&amp;INDEX(CUEs!$A:$A,INT((ROW()-1)/7)*57+MOD(ROW()-1,7)+50)&amp;"=/ s "&amp;INDEX(CUEs!$B:$B,INT((ROW()-1)/7)*57+MOD(ROW()-1,7)+50),"")</f>
        <v/>
      </c>
    </row>
    <row r="1137" spans="1:1" x14ac:dyDescent="0.25">
      <c r="A1137" t="str" cm="1">
        <f t="array" ref="A1137">IF(INDEX(CUEs!$A:$A,INT((ROW()-1)/7)*57+MOD(ROW()-1,7)+50)&lt;&gt;"","set "&amp;INDEX(CUEs!$A:$A,INT((ROW()-1)/7)*57+MOD(ROW()-1,7)+50)&amp;"=/ s "&amp;INDEX(CUEs!$B:$B,INT((ROW()-1)/7)*57+MOD(ROW()-1,7)+50),"")</f>
        <v/>
      </c>
    </row>
    <row r="1138" spans="1:1" x14ac:dyDescent="0.25">
      <c r="A1138" t="str" cm="1">
        <f t="array" ref="A1138">IF(INDEX(CUEs!$A:$A,INT((ROW()-1)/7)*57+MOD(ROW()-1,7)+50)&lt;&gt;"","set "&amp;INDEX(CUEs!$A:$A,INT((ROW()-1)/7)*57+MOD(ROW()-1,7)+50)&amp;"=/ s "&amp;INDEX(CUEs!$B:$B,INT((ROW()-1)/7)*57+MOD(ROW()-1,7)+50),"")</f>
        <v/>
      </c>
    </row>
    <row r="1139" spans="1:1" x14ac:dyDescent="0.25">
      <c r="A1139" t="str" cm="1">
        <f t="array" ref="A1139">IF(INDEX(CUEs!$A:$A,INT((ROW()-1)/7)*57+MOD(ROW()-1,7)+50)&lt;&gt;"","set "&amp;INDEX(CUEs!$A:$A,INT((ROW()-1)/7)*57+MOD(ROW()-1,7)+50)&amp;"=/ s "&amp;INDEX(CUEs!$B:$B,INT((ROW()-1)/7)*57+MOD(ROW()-1,7)+50),"")</f>
        <v/>
      </c>
    </row>
    <row r="1140" spans="1:1" x14ac:dyDescent="0.25">
      <c r="A1140" t="str" cm="1">
        <f t="array" ref="A1140">IF(INDEX(CUEs!$A:$A,INT((ROW()-1)/7)*57+MOD(ROW()-1,7)+50)&lt;&gt;"","set "&amp;INDEX(CUEs!$A:$A,INT((ROW()-1)/7)*57+MOD(ROW()-1,7)+50)&amp;"=/ s "&amp;INDEX(CUEs!$B:$B,INT((ROW()-1)/7)*57+MOD(ROW()-1,7)+50),"")</f>
        <v/>
      </c>
    </row>
    <row r="1141" spans="1:1" x14ac:dyDescent="0.25">
      <c r="A1141" t="str" cm="1">
        <f t="array" ref="A1141">IF(INDEX(CUEs!$A:$A,INT((ROW()-1)/7)*57+MOD(ROW()-1,7)+50)&lt;&gt;"","set "&amp;INDEX(CUEs!$A:$A,INT((ROW()-1)/7)*57+MOD(ROW()-1,7)+50)&amp;"=/ s "&amp;INDEX(CUEs!$B:$B,INT((ROW()-1)/7)*57+MOD(ROW()-1,7)+50),"")</f>
        <v/>
      </c>
    </row>
    <row r="1142" spans="1:1" x14ac:dyDescent="0.25">
      <c r="A1142" t="str" cm="1">
        <f t="array" ref="A1142">IF(INDEX(CUEs!$A:$A,INT((ROW()-1)/7)*57+MOD(ROW()-1,7)+50)&lt;&gt;"","set "&amp;INDEX(CUEs!$A:$A,INT((ROW()-1)/7)*57+MOD(ROW()-1,7)+50)&amp;"=/ s "&amp;INDEX(CUEs!$B:$B,INT((ROW()-1)/7)*57+MOD(ROW()-1,7)+50),"")</f>
        <v/>
      </c>
    </row>
    <row r="1143" spans="1:1" x14ac:dyDescent="0.25">
      <c r="A1143" t="str" cm="1">
        <f t="array" ref="A1143">IF(INDEX(CUEs!$A:$A,INT((ROW()-1)/7)*57+MOD(ROW()-1,7)+50)&lt;&gt;"","set "&amp;INDEX(CUEs!$A:$A,INT((ROW()-1)/7)*57+MOD(ROW()-1,7)+50)&amp;"=/ s "&amp;INDEX(CUEs!$B:$B,INT((ROW()-1)/7)*57+MOD(ROW()-1,7)+50),"")</f>
        <v/>
      </c>
    </row>
    <row r="1144" spans="1:1" x14ac:dyDescent="0.25">
      <c r="A1144" t="str" cm="1">
        <f t="array" ref="A1144">IF(INDEX(CUEs!$A:$A,INT((ROW()-1)/7)*57+MOD(ROW()-1,7)+50)&lt;&gt;"","set "&amp;INDEX(CUEs!$A:$A,INT((ROW()-1)/7)*57+MOD(ROW()-1,7)+50)&amp;"=/ s "&amp;INDEX(CUEs!$B:$B,INT((ROW()-1)/7)*57+MOD(ROW()-1,7)+50),"")</f>
        <v/>
      </c>
    </row>
    <row r="1145" spans="1:1" x14ac:dyDescent="0.25">
      <c r="A1145" t="str" cm="1">
        <f t="array" ref="A1145">IF(INDEX(CUEs!$A:$A,INT((ROW()-1)/7)*57+MOD(ROW()-1,7)+50)&lt;&gt;"","set "&amp;INDEX(CUEs!$A:$A,INT((ROW()-1)/7)*57+MOD(ROW()-1,7)+50)&amp;"=/ s "&amp;INDEX(CUEs!$B:$B,INT((ROW()-1)/7)*57+MOD(ROW()-1,7)+50),"")</f>
        <v/>
      </c>
    </row>
    <row r="1146" spans="1:1" x14ac:dyDescent="0.25">
      <c r="A1146" t="str" cm="1">
        <f t="array" ref="A1146">IF(INDEX(CUEs!$A:$A,INT((ROW()-1)/7)*57+MOD(ROW()-1,7)+50)&lt;&gt;"","set "&amp;INDEX(CUEs!$A:$A,INT((ROW()-1)/7)*57+MOD(ROW()-1,7)+50)&amp;"=/ s "&amp;INDEX(CUEs!$B:$B,INT((ROW()-1)/7)*57+MOD(ROW()-1,7)+50),"")</f>
        <v/>
      </c>
    </row>
    <row r="1147" spans="1:1" x14ac:dyDescent="0.25">
      <c r="A1147" t="str" cm="1">
        <f t="array" ref="A1147">IF(INDEX(CUEs!$A:$A,INT((ROW()-1)/7)*57+MOD(ROW()-1,7)+50)&lt;&gt;"","set "&amp;INDEX(CUEs!$A:$A,INT((ROW()-1)/7)*57+MOD(ROW()-1,7)+50)&amp;"=/ s "&amp;INDEX(CUEs!$B:$B,INT((ROW()-1)/7)*57+MOD(ROW()-1,7)+50),"")</f>
        <v/>
      </c>
    </row>
    <row r="1148" spans="1:1" x14ac:dyDescent="0.25">
      <c r="A1148" t="str" cm="1">
        <f t="array" ref="A1148">IF(INDEX(CUEs!$A:$A,INT((ROW()-1)/7)*57+MOD(ROW()-1,7)+50)&lt;&gt;"","set "&amp;INDEX(CUEs!$A:$A,INT((ROW()-1)/7)*57+MOD(ROW()-1,7)+50)&amp;"=/ s "&amp;INDEX(CUEs!$B:$B,INT((ROW()-1)/7)*57+MOD(ROW()-1,7)+50),"")</f>
        <v/>
      </c>
    </row>
    <row r="1149" spans="1:1" x14ac:dyDescent="0.25">
      <c r="A1149" t="str" cm="1">
        <f t="array" ref="A1149">IF(INDEX(CUEs!$A:$A,INT((ROW()-1)/7)*57+MOD(ROW()-1,7)+50)&lt;&gt;"","set "&amp;INDEX(CUEs!$A:$A,INT((ROW()-1)/7)*57+MOD(ROW()-1,7)+50)&amp;"=/ s "&amp;INDEX(CUEs!$B:$B,INT((ROW()-1)/7)*57+MOD(ROW()-1,7)+50),"")</f>
        <v/>
      </c>
    </row>
    <row r="1150" spans="1:1" x14ac:dyDescent="0.25">
      <c r="A1150" t="str" cm="1">
        <f t="array" ref="A1150">IF(INDEX(CUEs!$A:$A,INT((ROW()-1)/7)*57+MOD(ROW()-1,7)+50)&lt;&gt;"","set "&amp;INDEX(CUEs!$A:$A,INT((ROW()-1)/7)*57+MOD(ROW()-1,7)+50)&amp;"=/ s "&amp;INDEX(CUEs!$B:$B,INT((ROW()-1)/7)*57+MOD(ROW()-1,7)+50),"")</f>
        <v/>
      </c>
    </row>
    <row r="1151" spans="1:1" x14ac:dyDescent="0.25">
      <c r="A1151" t="str" cm="1">
        <f t="array" ref="A1151">IF(INDEX(CUEs!$A:$A,INT((ROW()-1)/7)*57+MOD(ROW()-1,7)+50)&lt;&gt;"","set "&amp;INDEX(CUEs!$A:$A,INT((ROW()-1)/7)*57+MOD(ROW()-1,7)+50)&amp;"=/ s "&amp;INDEX(CUEs!$B:$B,INT((ROW()-1)/7)*57+MOD(ROW()-1,7)+50),"")</f>
        <v/>
      </c>
    </row>
    <row r="1152" spans="1:1" x14ac:dyDescent="0.25">
      <c r="A1152" t="str" cm="1">
        <f t="array" ref="A1152">IF(INDEX(CUEs!$A:$A,INT((ROW()-1)/7)*57+MOD(ROW()-1,7)+50)&lt;&gt;"","set "&amp;INDEX(CUEs!$A:$A,INT((ROW()-1)/7)*57+MOD(ROW()-1,7)+50)&amp;"=/ s "&amp;INDEX(CUEs!$B:$B,INT((ROW()-1)/7)*57+MOD(ROW()-1,7)+50),"")</f>
        <v/>
      </c>
    </row>
    <row r="1153" spans="1:1" x14ac:dyDescent="0.25">
      <c r="A1153" t="str" cm="1">
        <f t="array" ref="A1153">IF(INDEX(CUEs!$A:$A,INT((ROW()-1)/7)*57+MOD(ROW()-1,7)+50)&lt;&gt;"","set "&amp;INDEX(CUEs!$A:$A,INT((ROW()-1)/7)*57+MOD(ROW()-1,7)+50)&amp;"=/ s "&amp;INDEX(CUEs!$B:$B,INT((ROW()-1)/7)*57+MOD(ROW()-1,7)+50),"")</f>
        <v/>
      </c>
    </row>
    <row r="1154" spans="1:1" x14ac:dyDescent="0.25">
      <c r="A1154" t="str" cm="1">
        <f t="array" ref="A1154">IF(INDEX(CUEs!$A:$A,INT((ROW()-1)/7)*57+MOD(ROW()-1,7)+50)&lt;&gt;"","set "&amp;INDEX(CUEs!$A:$A,INT((ROW()-1)/7)*57+MOD(ROW()-1,7)+50)&amp;"=/ s "&amp;INDEX(CUEs!$B:$B,INT((ROW()-1)/7)*57+MOD(ROW()-1,7)+50),"")</f>
        <v/>
      </c>
    </row>
    <row r="1155" spans="1:1" x14ac:dyDescent="0.25">
      <c r="A1155" t="str" cm="1">
        <f t="array" ref="A1155">IF(INDEX(CUEs!$A:$A,INT((ROW()-1)/7)*57+MOD(ROW()-1,7)+50)&lt;&gt;"","set "&amp;INDEX(CUEs!$A:$A,INT((ROW()-1)/7)*57+MOD(ROW()-1,7)+50)&amp;"=/ s "&amp;INDEX(CUEs!$B:$B,INT((ROW()-1)/7)*57+MOD(ROW()-1,7)+50),"")</f>
        <v/>
      </c>
    </row>
    <row r="1156" spans="1:1" x14ac:dyDescent="0.25">
      <c r="A1156" t="str" cm="1">
        <f t="array" ref="A1156">IF(INDEX(CUEs!$A:$A,INT((ROW()-1)/7)*57+MOD(ROW()-1,7)+50)&lt;&gt;"","set "&amp;INDEX(CUEs!$A:$A,INT((ROW()-1)/7)*57+MOD(ROW()-1,7)+50)&amp;"=/ s "&amp;INDEX(CUEs!$B:$B,INT((ROW()-1)/7)*57+MOD(ROW()-1,7)+50),"")</f>
        <v/>
      </c>
    </row>
    <row r="1157" spans="1:1" x14ac:dyDescent="0.25">
      <c r="A1157" t="str" cm="1">
        <f t="array" ref="A1157">IF(INDEX(CUEs!$A:$A,INT((ROW()-1)/7)*57+MOD(ROW()-1,7)+50)&lt;&gt;"","set "&amp;INDEX(CUEs!$A:$A,INT((ROW()-1)/7)*57+MOD(ROW()-1,7)+50)&amp;"=/ s "&amp;INDEX(CUEs!$B:$B,INT((ROW()-1)/7)*57+MOD(ROW()-1,7)+50),"")</f>
        <v/>
      </c>
    </row>
    <row r="1158" spans="1:1" x14ac:dyDescent="0.25">
      <c r="A1158" t="str" cm="1">
        <f t="array" ref="A1158">IF(INDEX(CUEs!$A:$A,INT((ROW()-1)/7)*57+MOD(ROW()-1,7)+50)&lt;&gt;"","set "&amp;INDEX(CUEs!$A:$A,INT((ROW()-1)/7)*57+MOD(ROW()-1,7)+50)&amp;"=/ s "&amp;INDEX(CUEs!$B:$B,INT((ROW()-1)/7)*57+MOD(ROW()-1,7)+50),"")</f>
        <v/>
      </c>
    </row>
    <row r="1159" spans="1:1" x14ac:dyDescent="0.25">
      <c r="A1159" t="str" cm="1">
        <f t="array" ref="A1159">IF(INDEX(CUEs!$A:$A,INT((ROW()-1)/7)*57+MOD(ROW()-1,7)+50)&lt;&gt;"","set "&amp;INDEX(CUEs!$A:$A,INT((ROW()-1)/7)*57+MOD(ROW()-1,7)+50)&amp;"=/ s "&amp;INDEX(CUEs!$B:$B,INT((ROW()-1)/7)*57+MOD(ROW()-1,7)+50),"")</f>
        <v/>
      </c>
    </row>
    <row r="1160" spans="1:1" x14ac:dyDescent="0.25">
      <c r="A1160" t="str" cm="1">
        <f t="array" ref="A1160">IF(INDEX(CUEs!$A:$A,INT((ROW()-1)/7)*57+MOD(ROW()-1,7)+50)&lt;&gt;"","set "&amp;INDEX(CUEs!$A:$A,INT((ROW()-1)/7)*57+MOD(ROW()-1,7)+50)&amp;"=/ s "&amp;INDEX(CUEs!$B:$B,INT((ROW()-1)/7)*57+MOD(ROW()-1,7)+50),"")</f>
        <v/>
      </c>
    </row>
    <row r="1161" spans="1:1" x14ac:dyDescent="0.25">
      <c r="A1161" t="str" cm="1">
        <f t="array" ref="A1161">IF(INDEX(CUEs!$A:$A,INT((ROW()-1)/7)*57+MOD(ROW()-1,7)+50)&lt;&gt;"","set "&amp;INDEX(CUEs!$A:$A,INT((ROW()-1)/7)*57+MOD(ROW()-1,7)+50)&amp;"=/ s "&amp;INDEX(CUEs!$B:$B,INT((ROW()-1)/7)*57+MOD(ROW()-1,7)+50),"")</f>
        <v/>
      </c>
    </row>
    <row r="1162" spans="1:1" x14ac:dyDescent="0.25">
      <c r="A1162" t="str" cm="1">
        <f t="array" ref="A1162">IF(INDEX(CUEs!$A:$A,INT((ROW()-1)/7)*57+MOD(ROW()-1,7)+50)&lt;&gt;"","set "&amp;INDEX(CUEs!$A:$A,INT((ROW()-1)/7)*57+MOD(ROW()-1,7)+50)&amp;"=/ s "&amp;INDEX(CUEs!$B:$B,INT((ROW()-1)/7)*57+MOD(ROW()-1,7)+50),"")</f>
        <v/>
      </c>
    </row>
    <row r="1163" spans="1:1" x14ac:dyDescent="0.25">
      <c r="A1163" t="str" cm="1">
        <f t="array" ref="A1163">IF(INDEX(CUEs!$A:$A,INT((ROW()-1)/7)*57+MOD(ROW()-1,7)+50)&lt;&gt;"","set "&amp;INDEX(CUEs!$A:$A,INT((ROW()-1)/7)*57+MOD(ROW()-1,7)+50)&amp;"=/ s "&amp;INDEX(CUEs!$B:$B,INT((ROW()-1)/7)*57+MOD(ROW()-1,7)+50),"")</f>
        <v/>
      </c>
    </row>
    <row r="1164" spans="1:1" x14ac:dyDescent="0.25">
      <c r="A1164" t="str" cm="1">
        <f t="array" ref="A1164">IF(INDEX(CUEs!$A:$A,INT((ROW()-1)/7)*57+MOD(ROW()-1,7)+50)&lt;&gt;"","set "&amp;INDEX(CUEs!$A:$A,INT((ROW()-1)/7)*57+MOD(ROW()-1,7)+50)&amp;"=/ s "&amp;INDEX(CUEs!$B:$B,INT((ROW()-1)/7)*57+MOD(ROW()-1,7)+50),"")</f>
        <v/>
      </c>
    </row>
    <row r="1165" spans="1:1" x14ac:dyDescent="0.25">
      <c r="A1165" t="str" cm="1">
        <f t="array" ref="A1165">IF(INDEX(CUEs!$A:$A,INT((ROW()-1)/7)*57+MOD(ROW()-1,7)+50)&lt;&gt;"","set "&amp;INDEX(CUEs!$A:$A,INT((ROW()-1)/7)*57+MOD(ROW()-1,7)+50)&amp;"=/ s "&amp;INDEX(CUEs!$B:$B,INT((ROW()-1)/7)*57+MOD(ROW()-1,7)+50),"")</f>
        <v/>
      </c>
    </row>
    <row r="1166" spans="1:1" x14ac:dyDescent="0.25">
      <c r="A1166" t="str" cm="1">
        <f t="array" ref="A1166">IF(INDEX(CUEs!$A:$A,INT((ROW()-1)/7)*57+MOD(ROW()-1,7)+50)&lt;&gt;"","set "&amp;INDEX(CUEs!$A:$A,INT((ROW()-1)/7)*57+MOD(ROW()-1,7)+50)&amp;"=/ s "&amp;INDEX(CUEs!$B:$B,INT((ROW()-1)/7)*57+MOD(ROW()-1,7)+50),"")</f>
        <v/>
      </c>
    </row>
    <row r="1167" spans="1:1" x14ac:dyDescent="0.25">
      <c r="A1167" t="str" cm="1">
        <f t="array" ref="A1167">IF(INDEX(CUEs!$A:$A,INT((ROW()-1)/7)*57+MOD(ROW()-1,7)+50)&lt;&gt;"","set "&amp;INDEX(CUEs!$A:$A,INT((ROW()-1)/7)*57+MOD(ROW()-1,7)+50)&amp;"=/ s "&amp;INDEX(CUEs!$B:$B,INT((ROW()-1)/7)*57+MOD(ROW()-1,7)+50),"")</f>
        <v/>
      </c>
    </row>
    <row r="1168" spans="1:1" x14ac:dyDescent="0.25">
      <c r="A1168" t="str" cm="1">
        <f t="array" ref="A1168">IF(INDEX(CUEs!$A:$A,INT((ROW()-1)/7)*57+MOD(ROW()-1,7)+50)&lt;&gt;"","set "&amp;INDEX(CUEs!$A:$A,INT((ROW()-1)/7)*57+MOD(ROW()-1,7)+50)&amp;"=/ s "&amp;INDEX(CUEs!$B:$B,INT((ROW()-1)/7)*57+MOD(ROW()-1,7)+50),"")</f>
        <v/>
      </c>
    </row>
    <row r="1169" spans="1:1" x14ac:dyDescent="0.25">
      <c r="A1169" t="str" cm="1">
        <f t="array" ref="A1169">IF(INDEX(CUEs!$A:$A,INT((ROW()-1)/7)*57+MOD(ROW()-1,7)+50)&lt;&gt;"","set "&amp;INDEX(CUEs!$A:$A,INT((ROW()-1)/7)*57+MOD(ROW()-1,7)+50)&amp;"=/ s "&amp;INDEX(CUEs!$B:$B,INT((ROW()-1)/7)*57+MOD(ROW()-1,7)+50),"")</f>
        <v/>
      </c>
    </row>
    <row r="1170" spans="1:1" x14ac:dyDescent="0.25">
      <c r="A1170" t="str" cm="1">
        <f t="array" ref="A1170">IF(INDEX(CUEs!$A:$A,INT((ROW()-1)/7)*57+MOD(ROW()-1,7)+50)&lt;&gt;"","set "&amp;INDEX(CUEs!$A:$A,INT((ROW()-1)/7)*57+MOD(ROW()-1,7)+50)&amp;"=/ s "&amp;INDEX(CUEs!$B:$B,INT((ROW()-1)/7)*57+MOD(ROW()-1,7)+50),"")</f>
        <v/>
      </c>
    </row>
    <row r="1171" spans="1:1" x14ac:dyDescent="0.25">
      <c r="A1171" t="str" cm="1">
        <f t="array" ref="A1171">IF(INDEX(CUEs!$A:$A,INT((ROW()-1)/7)*57+MOD(ROW()-1,7)+50)&lt;&gt;"","set "&amp;INDEX(CUEs!$A:$A,INT((ROW()-1)/7)*57+MOD(ROW()-1,7)+50)&amp;"=/ s "&amp;INDEX(CUEs!$B:$B,INT((ROW()-1)/7)*57+MOD(ROW()-1,7)+50),"")</f>
        <v/>
      </c>
    </row>
    <row r="1172" spans="1:1" x14ac:dyDescent="0.25">
      <c r="A1172" t="str" cm="1">
        <f t="array" ref="A1172">IF(INDEX(CUEs!$A:$A,INT((ROW()-1)/7)*57+MOD(ROW()-1,7)+50)&lt;&gt;"","set "&amp;INDEX(CUEs!$A:$A,INT((ROW()-1)/7)*57+MOD(ROW()-1,7)+50)&amp;"=/ s "&amp;INDEX(CUEs!$B:$B,INT((ROW()-1)/7)*57+MOD(ROW()-1,7)+50),"")</f>
        <v/>
      </c>
    </row>
    <row r="1173" spans="1:1" x14ac:dyDescent="0.25">
      <c r="A1173" t="str" cm="1">
        <f t="array" ref="A1173">IF(INDEX(CUEs!$A:$A,INT((ROW()-1)/7)*57+MOD(ROW()-1,7)+50)&lt;&gt;"","set "&amp;INDEX(CUEs!$A:$A,INT((ROW()-1)/7)*57+MOD(ROW()-1,7)+50)&amp;"=/ s "&amp;INDEX(CUEs!$B:$B,INT((ROW()-1)/7)*57+MOD(ROW()-1,7)+50),"")</f>
        <v/>
      </c>
    </row>
    <row r="1174" spans="1:1" x14ac:dyDescent="0.25">
      <c r="A1174" t="str" cm="1">
        <f t="array" ref="A1174">IF(INDEX(CUEs!$A:$A,INT((ROW()-1)/7)*57+MOD(ROW()-1,7)+50)&lt;&gt;"","set "&amp;INDEX(CUEs!$A:$A,INT((ROW()-1)/7)*57+MOD(ROW()-1,7)+50)&amp;"=/ s "&amp;INDEX(CUEs!$B:$B,INT((ROW()-1)/7)*57+MOD(ROW()-1,7)+50),"")</f>
        <v/>
      </c>
    </row>
    <row r="1175" spans="1:1" x14ac:dyDescent="0.25">
      <c r="A1175" t="str" cm="1">
        <f t="array" ref="A1175">IF(INDEX(CUEs!$A:$A,INT((ROW()-1)/7)*57+MOD(ROW()-1,7)+50)&lt;&gt;"","set "&amp;INDEX(CUEs!$A:$A,INT((ROW()-1)/7)*57+MOD(ROW()-1,7)+50)&amp;"=/ s "&amp;INDEX(CUEs!$B:$B,INT((ROW()-1)/7)*57+MOD(ROW()-1,7)+50),"")</f>
        <v/>
      </c>
    </row>
    <row r="1176" spans="1:1" x14ac:dyDescent="0.25">
      <c r="A1176" t="str" cm="1">
        <f t="array" ref="A1176">IF(INDEX(CUEs!$A:$A,INT((ROW()-1)/7)*57+MOD(ROW()-1,7)+50)&lt;&gt;"","set "&amp;INDEX(CUEs!$A:$A,INT((ROW()-1)/7)*57+MOD(ROW()-1,7)+50)&amp;"=/ s "&amp;INDEX(CUEs!$B:$B,INT((ROW()-1)/7)*57+MOD(ROW()-1,7)+50),"")</f>
        <v/>
      </c>
    </row>
    <row r="1177" spans="1:1" x14ac:dyDescent="0.25">
      <c r="A1177" t="str" cm="1">
        <f t="array" ref="A1177">IF(INDEX(CUEs!$A:$A,INT((ROW()-1)/7)*57+MOD(ROW()-1,7)+50)&lt;&gt;"","set "&amp;INDEX(CUEs!$A:$A,INT((ROW()-1)/7)*57+MOD(ROW()-1,7)+50)&amp;"=/ s "&amp;INDEX(CUEs!$B:$B,INT((ROW()-1)/7)*57+MOD(ROW()-1,7)+50),"")</f>
        <v/>
      </c>
    </row>
    <row r="1178" spans="1:1" x14ac:dyDescent="0.25">
      <c r="A1178" t="str" cm="1">
        <f t="array" ref="A1178">IF(INDEX(CUEs!$A:$A,INT((ROW()-1)/7)*57+MOD(ROW()-1,7)+50)&lt;&gt;"","set "&amp;INDEX(CUEs!$A:$A,INT((ROW()-1)/7)*57+MOD(ROW()-1,7)+50)&amp;"=/ s "&amp;INDEX(CUEs!$B:$B,INT((ROW()-1)/7)*57+MOD(ROW()-1,7)+50),"")</f>
        <v/>
      </c>
    </row>
    <row r="1179" spans="1:1" x14ac:dyDescent="0.25">
      <c r="A1179" t="str" cm="1">
        <f t="array" ref="A1179">IF(INDEX(CUEs!$A:$A,INT((ROW()-1)/7)*57+MOD(ROW()-1,7)+50)&lt;&gt;"","set "&amp;INDEX(CUEs!$A:$A,INT((ROW()-1)/7)*57+MOD(ROW()-1,7)+50)&amp;"=/ s "&amp;INDEX(CUEs!$B:$B,INT((ROW()-1)/7)*57+MOD(ROW()-1,7)+50),"")</f>
        <v/>
      </c>
    </row>
    <row r="1180" spans="1:1" x14ac:dyDescent="0.25">
      <c r="A1180" t="str" cm="1">
        <f t="array" ref="A1180">IF(INDEX(CUEs!$A:$A,INT((ROW()-1)/7)*57+MOD(ROW()-1,7)+50)&lt;&gt;"","set "&amp;INDEX(CUEs!$A:$A,INT((ROW()-1)/7)*57+MOD(ROW()-1,7)+50)&amp;"=/ s "&amp;INDEX(CUEs!$B:$B,INT((ROW()-1)/7)*57+MOD(ROW()-1,7)+50),"")</f>
        <v/>
      </c>
    </row>
    <row r="1181" spans="1:1" x14ac:dyDescent="0.25">
      <c r="A1181" t="str" cm="1">
        <f t="array" ref="A1181">IF(INDEX(CUEs!$A:$A,INT((ROW()-1)/7)*57+MOD(ROW()-1,7)+50)&lt;&gt;"","set "&amp;INDEX(CUEs!$A:$A,INT((ROW()-1)/7)*57+MOD(ROW()-1,7)+50)&amp;"=/ s "&amp;INDEX(CUEs!$B:$B,INT((ROW()-1)/7)*57+MOD(ROW()-1,7)+50),"")</f>
        <v/>
      </c>
    </row>
    <row r="1182" spans="1:1" x14ac:dyDescent="0.25">
      <c r="A1182" t="str" cm="1">
        <f t="array" ref="A1182">IF(INDEX(CUEs!$A:$A,INT((ROW()-1)/7)*57+MOD(ROW()-1,7)+50)&lt;&gt;"","set "&amp;INDEX(CUEs!$A:$A,INT((ROW()-1)/7)*57+MOD(ROW()-1,7)+50)&amp;"=/ s "&amp;INDEX(CUEs!$B:$B,INT((ROW()-1)/7)*57+MOD(ROW()-1,7)+50),"")</f>
        <v/>
      </c>
    </row>
    <row r="1183" spans="1:1" x14ac:dyDescent="0.25">
      <c r="A1183" t="str" cm="1">
        <f t="array" ref="A1183">IF(INDEX(CUEs!$A:$A,INT((ROW()-1)/7)*57+MOD(ROW()-1,7)+50)&lt;&gt;"","set "&amp;INDEX(CUEs!$A:$A,INT((ROW()-1)/7)*57+MOD(ROW()-1,7)+50)&amp;"=/ s "&amp;INDEX(CUEs!$B:$B,INT((ROW()-1)/7)*57+MOD(ROW()-1,7)+50),"")</f>
        <v/>
      </c>
    </row>
    <row r="1184" spans="1:1" x14ac:dyDescent="0.25">
      <c r="A1184" t="str" cm="1">
        <f t="array" ref="A1184">IF(INDEX(CUEs!$A:$A,INT((ROW()-1)/7)*57+MOD(ROW()-1,7)+50)&lt;&gt;"","set "&amp;INDEX(CUEs!$A:$A,INT((ROW()-1)/7)*57+MOD(ROW()-1,7)+50)&amp;"=/ s "&amp;INDEX(CUEs!$B:$B,INT((ROW()-1)/7)*57+MOD(ROW()-1,7)+50),"")</f>
        <v/>
      </c>
    </row>
    <row r="1185" spans="1:1" x14ac:dyDescent="0.25">
      <c r="A1185" t="str" cm="1">
        <f t="array" ref="A1185">IF(INDEX(CUEs!$A:$A,INT((ROW()-1)/7)*57+MOD(ROW()-1,7)+50)&lt;&gt;"","set "&amp;INDEX(CUEs!$A:$A,INT((ROW()-1)/7)*57+MOD(ROW()-1,7)+50)&amp;"=/ s "&amp;INDEX(CUEs!$B:$B,INT((ROW()-1)/7)*57+MOD(ROW()-1,7)+50),"")</f>
        <v/>
      </c>
    </row>
    <row r="1186" spans="1:1" x14ac:dyDescent="0.25">
      <c r="A1186" t="str" cm="1">
        <f t="array" ref="A1186">IF(INDEX(CUEs!$A:$A,INT((ROW()-1)/7)*57+MOD(ROW()-1,7)+50)&lt;&gt;"","set "&amp;INDEX(CUEs!$A:$A,INT((ROW()-1)/7)*57+MOD(ROW()-1,7)+50)&amp;"=/ s "&amp;INDEX(CUEs!$B:$B,INT((ROW()-1)/7)*57+MOD(ROW()-1,7)+50),"")</f>
        <v/>
      </c>
    </row>
    <row r="1187" spans="1:1" x14ac:dyDescent="0.25">
      <c r="A1187" t="str" cm="1">
        <f t="array" ref="A1187">IF(INDEX(CUEs!$A:$A,INT((ROW()-1)/7)*57+MOD(ROW()-1,7)+50)&lt;&gt;"","set "&amp;INDEX(CUEs!$A:$A,INT((ROW()-1)/7)*57+MOD(ROW()-1,7)+50)&amp;"=/ s "&amp;INDEX(CUEs!$B:$B,INT((ROW()-1)/7)*57+MOD(ROW()-1,7)+50),"")</f>
        <v/>
      </c>
    </row>
    <row r="1188" spans="1:1" x14ac:dyDescent="0.25">
      <c r="A1188" t="str" cm="1">
        <f t="array" ref="A1188">IF(INDEX(CUEs!$A:$A,INT((ROW()-1)/7)*57+MOD(ROW()-1,7)+50)&lt;&gt;"","set "&amp;INDEX(CUEs!$A:$A,INT((ROW()-1)/7)*57+MOD(ROW()-1,7)+50)&amp;"=/ s "&amp;INDEX(CUEs!$B:$B,INT((ROW()-1)/7)*57+MOD(ROW()-1,7)+50),"")</f>
        <v/>
      </c>
    </row>
    <row r="1189" spans="1:1" x14ac:dyDescent="0.25">
      <c r="A1189" t="str" cm="1">
        <f t="array" ref="A1189">IF(INDEX(CUEs!$A:$A,INT((ROW()-1)/7)*57+MOD(ROW()-1,7)+50)&lt;&gt;"","set "&amp;INDEX(CUEs!$A:$A,INT((ROW()-1)/7)*57+MOD(ROW()-1,7)+50)&amp;"=/ s "&amp;INDEX(CUEs!$B:$B,INT((ROW()-1)/7)*57+MOD(ROW()-1,7)+50),"")</f>
        <v/>
      </c>
    </row>
    <row r="1190" spans="1:1" x14ac:dyDescent="0.25">
      <c r="A1190" t="str" cm="1">
        <f t="array" ref="A1190">IF(INDEX(CUEs!$A:$A,INT((ROW()-1)/7)*57+MOD(ROW()-1,7)+50)&lt;&gt;"","set "&amp;INDEX(CUEs!$A:$A,INT((ROW()-1)/7)*57+MOD(ROW()-1,7)+50)&amp;"=/ s "&amp;INDEX(CUEs!$B:$B,INT((ROW()-1)/7)*57+MOD(ROW()-1,7)+50),"")</f>
        <v/>
      </c>
    </row>
    <row r="1191" spans="1:1" x14ac:dyDescent="0.25">
      <c r="A1191" t="str" cm="1">
        <f t="array" ref="A1191">IF(INDEX(CUEs!$A:$A,INT((ROW()-1)/7)*57+MOD(ROW()-1,7)+50)&lt;&gt;"","set "&amp;INDEX(CUEs!$A:$A,INT((ROW()-1)/7)*57+MOD(ROW()-1,7)+50)&amp;"=/ s "&amp;INDEX(CUEs!$B:$B,INT((ROW()-1)/7)*57+MOD(ROW()-1,7)+50),"")</f>
        <v/>
      </c>
    </row>
    <row r="1192" spans="1:1" x14ac:dyDescent="0.25">
      <c r="A1192" t="str" cm="1">
        <f t="array" ref="A1192">IF(INDEX(CUEs!$A:$A,INT((ROW()-1)/7)*57+MOD(ROW()-1,7)+50)&lt;&gt;"","set "&amp;INDEX(CUEs!$A:$A,INT((ROW()-1)/7)*57+MOD(ROW()-1,7)+50)&amp;"=/ s "&amp;INDEX(CUEs!$B:$B,INT((ROW()-1)/7)*57+MOD(ROW()-1,7)+50),"")</f>
        <v/>
      </c>
    </row>
    <row r="1193" spans="1:1" x14ac:dyDescent="0.25">
      <c r="A1193" t="str" cm="1">
        <f t="array" ref="A1193">IF(INDEX(CUEs!$A:$A,INT((ROW()-1)/7)*57+MOD(ROW()-1,7)+50)&lt;&gt;"","set "&amp;INDEX(CUEs!$A:$A,INT((ROW()-1)/7)*57+MOD(ROW()-1,7)+50)&amp;"=/ s "&amp;INDEX(CUEs!$B:$B,INT((ROW()-1)/7)*57+MOD(ROW()-1,7)+50),"")</f>
        <v/>
      </c>
    </row>
    <row r="1194" spans="1:1" x14ac:dyDescent="0.25">
      <c r="A1194" t="str" cm="1">
        <f t="array" ref="A1194">IF(INDEX(CUEs!$A:$A,INT((ROW()-1)/7)*57+MOD(ROW()-1,7)+50)&lt;&gt;"","set "&amp;INDEX(CUEs!$A:$A,INT((ROW()-1)/7)*57+MOD(ROW()-1,7)+50)&amp;"=/ s "&amp;INDEX(CUEs!$B:$B,INT((ROW()-1)/7)*57+MOD(ROW()-1,7)+50),"")</f>
        <v/>
      </c>
    </row>
    <row r="1195" spans="1:1" x14ac:dyDescent="0.25">
      <c r="A1195" t="str" cm="1">
        <f t="array" ref="A1195">IF(INDEX(CUEs!$A:$A,INT((ROW()-1)/7)*57+MOD(ROW()-1,7)+50)&lt;&gt;"","set "&amp;INDEX(CUEs!$A:$A,INT((ROW()-1)/7)*57+MOD(ROW()-1,7)+50)&amp;"=/ s "&amp;INDEX(CUEs!$B:$B,INT((ROW()-1)/7)*57+MOD(ROW()-1,7)+50),"")</f>
        <v/>
      </c>
    </row>
    <row r="1196" spans="1:1" x14ac:dyDescent="0.25">
      <c r="A1196" t="str" cm="1">
        <f t="array" ref="A1196">IF(INDEX(CUEs!$A:$A,INT((ROW()-1)/7)*57+MOD(ROW()-1,7)+50)&lt;&gt;"","set "&amp;INDEX(CUEs!$A:$A,INT((ROW()-1)/7)*57+MOD(ROW()-1,7)+50)&amp;"=/ s "&amp;INDEX(CUEs!$B:$B,INT((ROW()-1)/7)*57+MOD(ROW()-1,7)+50),"")</f>
        <v/>
      </c>
    </row>
    <row r="1197" spans="1:1" x14ac:dyDescent="0.25">
      <c r="A1197" t="str" cm="1">
        <f t="array" ref="A1197">IF(INDEX(CUEs!$A:$A,INT((ROW()-1)/7)*57+MOD(ROW()-1,7)+50)&lt;&gt;"","set "&amp;INDEX(CUEs!$A:$A,INT((ROW()-1)/7)*57+MOD(ROW()-1,7)+50)&amp;"=/ s "&amp;INDEX(CUEs!$B:$B,INT((ROW()-1)/7)*57+MOD(ROW()-1,7)+50),"")</f>
        <v/>
      </c>
    </row>
    <row r="1198" spans="1:1" x14ac:dyDescent="0.25">
      <c r="A1198" t="str" cm="1">
        <f t="array" ref="A1198">IF(INDEX(CUEs!$A:$A,INT((ROW()-1)/7)*57+MOD(ROW()-1,7)+50)&lt;&gt;"","set "&amp;INDEX(CUEs!$A:$A,INT((ROW()-1)/7)*57+MOD(ROW()-1,7)+50)&amp;"=/ s "&amp;INDEX(CUEs!$B:$B,INT((ROW()-1)/7)*57+MOD(ROW()-1,7)+50),"")</f>
        <v/>
      </c>
    </row>
    <row r="1199" spans="1:1" x14ac:dyDescent="0.25">
      <c r="A1199" t="str" cm="1">
        <f t="array" ref="A1199">IF(INDEX(CUEs!$A:$A,INT((ROW()-1)/7)*57+MOD(ROW()-1,7)+50)&lt;&gt;"","set "&amp;INDEX(CUEs!$A:$A,INT((ROW()-1)/7)*57+MOD(ROW()-1,7)+50)&amp;"=/ s "&amp;INDEX(CUEs!$B:$B,INT((ROW()-1)/7)*57+MOD(ROW()-1,7)+50),"")</f>
        <v/>
      </c>
    </row>
    <row r="1200" spans="1:1" x14ac:dyDescent="0.25">
      <c r="A1200" t="str" cm="1">
        <f t="array" ref="A1200">IF(INDEX(CUEs!$A:$A,INT((ROW()-1)/7)*57+MOD(ROW()-1,7)+50)&lt;&gt;"","set "&amp;INDEX(CUEs!$A:$A,INT((ROW()-1)/7)*57+MOD(ROW()-1,7)+50)&amp;"=/ s "&amp;INDEX(CUEs!$B:$B,INT((ROW()-1)/7)*57+MOD(ROW()-1,7)+50),"")</f>
        <v/>
      </c>
    </row>
    <row r="1201" spans="1:1" x14ac:dyDescent="0.25">
      <c r="A1201" t="str" cm="1">
        <f t="array" ref="A1201">IF(INDEX(CUEs!$A:$A,INT((ROW()-1)/7)*57+MOD(ROW()-1,7)+50)&lt;&gt;"","set "&amp;INDEX(CUEs!$A:$A,INT((ROW()-1)/7)*57+MOD(ROW()-1,7)+50)&amp;"=/ s "&amp;INDEX(CUEs!$B:$B,INT((ROW()-1)/7)*57+MOD(ROW()-1,7)+50),"")</f>
        <v/>
      </c>
    </row>
    <row r="1202" spans="1:1" x14ac:dyDescent="0.25">
      <c r="A1202" t="str" cm="1">
        <f t="array" ref="A1202">IF(INDEX(CUEs!$A:$A,INT((ROW()-1)/7)*57+MOD(ROW()-1,7)+50)&lt;&gt;"","set "&amp;INDEX(CUEs!$A:$A,INT((ROW()-1)/7)*57+MOD(ROW()-1,7)+50)&amp;"=/ s "&amp;INDEX(CUEs!$B:$B,INT((ROW()-1)/7)*57+MOD(ROW()-1,7)+50),"")</f>
        <v/>
      </c>
    </row>
    <row r="1203" spans="1:1" x14ac:dyDescent="0.25">
      <c r="A1203" t="str" cm="1">
        <f t="array" ref="A1203">IF(INDEX(CUEs!$A:$A,INT((ROW()-1)/7)*57+MOD(ROW()-1,7)+50)&lt;&gt;"","set "&amp;INDEX(CUEs!$A:$A,INT((ROW()-1)/7)*57+MOD(ROW()-1,7)+50)&amp;"=/ s "&amp;INDEX(CUEs!$B:$B,INT((ROW()-1)/7)*57+MOD(ROW()-1,7)+50),"")</f>
        <v/>
      </c>
    </row>
    <row r="1204" spans="1:1" x14ac:dyDescent="0.25">
      <c r="A1204" t="str" cm="1">
        <f t="array" ref="A1204">IF(INDEX(CUEs!$A:$A,INT((ROW()-1)/7)*57+MOD(ROW()-1,7)+50)&lt;&gt;"","set "&amp;INDEX(CUEs!$A:$A,INT((ROW()-1)/7)*57+MOD(ROW()-1,7)+50)&amp;"=/ s "&amp;INDEX(CUEs!$B:$B,INT((ROW()-1)/7)*57+MOD(ROW()-1,7)+50),"")</f>
        <v/>
      </c>
    </row>
    <row r="1205" spans="1:1" x14ac:dyDescent="0.25">
      <c r="A1205" t="str" cm="1">
        <f t="array" ref="A1205">IF(INDEX(CUEs!$A:$A,INT((ROW()-1)/7)*57+MOD(ROW()-1,7)+50)&lt;&gt;"","set "&amp;INDEX(CUEs!$A:$A,INT((ROW()-1)/7)*57+MOD(ROW()-1,7)+50)&amp;"=/ s "&amp;INDEX(CUEs!$B:$B,INT((ROW()-1)/7)*57+MOD(ROW()-1,7)+50),"")</f>
        <v/>
      </c>
    </row>
    <row r="1206" spans="1:1" x14ac:dyDescent="0.25">
      <c r="A1206" t="str" cm="1">
        <f t="array" ref="A1206">IF(INDEX(CUEs!$A:$A,INT((ROW()-1)/7)*57+MOD(ROW()-1,7)+50)&lt;&gt;"","set "&amp;INDEX(CUEs!$A:$A,INT((ROW()-1)/7)*57+MOD(ROW()-1,7)+50)&amp;"=/ s "&amp;INDEX(CUEs!$B:$B,INT((ROW()-1)/7)*57+MOD(ROW()-1,7)+50),"")</f>
        <v/>
      </c>
    </row>
    <row r="1207" spans="1:1" x14ac:dyDescent="0.25">
      <c r="A1207" t="str" cm="1">
        <f t="array" ref="A1207">IF(INDEX(CUEs!$A:$A,INT((ROW()-1)/7)*57+MOD(ROW()-1,7)+50)&lt;&gt;"","set "&amp;INDEX(CUEs!$A:$A,INT((ROW()-1)/7)*57+MOD(ROW()-1,7)+50)&amp;"=/ s "&amp;INDEX(CUEs!$B:$B,INT((ROW()-1)/7)*57+MOD(ROW()-1,7)+50),"")</f>
        <v/>
      </c>
    </row>
    <row r="1208" spans="1:1" x14ac:dyDescent="0.25">
      <c r="A1208" t="str" cm="1">
        <f t="array" ref="A1208">IF(INDEX(CUEs!$A:$A,INT((ROW()-1)/7)*57+MOD(ROW()-1,7)+50)&lt;&gt;"","set "&amp;INDEX(CUEs!$A:$A,INT((ROW()-1)/7)*57+MOD(ROW()-1,7)+50)&amp;"=/ s "&amp;INDEX(CUEs!$B:$B,INT((ROW()-1)/7)*57+MOD(ROW()-1,7)+50),"")</f>
        <v/>
      </c>
    </row>
    <row r="1209" spans="1:1" x14ac:dyDescent="0.25">
      <c r="A1209" t="str" cm="1">
        <f t="array" ref="A1209">IF(INDEX(CUEs!$A:$A,INT((ROW()-1)/7)*57+MOD(ROW()-1,7)+50)&lt;&gt;"","set "&amp;INDEX(CUEs!$A:$A,INT((ROW()-1)/7)*57+MOD(ROW()-1,7)+50)&amp;"=/ s "&amp;INDEX(CUEs!$B:$B,INT((ROW()-1)/7)*57+MOD(ROW()-1,7)+50),"")</f>
        <v/>
      </c>
    </row>
    <row r="1210" spans="1:1" x14ac:dyDescent="0.25">
      <c r="A1210" t="str" cm="1">
        <f t="array" ref="A1210">IF(INDEX(CUEs!$A:$A,INT((ROW()-1)/7)*57+MOD(ROW()-1,7)+50)&lt;&gt;"","set "&amp;INDEX(CUEs!$A:$A,INT((ROW()-1)/7)*57+MOD(ROW()-1,7)+50)&amp;"=/ s "&amp;INDEX(CUEs!$B:$B,INT((ROW()-1)/7)*57+MOD(ROW()-1,7)+50),"")</f>
        <v/>
      </c>
    </row>
    <row r="1211" spans="1:1" x14ac:dyDescent="0.25">
      <c r="A1211" t="str" cm="1">
        <f t="array" ref="A1211">IF(INDEX(CUEs!$A:$A,INT((ROW()-1)/7)*57+MOD(ROW()-1,7)+50)&lt;&gt;"","set "&amp;INDEX(CUEs!$A:$A,INT((ROW()-1)/7)*57+MOD(ROW()-1,7)+50)&amp;"=/ s "&amp;INDEX(CUEs!$B:$B,INT((ROW()-1)/7)*57+MOD(ROW()-1,7)+50),"")</f>
        <v/>
      </c>
    </row>
    <row r="1212" spans="1:1" x14ac:dyDescent="0.25">
      <c r="A1212" t="str" cm="1">
        <f t="array" ref="A1212">IF(INDEX(CUEs!$A:$A,INT((ROW()-1)/7)*57+MOD(ROW()-1,7)+50)&lt;&gt;"","set "&amp;INDEX(CUEs!$A:$A,INT((ROW()-1)/7)*57+MOD(ROW()-1,7)+50)&amp;"=/ s "&amp;INDEX(CUEs!$B:$B,INT((ROW()-1)/7)*57+MOD(ROW()-1,7)+50),"")</f>
        <v/>
      </c>
    </row>
    <row r="1213" spans="1:1" x14ac:dyDescent="0.25">
      <c r="A1213" t="str" cm="1">
        <f t="array" ref="A1213">IF(INDEX(CUEs!$A:$A,INT((ROW()-1)/7)*57+MOD(ROW()-1,7)+50)&lt;&gt;"","set "&amp;INDEX(CUEs!$A:$A,INT((ROW()-1)/7)*57+MOD(ROW()-1,7)+50)&amp;"=/ s "&amp;INDEX(CUEs!$B:$B,INT((ROW()-1)/7)*57+MOD(ROW()-1,7)+50),"")</f>
        <v/>
      </c>
    </row>
    <row r="1214" spans="1:1" x14ac:dyDescent="0.25">
      <c r="A1214" t="str" cm="1">
        <f t="array" ref="A1214">IF(INDEX(CUEs!$A:$A,INT((ROW()-1)/7)*57+MOD(ROW()-1,7)+50)&lt;&gt;"","set "&amp;INDEX(CUEs!$A:$A,INT((ROW()-1)/7)*57+MOD(ROW()-1,7)+50)&amp;"=/ s "&amp;INDEX(CUEs!$B:$B,INT((ROW()-1)/7)*57+MOD(ROW()-1,7)+50),"")</f>
        <v/>
      </c>
    </row>
    <row r="1215" spans="1:1" x14ac:dyDescent="0.25">
      <c r="A1215" t="str" cm="1">
        <f t="array" ref="A1215">IF(INDEX(CUEs!$A:$A,INT((ROW()-1)/7)*57+MOD(ROW()-1,7)+50)&lt;&gt;"","set "&amp;INDEX(CUEs!$A:$A,INT((ROW()-1)/7)*57+MOD(ROW()-1,7)+50)&amp;"=/ s "&amp;INDEX(CUEs!$B:$B,INT((ROW()-1)/7)*57+MOD(ROW()-1,7)+50),"")</f>
        <v/>
      </c>
    </row>
    <row r="1216" spans="1:1" x14ac:dyDescent="0.25">
      <c r="A1216" t="str" cm="1">
        <f t="array" ref="A1216">IF(INDEX(CUEs!$A:$A,INT((ROW()-1)/7)*57+MOD(ROW()-1,7)+50)&lt;&gt;"","set "&amp;INDEX(CUEs!$A:$A,INT((ROW()-1)/7)*57+MOD(ROW()-1,7)+50)&amp;"=/ s "&amp;INDEX(CUEs!$B:$B,INT((ROW()-1)/7)*57+MOD(ROW()-1,7)+50),"")</f>
        <v/>
      </c>
    </row>
    <row r="1217" spans="1:1" x14ac:dyDescent="0.25">
      <c r="A1217" t="str" cm="1">
        <f t="array" ref="A1217">IF(INDEX(CUEs!$A:$A,INT((ROW()-1)/7)*57+MOD(ROW()-1,7)+50)&lt;&gt;"","set "&amp;INDEX(CUEs!$A:$A,INT((ROW()-1)/7)*57+MOD(ROW()-1,7)+50)&amp;"=/ s "&amp;INDEX(CUEs!$B:$B,INT((ROW()-1)/7)*57+MOD(ROW()-1,7)+50),"")</f>
        <v/>
      </c>
    </row>
    <row r="1218" spans="1:1" x14ac:dyDescent="0.25">
      <c r="A1218" t="str" cm="1">
        <f t="array" ref="A1218">IF(INDEX(CUEs!$A:$A,INT((ROW()-1)/7)*57+MOD(ROW()-1,7)+50)&lt;&gt;"","set "&amp;INDEX(CUEs!$A:$A,INT((ROW()-1)/7)*57+MOD(ROW()-1,7)+50)&amp;"=/ s "&amp;INDEX(CUEs!$B:$B,INT((ROW()-1)/7)*57+MOD(ROW()-1,7)+50),"")</f>
        <v/>
      </c>
    </row>
    <row r="1219" spans="1:1" x14ac:dyDescent="0.25">
      <c r="A1219" t="str" cm="1">
        <f t="array" ref="A1219">IF(INDEX(CUEs!$A:$A,INT((ROW()-1)/7)*57+MOD(ROW()-1,7)+50)&lt;&gt;"","set "&amp;INDEX(CUEs!$A:$A,INT((ROW()-1)/7)*57+MOD(ROW()-1,7)+50)&amp;"=/ s "&amp;INDEX(CUEs!$B:$B,INT((ROW()-1)/7)*57+MOD(ROW()-1,7)+50),"")</f>
        <v/>
      </c>
    </row>
    <row r="1220" spans="1:1" x14ac:dyDescent="0.25">
      <c r="A1220" t="str" cm="1">
        <f t="array" ref="A1220">IF(INDEX(CUEs!$A:$A,INT((ROW()-1)/7)*57+MOD(ROW()-1,7)+50)&lt;&gt;"","set "&amp;INDEX(CUEs!$A:$A,INT((ROW()-1)/7)*57+MOD(ROW()-1,7)+50)&amp;"=/ s "&amp;INDEX(CUEs!$B:$B,INT((ROW()-1)/7)*57+MOD(ROW()-1,7)+50),"")</f>
        <v/>
      </c>
    </row>
    <row r="1221" spans="1:1" x14ac:dyDescent="0.25">
      <c r="A1221" t="str" cm="1">
        <f t="array" ref="A1221">IF(INDEX(CUEs!$A:$A,INT((ROW()-1)/7)*57+MOD(ROW()-1,7)+50)&lt;&gt;"","set "&amp;INDEX(CUEs!$A:$A,INT((ROW()-1)/7)*57+MOD(ROW()-1,7)+50)&amp;"=/ s "&amp;INDEX(CUEs!$B:$B,INT((ROW()-1)/7)*57+MOD(ROW()-1,7)+50),"")</f>
        <v/>
      </c>
    </row>
    <row r="1222" spans="1:1" x14ac:dyDescent="0.25">
      <c r="A1222" t="str" cm="1">
        <f t="array" ref="A1222">IF(INDEX(CUEs!$A:$A,INT((ROW()-1)/7)*57+MOD(ROW()-1,7)+50)&lt;&gt;"","set "&amp;INDEX(CUEs!$A:$A,INT((ROW()-1)/7)*57+MOD(ROW()-1,7)+50)&amp;"=/ s "&amp;INDEX(CUEs!$B:$B,INT((ROW()-1)/7)*57+MOD(ROW()-1,7)+50),"")</f>
        <v/>
      </c>
    </row>
    <row r="1223" spans="1:1" x14ac:dyDescent="0.25">
      <c r="A1223" t="str" cm="1">
        <f t="array" ref="A1223">IF(INDEX(CUEs!$A:$A,INT((ROW()-1)/7)*57+MOD(ROW()-1,7)+50)&lt;&gt;"","set "&amp;INDEX(CUEs!$A:$A,INT((ROW()-1)/7)*57+MOD(ROW()-1,7)+50)&amp;"=/ s "&amp;INDEX(CUEs!$B:$B,INT((ROW()-1)/7)*57+MOD(ROW()-1,7)+50),"")</f>
        <v/>
      </c>
    </row>
    <row r="1224" spans="1:1" x14ac:dyDescent="0.25">
      <c r="A1224" t="str" cm="1">
        <f t="array" ref="A1224">IF(INDEX(CUEs!$A:$A,INT((ROW()-1)/7)*57+MOD(ROW()-1,7)+50)&lt;&gt;"","set "&amp;INDEX(CUEs!$A:$A,INT((ROW()-1)/7)*57+MOD(ROW()-1,7)+50)&amp;"=/ s "&amp;INDEX(CUEs!$B:$B,INT((ROW()-1)/7)*57+MOD(ROW()-1,7)+50),"")</f>
        <v/>
      </c>
    </row>
    <row r="1225" spans="1:1" x14ac:dyDescent="0.25">
      <c r="A1225" t="str" cm="1">
        <f t="array" ref="A1225">IF(INDEX(CUEs!$A:$A,INT((ROW()-1)/7)*57+MOD(ROW()-1,7)+50)&lt;&gt;"","set "&amp;INDEX(CUEs!$A:$A,INT((ROW()-1)/7)*57+MOD(ROW()-1,7)+50)&amp;"=/ s "&amp;INDEX(CUEs!$B:$B,INT((ROW()-1)/7)*57+MOD(ROW()-1,7)+50),"")</f>
        <v/>
      </c>
    </row>
    <row r="1226" spans="1:1" x14ac:dyDescent="0.25">
      <c r="A1226" t="str" cm="1">
        <f t="array" ref="A1226">IF(INDEX(CUEs!$A:$A,INT((ROW()-1)/7)*57+MOD(ROW()-1,7)+50)&lt;&gt;"","set "&amp;INDEX(CUEs!$A:$A,INT((ROW()-1)/7)*57+MOD(ROW()-1,7)+50)&amp;"=/ s "&amp;INDEX(CUEs!$B:$B,INT((ROW()-1)/7)*57+MOD(ROW()-1,7)+50),"")</f>
        <v/>
      </c>
    </row>
    <row r="1227" spans="1:1" x14ac:dyDescent="0.25">
      <c r="A1227" t="str" cm="1">
        <f t="array" ref="A1227">IF(INDEX(CUEs!$A:$A,INT((ROW()-1)/7)*57+MOD(ROW()-1,7)+50)&lt;&gt;"","set "&amp;INDEX(CUEs!$A:$A,INT((ROW()-1)/7)*57+MOD(ROW()-1,7)+50)&amp;"=/ s "&amp;INDEX(CUEs!$B:$B,INT((ROW()-1)/7)*57+MOD(ROW()-1,7)+50),"")</f>
        <v/>
      </c>
    </row>
    <row r="1228" spans="1:1" x14ac:dyDescent="0.25">
      <c r="A1228" t="str" cm="1">
        <f t="array" ref="A1228">IF(INDEX(CUEs!$A:$A,INT((ROW()-1)/7)*57+MOD(ROW()-1,7)+50)&lt;&gt;"","set "&amp;INDEX(CUEs!$A:$A,INT((ROW()-1)/7)*57+MOD(ROW()-1,7)+50)&amp;"=/ s "&amp;INDEX(CUEs!$B:$B,INT((ROW()-1)/7)*57+MOD(ROW()-1,7)+50),"")</f>
        <v/>
      </c>
    </row>
    <row r="1229" spans="1:1" x14ac:dyDescent="0.25">
      <c r="A1229" t="str" cm="1">
        <f t="array" ref="A1229">IF(INDEX(CUEs!$A:$A,INT((ROW()-1)/7)*57+MOD(ROW()-1,7)+50)&lt;&gt;"","set "&amp;INDEX(CUEs!$A:$A,INT((ROW()-1)/7)*57+MOD(ROW()-1,7)+50)&amp;"=/ s "&amp;INDEX(CUEs!$B:$B,INT((ROW()-1)/7)*57+MOD(ROW()-1,7)+50),"")</f>
        <v/>
      </c>
    </row>
    <row r="1230" spans="1:1" x14ac:dyDescent="0.25">
      <c r="A1230" t="str" cm="1">
        <f t="array" ref="A1230">IF(INDEX(CUEs!$A:$A,INT((ROW()-1)/7)*57+MOD(ROW()-1,7)+50)&lt;&gt;"","set "&amp;INDEX(CUEs!$A:$A,INT((ROW()-1)/7)*57+MOD(ROW()-1,7)+50)&amp;"=/ s "&amp;INDEX(CUEs!$B:$B,INT((ROW()-1)/7)*57+MOD(ROW()-1,7)+50),"")</f>
        <v/>
      </c>
    </row>
    <row r="1231" spans="1:1" x14ac:dyDescent="0.25">
      <c r="A1231" t="str" cm="1">
        <f t="array" ref="A1231">IF(INDEX(CUEs!$A:$A,INT((ROW()-1)/7)*57+MOD(ROW()-1,7)+50)&lt;&gt;"","set "&amp;INDEX(CUEs!$A:$A,INT((ROW()-1)/7)*57+MOD(ROW()-1,7)+50)&amp;"=/ s "&amp;INDEX(CUEs!$B:$B,INT((ROW()-1)/7)*57+MOD(ROW()-1,7)+50),"")</f>
        <v/>
      </c>
    </row>
    <row r="1232" spans="1:1" x14ac:dyDescent="0.25">
      <c r="A1232" t="str" cm="1">
        <f t="array" ref="A1232">IF(INDEX(CUEs!$A:$A,INT((ROW()-1)/7)*57+MOD(ROW()-1,7)+50)&lt;&gt;"","set "&amp;INDEX(CUEs!$A:$A,INT((ROW()-1)/7)*57+MOD(ROW()-1,7)+50)&amp;"=/ s "&amp;INDEX(CUEs!$B:$B,INT((ROW()-1)/7)*57+MOD(ROW()-1,7)+50),"")</f>
        <v/>
      </c>
    </row>
    <row r="1233" spans="1:1" x14ac:dyDescent="0.25">
      <c r="A1233" t="str" cm="1">
        <f t="array" ref="A1233">IF(INDEX(CUEs!$A:$A,INT((ROW()-1)/7)*57+MOD(ROW()-1,7)+50)&lt;&gt;"","set "&amp;INDEX(CUEs!$A:$A,INT((ROW()-1)/7)*57+MOD(ROW()-1,7)+50)&amp;"=/ s "&amp;INDEX(CUEs!$B:$B,INT((ROW()-1)/7)*57+MOD(ROW()-1,7)+50),"")</f>
        <v/>
      </c>
    </row>
    <row r="1234" spans="1:1" x14ac:dyDescent="0.25">
      <c r="A1234" t="str" cm="1">
        <f t="array" ref="A1234">IF(INDEX(CUEs!$A:$A,INT((ROW()-1)/7)*57+MOD(ROW()-1,7)+50)&lt;&gt;"","set "&amp;INDEX(CUEs!$A:$A,INT((ROW()-1)/7)*57+MOD(ROW()-1,7)+50)&amp;"=/ s "&amp;INDEX(CUEs!$B:$B,INT((ROW()-1)/7)*57+MOD(ROW()-1,7)+50),"")</f>
        <v/>
      </c>
    </row>
    <row r="1235" spans="1:1" x14ac:dyDescent="0.25">
      <c r="A1235" t="str" cm="1">
        <f t="array" ref="A1235">IF(INDEX(CUEs!$A:$A,INT((ROW()-1)/7)*57+MOD(ROW()-1,7)+50)&lt;&gt;"","set "&amp;INDEX(CUEs!$A:$A,INT((ROW()-1)/7)*57+MOD(ROW()-1,7)+50)&amp;"=/ s "&amp;INDEX(CUEs!$B:$B,INT((ROW()-1)/7)*57+MOD(ROW()-1,7)+50),"")</f>
        <v/>
      </c>
    </row>
    <row r="1236" spans="1:1" x14ac:dyDescent="0.25">
      <c r="A1236" t="str" cm="1">
        <f t="array" ref="A1236">IF(INDEX(CUEs!$A:$A,INT((ROW()-1)/7)*57+MOD(ROW()-1,7)+50)&lt;&gt;"","set "&amp;INDEX(CUEs!$A:$A,INT((ROW()-1)/7)*57+MOD(ROW()-1,7)+50)&amp;"=/ s "&amp;INDEX(CUEs!$B:$B,INT((ROW()-1)/7)*57+MOD(ROW()-1,7)+50),"")</f>
        <v/>
      </c>
    </row>
    <row r="1237" spans="1:1" x14ac:dyDescent="0.25">
      <c r="A1237" t="str" cm="1">
        <f t="array" ref="A1237">IF(INDEX(CUEs!$A:$A,INT((ROW()-1)/7)*57+MOD(ROW()-1,7)+50)&lt;&gt;"","set "&amp;INDEX(CUEs!$A:$A,INT((ROW()-1)/7)*57+MOD(ROW()-1,7)+50)&amp;"=/ s "&amp;INDEX(CUEs!$B:$B,INT((ROW()-1)/7)*57+MOD(ROW()-1,7)+50),"")</f>
        <v/>
      </c>
    </row>
    <row r="1238" spans="1:1" x14ac:dyDescent="0.25">
      <c r="A1238" t="str" cm="1">
        <f t="array" ref="A1238">IF(INDEX(CUEs!$A:$A,INT((ROW()-1)/7)*57+MOD(ROW()-1,7)+50)&lt;&gt;"","set "&amp;INDEX(CUEs!$A:$A,INT((ROW()-1)/7)*57+MOD(ROW()-1,7)+50)&amp;"=/ s "&amp;INDEX(CUEs!$B:$B,INT((ROW()-1)/7)*57+MOD(ROW()-1,7)+50),"")</f>
        <v/>
      </c>
    </row>
    <row r="1239" spans="1:1" x14ac:dyDescent="0.25">
      <c r="A1239" t="str" cm="1">
        <f t="array" ref="A1239">IF(INDEX(CUEs!$A:$A,INT((ROW()-1)/7)*57+MOD(ROW()-1,7)+50)&lt;&gt;"","set "&amp;INDEX(CUEs!$A:$A,INT((ROW()-1)/7)*57+MOD(ROW()-1,7)+50)&amp;"=/ s "&amp;INDEX(CUEs!$B:$B,INT((ROW()-1)/7)*57+MOD(ROW()-1,7)+50),"")</f>
        <v/>
      </c>
    </row>
    <row r="1240" spans="1:1" x14ac:dyDescent="0.25">
      <c r="A1240" t="str" cm="1">
        <f t="array" ref="A1240">IF(INDEX(CUEs!$A:$A,INT((ROW()-1)/7)*57+MOD(ROW()-1,7)+50)&lt;&gt;"","set "&amp;INDEX(CUEs!$A:$A,INT((ROW()-1)/7)*57+MOD(ROW()-1,7)+50)&amp;"=/ s "&amp;INDEX(CUEs!$B:$B,INT((ROW()-1)/7)*57+MOD(ROW()-1,7)+50),"")</f>
        <v/>
      </c>
    </row>
    <row r="1241" spans="1:1" x14ac:dyDescent="0.25">
      <c r="A1241" t="str" cm="1">
        <f t="array" ref="A1241">IF(INDEX(CUEs!$A:$A,INT((ROW()-1)/7)*57+MOD(ROW()-1,7)+50)&lt;&gt;"","set "&amp;INDEX(CUEs!$A:$A,INT((ROW()-1)/7)*57+MOD(ROW()-1,7)+50)&amp;"=/ s "&amp;INDEX(CUEs!$B:$B,INT((ROW()-1)/7)*57+MOD(ROW()-1,7)+50),"")</f>
        <v/>
      </c>
    </row>
    <row r="1242" spans="1:1" x14ac:dyDescent="0.25">
      <c r="A1242" t="str" cm="1">
        <f t="array" ref="A1242">IF(INDEX(CUEs!$A:$A,INT((ROW()-1)/7)*57+MOD(ROW()-1,7)+50)&lt;&gt;"","set "&amp;INDEX(CUEs!$A:$A,INT((ROW()-1)/7)*57+MOD(ROW()-1,7)+50)&amp;"=/ s "&amp;INDEX(CUEs!$B:$B,INT((ROW()-1)/7)*57+MOD(ROW()-1,7)+50),"")</f>
        <v/>
      </c>
    </row>
    <row r="1243" spans="1:1" x14ac:dyDescent="0.25">
      <c r="A1243" t="str" cm="1">
        <f t="array" ref="A1243">IF(INDEX(CUEs!$A:$A,INT((ROW()-1)/7)*57+MOD(ROW()-1,7)+50)&lt;&gt;"","set "&amp;INDEX(CUEs!$A:$A,INT((ROW()-1)/7)*57+MOD(ROW()-1,7)+50)&amp;"=/ s "&amp;INDEX(CUEs!$B:$B,INT((ROW()-1)/7)*57+MOD(ROW()-1,7)+50),"")</f>
        <v/>
      </c>
    </row>
    <row r="1244" spans="1:1" x14ac:dyDescent="0.25">
      <c r="A1244" t="str" cm="1">
        <f t="array" ref="A1244">IF(INDEX(CUEs!$A:$A,INT((ROW()-1)/7)*57+MOD(ROW()-1,7)+50)&lt;&gt;"","set "&amp;INDEX(CUEs!$A:$A,INT((ROW()-1)/7)*57+MOD(ROW()-1,7)+50)&amp;"=/ s "&amp;INDEX(CUEs!$B:$B,INT((ROW()-1)/7)*57+MOD(ROW()-1,7)+50),"")</f>
        <v/>
      </c>
    </row>
    <row r="1245" spans="1:1" x14ac:dyDescent="0.25">
      <c r="A1245" t="str" cm="1">
        <f t="array" ref="A1245">IF(INDEX(CUEs!$A:$A,INT((ROW()-1)/7)*57+MOD(ROW()-1,7)+50)&lt;&gt;"","set "&amp;INDEX(CUEs!$A:$A,INT((ROW()-1)/7)*57+MOD(ROW()-1,7)+50)&amp;"=/ s "&amp;INDEX(CUEs!$B:$B,INT((ROW()-1)/7)*57+MOD(ROW()-1,7)+50),"")</f>
        <v/>
      </c>
    </row>
    <row r="1246" spans="1:1" x14ac:dyDescent="0.25">
      <c r="A1246" t="str" cm="1">
        <f t="array" ref="A1246">IF(INDEX(CUEs!$A:$A,INT((ROW()-1)/7)*57+MOD(ROW()-1,7)+50)&lt;&gt;"","set "&amp;INDEX(CUEs!$A:$A,INT((ROW()-1)/7)*57+MOD(ROW()-1,7)+50)&amp;"=/ s "&amp;INDEX(CUEs!$B:$B,INT((ROW()-1)/7)*57+MOD(ROW()-1,7)+50),"")</f>
        <v/>
      </c>
    </row>
    <row r="1247" spans="1:1" x14ac:dyDescent="0.25">
      <c r="A1247" t="str" cm="1">
        <f t="array" ref="A1247">IF(INDEX(CUEs!$A:$A,INT((ROW()-1)/7)*57+MOD(ROW()-1,7)+50)&lt;&gt;"","set "&amp;INDEX(CUEs!$A:$A,INT((ROW()-1)/7)*57+MOD(ROW()-1,7)+50)&amp;"=/ s "&amp;INDEX(CUEs!$B:$B,INT((ROW()-1)/7)*57+MOD(ROW()-1,7)+50),"")</f>
        <v/>
      </c>
    </row>
    <row r="1248" spans="1:1" x14ac:dyDescent="0.25">
      <c r="A1248" t="str" cm="1">
        <f t="array" ref="A1248">IF(INDEX(CUEs!$A:$A,INT((ROW()-1)/7)*57+MOD(ROW()-1,7)+50)&lt;&gt;"","set "&amp;INDEX(CUEs!$A:$A,INT((ROW()-1)/7)*57+MOD(ROW()-1,7)+50)&amp;"=/ s "&amp;INDEX(CUEs!$B:$B,INT((ROW()-1)/7)*57+MOD(ROW()-1,7)+50),"")</f>
        <v/>
      </c>
    </row>
    <row r="1249" spans="1:1" x14ac:dyDescent="0.25">
      <c r="A1249" t="str" cm="1">
        <f t="array" ref="A1249">IF(INDEX(CUEs!$A:$A,INT((ROW()-1)/7)*57+MOD(ROW()-1,7)+50)&lt;&gt;"","set "&amp;INDEX(CUEs!$A:$A,INT((ROW()-1)/7)*57+MOD(ROW()-1,7)+50)&amp;"=/ s "&amp;INDEX(CUEs!$B:$B,INT((ROW()-1)/7)*57+MOD(ROW()-1,7)+50),"")</f>
        <v/>
      </c>
    </row>
    <row r="1250" spans="1:1" x14ac:dyDescent="0.25">
      <c r="A1250" t="str" cm="1">
        <f t="array" ref="A1250">IF(INDEX(CUEs!$A:$A,INT((ROW()-1)/7)*57+MOD(ROW()-1,7)+50)&lt;&gt;"","set "&amp;INDEX(CUEs!$A:$A,INT((ROW()-1)/7)*57+MOD(ROW()-1,7)+50)&amp;"=/ s "&amp;INDEX(CUEs!$B:$B,INT((ROW()-1)/7)*57+MOD(ROW()-1,7)+50),"")</f>
        <v/>
      </c>
    </row>
    <row r="1251" spans="1:1" x14ac:dyDescent="0.25">
      <c r="A1251" t="str" cm="1">
        <f t="array" ref="A1251">IF(INDEX(CUEs!$A:$A,INT((ROW()-1)/7)*57+MOD(ROW()-1,7)+50)&lt;&gt;"","set "&amp;INDEX(CUEs!$A:$A,INT((ROW()-1)/7)*57+MOD(ROW()-1,7)+50)&amp;"=/ s "&amp;INDEX(CUEs!$B:$B,INT((ROW()-1)/7)*57+MOD(ROW()-1,7)+50),"")</f>
        <v/>
      </c>
    </row>
    <row r="1252" spans="1:1" x14ac:dyDescent="0.25">
      <c r="A1252" t="str" cm="1">
        <f t="array" ref="A1252">IF(INDEX(CUEs!$A:$A,INT((ROW()-1)/7)*57+MOD(ROW()-1,7)+50)&lt;&gt;"","set "&amp;INDEX(CUEs!$A:$A,INT((ROW()-1)/7)*57+MOD(ROW()-1,7)+50)&amp;"=/ s "&amp;INDEX(CUEs!$B:$B,INT((ROW()-1)/7)*57+MOD(ROW()-1,7)+50),"")</f>
        <v/>
      </c>
    </row>
    <row r="1253" spans="1:1" x14ac:dyDescent="0.25">
      <c r="A1253" t="str" cm="1">
        <f t="array" ref="A1253">IF(INDEX(CUEs!$A:$A,INT((ROW()-1)/7)*57+MOD(ROW()-1,7)+50)&lt;&gt;"","set "&amp;INDEX(CUEs!$A:$A,INT((ROW()-1)/7)*57+MOD(ROW()-1,7)+50)&amp;"=/ s "&amp;INDEX(CUEs!$B:$B,INT((ROW()-1)/7)*57+MOD(ROW()-1,7)+50),"")</f>
        <v/>
      </c>
    </row>
    <row r="1254" spans="1:1" x14ac:dyDescent="0.25">
      <c r="A1254" t="str" cm="1">
        <f t="array" ref="A1254">IF(INDEX(CUEs!$A:$A,INT((ROW()-1)/7)*57+MOD(ROW()-1,7)+50)&lt;&gt;"","set "&amp;INDEX(CUEs!$A:$A,INT((ROW()-1)/7)*57+MOD(ROW()-1,7)+50)&amp;"=/ s "&amp;INDEX(CUEs!$B:$B,INT((ROW()-1)/7)*57+MOD(ROW()-1,7)+50),"")</f>
        <v/>
      </c>
    </row>
    <row r="1255" spans="1:1" x14ac:dyDescent="0.25">
      <c r="A1255" t="str" cm="1">
        <f t="array" ref="A1255">IF(INDEX(CUEs!$A:$A,INT((ROW()-1)/7)*57+MOD(ROW()-1,7)+50)&lt;&gt;"","set "&amp;INDEX(CUEs!$A:$A,INT((ROW()-1)/7)*57+MOD(ROW()-1,7)+50)&amp;"=/ s "&amp;INDEX(CUEs!$B:$B,INT((ROW()-1)/7)*57+MOD(ROW()-1,7)+50),"")</f>
        <v/>
      </c>
    </row>
    <row r="1256" spans="1:1" x14ac:dyDescent="0.25">
      <c r="A1256" t="str" cm="1">
        <f t="array" ref="A1256">IF(INDEX(CUEs!$A:$A,INT((ROW()-1)/7)*57+MOD(ROW()-1,7)+50)&lt;&gt;"","set "&amp;INDEX(CUEs!$A:$A,INT((ROW()-1)/7)*57+MOD(ROW()-1,7)+50)&amp;"=/ s "&amp;INDEX(CUEs!$B:$B,INT((ROW()-1)/7)*57+MOD(ROW()-1,7)+50),"")</f>
        <v/>
      </c>
    </row>
    <row r="1257" spans="1:1" x14ac:dyDescent="0.25">
      <c r="A1257" t="str" cm="1">
        <f t="array" ref="A1257">IF(INDEX(CUEs!$A:$A,INT((ROW()-1)/7)*57+MOD(ROW()-1,7)+50)&lt;&gt;"","set "&amp;INDEX(CUEs!$A:$A,INT((ROW()-1)/7)*57+MOD(ROW()-1,7)+50)&amp;"=/ s "&amp;INDEX(CUEs!$B:$B,INT((ROW()-1)/7)*57+MOD(ROW()-1,7)+50),"")</f>
        <v/>
      </c>
    </row>
    <row r="1258" spans="1:1" x14ac:dyDescent="0.25">
      <c r="A1258" t="str" cm="1">
        <f t="array" ref="A1258">IF(INDEX(CUEs!$A:$A,INT((ROW()-1)/7)*57+MOD(ROW()-1,7)+50)&lt;&gt;"","set "&amp;INDEX(CUEs!$A:$A,INT((ROW()-1)/7)*57+MOD(ROW()-1,7)+50)&amp;"=/ s "&amp;INDEX(CUEs!$B:$B,INT((ROW()-1)/7)*57+MOD(ROW()-1,7)+50),"")</f>
        <v/>
      </c>
    </row>
    <row r="1259" spans="1:1" x14ac:dyDescent="0.25">
      <c r="A1259" t="str" cm="1">
        <f t="array" ref="A1259">IF(INDEX(CUEs!$A:$A,INT((ROW()-1)/7)*57+MOD(ROW()-1,7)+50)&lt;&gt;"","set "&amp;INDEX(CUEs!$A:$A,INT((ROW()-1)/7)*57+MOD(ROW()-1,7)+50)&amp;"=/ s "&amp;INDEX(CUEs!$B:$B,INT((ROW()-1)/7)*57+MOD(ROW()-1,7)+50),"")</f>
        <v/>
      </c>
    </row>
    <row r="1260" spans="1:1" x14ac:dyDescent="0.25">
      <c r="A1260" t="str" cm="1">
        <f t="array" ref="A1260">IF(INDEX(CUEs!$A:$A,INT((ROW()-1)/7)*57+MOD(ROW()-1,7)+50)&lt;&gt;"","set "&amp;INDEX(CUEs!$A:$A,INT((ROW()-1)/7)*57+MOD(ROW()-1,7)+50)&amp;"=/ s "&amp;INDEX(CUEs!$B:$B,INT((ROW()-1)/7)*57+MOD(ROW()-1,7)+50),"")</f>
        <v/>
      </c>
    </row>
    <row r="1261" spans="1:1" x14ac:dyDescent="0.25">
      <c r="A1261" t="str" cm="1">
        <f t="array" ref="A1261">IF(INDEX(CUEs!$A:$A,INT((ROW()-1)/7)*57+MOD(ROW()-1,7)+50)&lt;&gt;"","set "&amp;INDEX(CUEs!$A:$A,INT((ROW()-1)/7)*57+MOD(ROW()-1,7)+50)&amp;"=/ s "&amp;INDEX(CUEs!$B:$B,INT((ROW()-1)/7)*57+MOD(ROW()-1,7)+50),"")</f>
        <v/>
      </c>
    </row>
    <row r="1262" spans="1:1" x14ac:dyDescent="0.25">
      <c r="A1262" t="str" cm="1">
        <f t="array" ref="A1262">IF(INDEX(CUEs!$A:$A,INT((ROW()-1)/7)*57+MOD(ROW()-1,7)+50)&lt;&gt;"","set "&amp;INDEX(CUEs!$A:$A,INT((ROW()-1)/7)*57+MOD(ROW()-1,7)+50)&amp;"=/ s "&amp;INDEX(CUEs!$B:$B,INT((ROW()-1)/7)*57+MOD(ROW()-1,7)+50),"")</f>
        <v/>
      </c>
    </row>
    <row r="1263" spans="1:1" x14ac:dyDescent="0.25">
      <c r="A1263" t="str" cm="1">
        <f t="array" ref="A1263">IF(INDEX(CUEs!$A:$A,INT((ROW()-1)/7)*57+MOD(ROW()-1,7)+50)&lt;&gt;"","set "&amp;INDEX(CUEs!$A:$A,INT((ROW()-1)/7)*57+MOD(ROW()-1,7)+50)&amp;"=/ s "&amp;INDEX(CUEs!$B:$B,INT((ROW()-1)/7)*57+MOD(ROW()-1,7)+50),"")</f>
        <v/>
      </c>
    </row>
    <row r="1264" spans="1:1" x14ac:dyDescent="0.25">
      <c r="A1264" t="str" cm="1">
        <f t="array" ref="A1264">IF(INDEX(CUEs!$A:$A,INT((ROW()-1)/7)*57+MOD(ROW()-1,7)+50)&lt;&gt;"","set "&amp;INDEX(CUEs!$A:$A,INT((ROW()-1)/7)*57+MOD(ROW()-1,7)+50)&amp;"=/ s "&amp;INDEX(CUEs!$B:$B,INT((ROW()-1)/7)*57+MOD(ROW()-1,7)+50),"")</f>
        <v/>
      </c>
    </row>
    <row r="1265" spans="1:1" x14ac:dyDescent="0.25">
      <c r="A1265" t="str" cm="1">
        <f t="array" ref="A1265">IF(INDEX(CUEs!$A:$A,INT((ROW()-1)/7)*57+MOD(ROW()-1,7)+50)&lt;&gt;"","set "&amp;INDEX(CUEs!$A:$A,INT((ROW()-1)/7)*57+MOD(ROW()-1,7)+50)&amp;"=/ s "&amp;INDEX(CUEs!$B:$B,INT((ROW()-1)/7)*57+MOD(ROW()-1,7)+50),"")</f>
        <v/>
      </c>
    </row>
    <row r="1266" spans="1:1" x14ac:dyDescent="0.25">
      <c r="A1266" t="str" cm="1">
        <f t="array" ref="A1266">IF(INDEX(CUEs!$A:$A,INT((ROW()-1)/7)*57+MOD(ROW()-1,7)+50)&lt;&gt;"","set "&amp;INDEX(CUEs!$A:$A,INT((ROW()-1)/7)*57+MOD(ROW()-1,7)+50)&amp;"=/ s "&amp;INDEX(CUEs!$B:$B,INT((ROW()-1)/7)*57+MOD(ROW()-1,7)+50),"")</f>
        <v/>
      </c>
    </row>
    <row r="1267" spans="1:1" x14ac:dyDescent="0.25">
      <c r="A1267" t="str" cm="1">
        <f t="array" ref="A1267">IF(INDEX(CUEs!$A:$A,INT((ROW()-1)/7)*57+MOD(ROW()-1,7)+50)&lt;&gt;"","set "&amp;INDEX(CUEs!$A:$A,INT((ROW()-1)/7)*57+MOD(ROW()-1,7)+50)&amp;"=/ s "&amp;INDEX(CUEs!$B:$B,INT((ROW()-1)/7)*57+MOD(ROW()-1,7)+50),"")</f>
        <v/>
      </c>
    </row>
    <row r="1268" spans="1:1" x14ac:dyDescent="0.25">
      <c r="A1268" t="str" cm="1">
        <f t="array" ref="A1268">IF(INDEX(CUEs!$A:$A,INT((ROW()-1)/7)*57+MOD(ROW()-1,7)+50)&lt;&gt;"","set "&amp;INDEX(CUEs!$A:$A,INT((ROW()-1)/7)*57+MOD(ROW()-1,7)+50)&amp;"=/ s "&amp;INDEX(CUEs!$B:$B,INT((ROW()-1)/7)*57+MOD(ROW()-1,7)+50),"")</f>
        <v/>
      </c>
    </row>
    <row r="1269" spans="1:1" x14ac:dyDescent="0.25">
      <c r="A1269" t="str" cm="1">
        <f t="array" ref="A1269">IF(INDEX(CUEs!$A:$A,INT((ROW()-1)/7)*57+MOD(ROW()-1,7)+50)&lt;&gt;"","set "&amp;INDEX(CUEs!$A:$A,INT((ROW()-1)/7)*57+MOD(ROW()-1,7)+50)&amp;"=/ s "&amp;INDEX(CUEs!$B:$B,INT((ROW()-1)/7)*57+MOD(ROW()-1,7)+50),"")</f>
        <v/>
      </c>
    </row>
    <row r="1270" spans="1:1" x14ac:dyDescent="0.25">
      <c r="A1270" t="str" cm="1">
        <f t="array" ref="A1270">IF(INDEX(CUEs!$A:$A,INT((ROW()-1)/7)*57+MOD(ROW()-1,7)+50)&lt;&gt;"","set "&amp;INDEX(CUEs!$A:$A,INT((ROW()-1)/7)*57+MOD(ROW()-1,7)+50)&amp;"=/ s "&amp;INDEX(CUEs!$B:$B,INT((ROW()-1)/7)*57+MOD(ROW()-1,7)+50),"")</f>
        <v/>
      </c>
    </row>
    <row r="1271" spans="1:1" x14ac:dyDescent="0.25">
      <c r="A1271" t="str" cm="1">
        <f t="array" ref="A1271">IF(INDEX(CUEs!$A:$A,INT((ROW()-1)/7)*57+MOD(ROW()-1,7)+50)&lt;&gt;"","set "&amp;INDEX(CUEs!$A:$A,INT((ROW()-1)/7)*57+MOD(ROW()-1,7)+50)&amp;"=/ s "&amp;INDEX(CUEs!$B:$B,INT((ROW()-1)/7)*57+MOD(ROW()-1,7)+50),"")</f>
        <v/>
      </c>
    </row>
    <row r="1272" spans="1:1" x14ac:dyDescent="0.25">
      <c r="A1272" t="str" cm="1">
        <f t="array" ref="A1272">IF(INDEX(CUEs!$A:$A,INT((ROW()-1)/7)*57+MOD(ROW()-1,7)+50)&lt;&gt;"","set "&amp;INDEX(CUEs!$A:$A,INT((ROW()-1)/7)*57+MOD(ROW()-1,7)+50)&amp;"=/ s "&amp;INDEX(CUEs!$B:$B,INT((ROW()-1)/7)*57+MOD(ROW()-1,7)+50),"")</f>
        <v/>
      </c>
    </row>
    <row r="1273" spans="1:1" x14ac:dyDescent="0.25">
      <c r="A1273" t="str" cm="1">
        <f t="array" ref="A1273">IF(INDEX(CUEs!$A:$A,INT((ROW()-1)/7)*57+MOD(ROW()-1,7)+50)&lt;&gt;"","set "&amp;INDEX(CUEs!$A:$A,INT((ROW()-1)/7)*57+MOD(ROW()-1,7)+50)&amp;"=/ s "&amp;INDEX(CUEs!$B:$B,INT((ROW()-1)/7)*57+MOD(ROW()-1,7)+50),"")</f>
        <v/>
      </c>
    </row>
    <row r="1274" spans="1:1" x14ac:dyDescent="0.25">
      <c r="A1274" t="str" cm="1">
        <f t="array" ref="A1274">IF(INDEX(CUEs!$A:$A,INT((ROW()-1)/7)*57+MOD(ROW()-1,7)+50)&lt;&gt;"","set "&amp;INDEX(CUEs!$A:$A,INT((ROW()-1)/7)*57+MOD(ROW()-1,7)+50)&amp;"=/ s "&amp;INDEX(CUEs!$B:$B,INT((ROW()-1)/7)*57+MOD(ROW()-1,7)+50),"")</f>
        <v/>
      </c>
    </row>
    <row r="1275" spans="1:1" x14ac:dyDescent="0.25">
      <c r="A1275" t="str" cm="1">
        <f t="array" ref="A1275">IF(INDEX(CUEs!$A:$A,INT((ROW()-1)/7)*57+MOD(ROW()-1,7)+50)&lt;&gt;"","set "&amp;INDEX(CUEs!$A:$A,INT((ROW()-1)/7)*57+MOD(ROW()-1,7)+50)&amp;"=/ s "&amp;INDEX(CUEs!$B:$B,INT((ROW()-1)/7)*57+MOD(ROW()-1,7)+50),"")</f>
        <v/>
      </c>
    </row>
    <row r="1276" spans="1:1" x14ac:dyDescent="0.25">
      <c r="A1276" t="str" cm="1">
        <f t="array" ref="A1276">IF(INDEX(CUEs!$A:$A,INT((ROW()-1)/7)*57+MOD(ROW()-1,7)+50)&lt;&gt;"","set "&amp;INDEX(CUEs!$A:$A,INT((ROW()-1)/7)*57+MOD(ROW()-1,7)+50)&amp;"=/ s "&amp;INDEX(CUEs!$B:$B,INT((ROW()-1)/7)*57+MOD(ROW()-1,7)+50),"")</f>
        <v/>
      </c>
    </row>
    <row r="1277" spans="1:1" x14ac:dyDescent="0.25">
      <c r="A1277" t="str" cm="1">
        <f t="array" ref="A1277">IF(INDEX(CUEs!$A:$A,INT((ROW()-1)/7)*57+MOD(ROW()-1,7)+50)&lt;&gt;"","set "&amp;INDEX(CUEs!$A:$A,INT((ROW()-1)/7)*57+MOD(ROW()-1,7)+50)&amp;"=/ s "&amp;INDEX(CUEs!$B:$B,INT((ROW()-1)/7)*57+MOD(ROW()-1,7)+50),"")</f>
        <v/>
      </c>
    </row>
    <row r="1278" spans="1:1" x14ac:dyDescent="0.25">
      <c r="A1278" t="str" cm="1">
        <f t="array" ref="A1278">IF(INDEX(CUEs!$A:$A,INT((ROW()-1)/7)*57+MOD(ROW()-1,7)+50)&lt;&gt;"","set "&amp;INDEX(CUEs!$A:$A,INT((ROW()-1)/7)*57+MOD(ROW()-1,7)+50)&amp;"=/ s "&amp;INDEX(CUEs!$B:$B,INT((ROW()-1)/7)*57+MOD(ROW()-1,7)+50),"")</f>
        <v/>
      </c>
    </row>
    <row r="1279" spans="1:1" x14ac:dyDescent="0.25">
      <c r="A1279" t="str" cm="1">
        <f t="array" ref="A1279">IF(INDEX(CUEs!$A:$A,INT((ROW()-1)/7)*57+MOD(ROW()-1,7)+50)&lt;&gt;"","set "&amp;INDEX(CUEs!$A:$A,INT((ROW()-1)/7)*57+MOD(ROW()-1,7)+50)&amp;"=/ s "&amp;INDEX(CUEs!$B:$B,INT((ROW()-1)/7)*57+MOD(ROW()-1,7)+50),"")</f>
        <v/>
      </c>
    </row>
    <row r="1280" spans="1:1" x14ac:dyDescent="0.25">
      <c r="A1280" t="str" cm="1">
        <f t="array" ref="A1280">IF(INDEX(CUEs!$A:$A,INT((ROW()-1)/7)*57+MOD(ROW()-1,7)+50)&lt;&gt;"","set "&amp;INDEX(CUEs!$A:$A,INT((ROW()-1)/7)*57+MOD(ROW()-1,7)+50)&amp;"=/ s "&amp;INDEX(CUEs!$B:$B,INT((ROW()-1)/7)*57+MOD(ROW()-1,7)+50),"")</f>
        <v/>
      </c>
    </row>
    <row r="1281" spans="1:1" x14ac:dyDescent="0.25">
      <c r="A1281" t="str" cm="1">
        <f t="array" ref="A1281">IF(INDEX(CUEs!$A:$A,INT((ROW()-1)/7)*57+MOD(ROW()-1,7)+50)&lt;&gt;"","set "&amp;INDEX(CUEs!$A:$A,INT((ROW()-1)/7)*57+MOD(ROW()-1,7)+50)&amp;"=/ s "&amp;INDEX(CUEs!$B:$B,INT((ROW()-1)/7)*57+MOD(ROW()-1,7)+50),"")</f>
        <v/>
      </c>
    </row>
    <row r="1282" spans="1:1" x14ac:dyDescent="0.25">
      <c r="A1282" t="str" cm="1">
        <f t="array" ref="A1282">IF(INDEX(CUEs!$A:$A,INT((ROW()-1)/7)*57+MOD(ROW()-1,7)+50)&lt;&gt;"","set "&amp;INDEX(CUEs!$A:$A,INT((ROW()-1)/7)*57+MOD(ROW()-1,7)+50)&amp;"=/ s "&amp;INDEX(CUEs!$B:$B,INT((ROW()-1)/7)*57+MOD(ROW()-1,7)+50),"")</f>
        <v/>
      </c>
    </row>
    <row r="1283" spans="1:1" x14ac:dyDescent="0.25">
      <c r="A1283" t="str" cm="1">
        <f t="array" ref="A1283">IF(INDEX(CUEs!$A:$A,INT((ROW()-1)/7)*57+MOD(ROW()-1,7)+50)&lt;&gt;"","set "&amp;INDEX(CUEs!$A:$A,INT((ROW()-1)/7)*57+MOD(ROW()-1,7)+50)&amp;"=/ s "&amp;INDEX(CUEs!$B:$B,INT((ROW()-1)/7)*57+MOD(ROW()-1,7)+50),"")</f>
        <v/>
      </c>
    </row>
    <row r="1284" spans="1:1" x14ac:dyDescent="0.25">
      <c r="A1284" t="str" cm="1">
        <f t="array" ref="A1284">IF(INDEX(CUEs!$A:$A,INT((ROW()-1)/7)*57+MOD(ROW()-1,7)+50)&lt;&gt;"","set "&amp;INDEX(CUEs!$A:$A,INT((ROW()-1)/7)*57+MOD(ROW()-1,7)+50)&amp;"=/ s "&amp;INDEX(CUEs!$B:$B,INT((ROW()-1)/7)*57+MOD(ROW()-1,7)+50),"")</f>
        <v/>
      </c>
    </row>
    <row r="1285" spans="1:1" x14ac:dyDescent="0.25">
      <c r="A1285" t="str" cm="1">
        <f t="array" ref="A1285">IF(INDEX(CUEs!$A:$A,INT((ROW()-1)/7)*57+MOD(ROW()-1,7)+50)&lt;&gt;"","set "&amp;INDEX(CUEs!$A:$A,INT((ROW()-1)/7)*57+MOD(ROW()-1,7)+50)&amp;"=/ s "&amp;INDEX(CUEs!$B:$B,INT((ROW()-1)/7)*57+MOD(ROW()-1,7)+50),"")</f>
        <v/>
      </c>
    </row>
    <row r="1286" spans="1:1" x14ac:dyDescent="0.25">
      <c r="A1286" t="str" cm="1">
        <f t="array" ref="A1286">IF(INDEX(CUEs!$A:$A,INT((ROW()-1)/7)*57+MOD(ROW()-1,7)+50)&lt;&gt;"","set "&amp;INDEX(CUEs!$A:$A,INT((ROW()-1)/7)*57+MOD(ROW()-1,7)+50)&amp;"=/ s "&amp;INDEX(CUEs!$B:$B,INT((ROW()-1)/7)*57+MOD(ROW()-1,7)+50),"")</f>
        <v/>
      </c>
    </row>
    <row r="1287" spans="1:1" x14ac:dyDescent="0.25">
      <c r="A1287" t="str" cm="1">
        <f t="array" ref="A1287">IF(INDEX(CUEs!$A:$A,INT((ROW()-1)/7)*57+MOD(ROW()-1,7)+50)&lt;&gt;"","set "&amp;INDEX(CUEs!$A:$A,INT((ROW()-1)/7)*57+MOD(ROW()-1,7)+50)&amp;"=/ s "&amp;INDEX(CUEs!$B:$B,INT((ROW()-1)/7)*57+MOD(ROW()-1,7)+50),"")</f>
        <v/>
      </c>
    </row>
    <row r="1288" spans="1:1" x14ac:dyDescent="0.25">
      <c r="A1288" t="str" cm="1">
        <f t="array" ref="A1288">IF(INDEX(CUEs!$A:$A,INT((ROW()-1)/7)*57+MOD(ROW()-1,7)+50)&lt;&gt;"","set "&amp;INDEX(CUEs!$A:$A,INT((ROW()-1)/7)*57+MOD(ROW()-1,7)+50)&amp;"=/ s "&amp;INDEX(CUEs!$B:$B,INT((ROW()-1)/7)*57+MOD(ROW()-1,7)+50),"")</f>
        <v/>
      </c>
    </row>
    <row r="1289" spans="1:1" x14ac:dyDescent="0.25">
      <c r="A1289" t="str" cm="1">
        <f t="array" ref="A1289">IF(INDEX(CUEs!$A:$A,INT((ROW()-1)/7)*57+MOD(ROW()-1,7)+50)&lt;&gt;"","set "&amp;INDEX(CUEs!$A:$A,INT((ROW()-1)/7)*57+MOD(ROW()-1,7)+50)&amp;"=/ s "&amp;INDEX(CUEs!$B:$B,INT((ROW()-1)/7)*57+MOD(ROW()-1,7)+50),"")</f>
        <v/>
      </c>
    </row>
    <row r="1290" spans="1:1" x14ac:dyDescent="0.25">
      <c r="A1290" t="str" cm="1">
        <f t="array" ref="A1290">IF(INDEX(CUEs!$A:$A,INT((ROW()-1)/7)*57+MOD(ROW()-1,7)+50)&lt;&gt;"","set "&amp;INDEX(CUEs!$A:$A,INT((ROW()-1)/7)*57+MOD(ROW()-1,7)+50)&amp;"=/ s "&amp;INDEX(CUEs!$B:$B,INT((ROW()-1)/7)*57+MOD(ROW()-1,7)+50),"")</f>
        <v/>
      </c>
    </row>
    <row r="1291" spans="1:1" x14ac:dyDescent="0.25">
      <c r="A1291" t="str" cm="1">
        <f t="array" ref="A1291">IF(INDEX(CUEs!$A:$A,INT((ROW()-1)/7)*57+MOD(ROW()-1,7)+50)&lt;&gt;"","set "&amp;INDEX(CUEs!$A:$A,INT((ROW()-1)/7)*57+MOD(ROW()-1,7)+50)&amp;"=/ s "&amp;INDEX(CUEs!$B:$B,INT((ROW()-1)/7)*57+MOD(ROW()-1,7)+50),"")</f>
        <v/>
      </c>
    </row>
    <row r="1292" spans="1:1" x14ac:dyDescent="0.25">
      <c r="A1292" t="str" cm="1">
        <f t="array" ref="A1292">IF(INDEX(CUEs!$A:$A,INT((ROW()-1)/7)*57+MOD(ROW()-1,7)+50)&lt;&gt;"","set "&amp;INDEX(CUEs!$A:$A,INT((ROW()-1)/7)*57+MOD(ROW()-1,7)+50)&amp;"=/ s "&amp;INDEX(CUEs!$B:$B,INT((ROW()-1)/7)*57+MOD(ROW()-1,7)+50),"")</f>
        <v/>
      </c>
    </row>
    <row r="1293" spans="1:1" x14ac:dyDescent="0.25">
      <c r="A1293" t="str" cm="1">
        <f t="array" ref="A1293">IF(INDEX(CUEs!$A:$A,INT((ROW()-1)/7)*57+MOD(ROW()-1,7)+50)&lt;&gt;"","set "&amp;INDEX(CUEs!$A:$A,INT((ROW()-1)/7)*57+MOD(ROW()-1,7)+50)&amp;"=/ s "&amp;INDEX(CUEs!$B:$B,INT((ROW()-1)/7)*57+MOD(ROW()-1,7)+50),"")</f>
        <v/>
      </c>
    </row>
    <row r="1294" spans="1:1" x14ac:dyDescent="0.25">
      <c r="A1294" t="str" cm="1">
        <f t="array" ref="A1294">IF(INDEX(CUEs!$A:$A,INT((ROW()-1)/7)*57+MOD(ROW()-1,7)+50)&lt;&gt;"","set "&amp;INDEX(CUEs!$A:$A,INT((ROW()-1)/7)*57+MOD(ROW()-1,7)+50)&amp;"=/ s "&amp;INDEX(CUEs!$B:$B,INT((ROW()-1)/7)*57+MOD(ROW()-1,7)+50),"")</f>
        <v/>
      </c>
    </row>
    <row r="1295" spans="1:1" x14ac:dyDescent="0.25">
      <c r="A1295" t="str" cm="1">
        <f t="array" ref="A1295">IF(INDEX(CUEs!$A:$A,INT((ROW()-1)/7)*57+MOD(ROW()-1,7)+50)&lt;&gt;"","set "&amp;INDEX(CUEs!$A:$A,INT((ROW()-1)/7)*57+MOD(ROW()-1,7)+50)&amp;"=/ s "&amp;INDEX(CUEs!$B:$B,INT((ROW()-1)/7)*57+MOD(ROW()-1,7)+50),"")</f>
        <v/>
      </c>
    </row>
    <row r="1296" spans="1:1" x14ac:dyDescent="0.25">
      <c r="A1296" t="str" cm="1">
        <f t="array" ref="A1296">IF(INDEX(CUEs!$A:$A,INT((ROW()-1)/7)*57+MOD(ROW()-1,7)+50)&lt;&gt;"","set "&amp;INDEX(CUEs!$A:$A,INT((ROW()-1)/7)*57+MOD(ROW()-1,7)+50)&amp;"=/ s "&amp;INDEX(CUEs!$B:$B,INT((ROW()-1)/7)*57+MOD(ROW()-1,7)+50),"")</f>
        <v/>
      </c>
    </row>
    <row r="1297" spans="1:1" x14ac:dyDescent="0.25">
      <c r="A1297" t="str" cm="1">
        <f t="array" ref="A1297">IF(INDEX(CUEs!$A:$A,INT((ROW()-1)/7)*57+MOD(ROW()-1,7)+50)&lt;&gt;"","set "&amp;INDEX(CUEs!$A:$A,INT((ROW()-1)/7)*57+MOD(ROW()-1,7)+50)&amp;"=/ s "&amp;INDEX(CUEs!$B:$B,INT((ROW()-1)/7)*57+MOD(ROW()-1,7)+50),"")</f>
        <v/>
      </c>
    </row>
    <row r="1298" spans="1:1" x14ac:dyDescent="0.25">
      <c r="A1298" t="str" cm="1">
        <f t="array" ref="A1298">IF(INDEX(CUEs!$A:$A,INT((ROW()-1)/7)*57+MOD(ROW()-1,7)+50)&lt;&gt;"","set "&amp;INDEX(CUEs!$A:$A,INT((ROW()-1)/7)*57+MOD(ROW()-1,7)+50)&amp;"=/ s "&amp;INDEX(CUEs!$B:$B,INT((ROW()-1)/7)*57+MOD(ROW()-1,7)+50),"")</f>
        <v/>
      </c>
    </row>
    <row r="1299" spans="1:1" x14ac:dyDescent="0.25">
      <c r="A1299" t="str" cm="1">
        <f t="array" ref="A1299">IF(INDEX(CUEs!$A:$A,INT((ROW()-1)/7)*57+MOD(ROW()-1,7)+50)&lt;&gt;"","set "&amp;INDEX(CUEs!$A:$A,INT((ROW()-1)/7)*57+MOD(ROW()-1,7)+50)&amp;"=/ s "&amp;INDEX(CUEs!$B:$B,INT((ROW()-1)/7)*57+MOD(ROW()-1,7)+50),"")</f>
        <v/>
      </c>
    </row>
    <row r="1300" spans="1:1" x14ac:dyDescent="0.25">
      <c r="A1300" t="str" cm="1">
        <f t="array" ref="A1300">IF(INDEX(CUEs!$A:$A,INT((ROW()-1)/7)*57+MOD(ROW()-1,7)+50)&lt;&gt;"","set "&amp;INDEX(CUEs!$A:$A,INT((ROW()-1)/7)*57+MOD(ROW()-1,7)+50)&amp;"=/ s "&amp;INDEX(CUEs!$B:$B,INT((ROW()-1)/7)*57+MOD(ROW()-1,7)+50),"")</f>
        <v/>
      </c>
    </row>
    <row r="1301" spans="1:1" x14ac:dyDescent="0.25">
      <c r="A1301" t="str" cm="1">
        <f t="array" ref="A1301">IF(INDEX(CUEs!$A:$A,INT((ROW()-1)/7)*57+MOD(ROW()-1,7)+50)&lt;&gt;"","set "&amp;INDEX(CUEs!$A:$A,INT((ROW()-1)/7)*57+MOD(ROW()-1,7)+50)&amp;"=/ s "&amp;INDEX(CUEs!$B:$B,INT((ROW()-1)/7)*57+MOD(ROW()-1,7)+50),"")</f>
        <v/>
      </c>
    </row>
    <row r="1302" spans="1:1" x14ac:dyDescent="0.25">
      <c r="A1302" t="str" cm="1">
        <f t="array" ref="A1302">IF(INDEX(CUEs!$A:$A,INT((ROW()-1)/7)*57+MOD(ROW()-1,7)+50)&lt;&gt;"","set "&amp;INDEX(CUEs!$A:$A,INT((ROW()-1)/7)*57+MOD(ROW()-1,7)+50)&amp;"=/ s "&amp;INDEX(CUEs!$B:$B,INT((ROW()-1)/7)*57+MOD(ROW()-1,7)+50),"")</f>
        <v/>
      </c>
    </row>
    <row r="1303" spans="1:1" x14ac:dyDescent="0.25">
      <c r="A1303" t="str" cm="1">
        <f t="array" ref="A1303">IF(INDEX(CUEs!$A:$A,INT((ROW()-1)/7)*57+MOD(ROW()-1,7)+50)&lt;&gt;"","set "&amp;INDEX(CUEs!$A:$A,INT((ROW()-1)/7)*57+MOD(ROW()-1,7)+50)&amp;"=/ s "&amp;INDEX(CUEs!$B:$B,INT((ROW()-1)/7)*57+MOD(ROW()-1,7)+50),"")</f>
        <v/>
      </c>
    </row>
    <row r="1304" spans="1:1" x14ac:dyDescent="0.25">
      <c r="A1304" t="str" cm="1">
        <f t="array" ref="A1304">IF(INDEX(CUEs!$A:$A,INT((ROW()-1)/7)*57+MOD(ROW()-1,7)+50)&lt;&gt;"","set "&amp;INDEX(CUEs!$A:$A,INT((ROW()-1)/7)*57+MOD(ROW()-1,7)+50)&amp;"=/ s "&amp;INDEX(CUEs!$B:$B,INT((ROW()-1)/7)*57+MOD(ROW()-1,7)+50),"")</f>
        <v/>
      </c>
    </row>
    <row r="1305" spans="1:1" x14ac:dyDescent="0.25">
      <c r="A1305" t="str" cm="1">
        <f t="array" ref="A1305">IF(INDEX(CUEs!$A:$A,INT((ROW()-1)/7)*57+MOD(ROW()-1,7)+50)&lt;&gt;"","set "&amp;INDEX(CUEs!$A:$A,INT((ROW()-1)/7)*57+MOD(ROW()-1,7)+50)&amp;"=/ s "&amp;INDEX(CUEs!$B:$B,INT((ROW()-1)/7)*57+MOD(ROW()-1,7)+50),"")</f>
        <v/>
      </c>
    </row>
    <row r="1306" spans="1:1" x14ac:dyDescent="0.25">
      <c r="A1306" t="str" cm="1">
        <f t="array" ref="A1306">IF(INDEX(CUEs!$A:$A,INT((ROW()-1)/7)*57+MOD(ROW()-1,7)+50)&lt;&gt;"","set "&amp;INDEX(CUEs!$A:$A,INT((ROW()-1)/7)*57+MOD(ROW()-1,7)+50)&amp;"=/ s "&amp;INDEX(CUEs!$B:$B,INT((ROW()-1)/7)*57+MOD(ROW()-1,7)+50),"")</f>
        <v/>
      </c>
    </row>
    <row r="1307" spans="1:1" x14ac:dyDescent="0.25">
      <c r="A1307" t="str" cm="1">
        <f t="array" ref="A1307">IF(INDEX(CUEs!$A:$A,INT((ROW()-1)/7)*57+MOD(ROW()-1,7)+50)&lt;&gt;"","set "&amp;INDEX(CUEs!$A:$A,INT((ROW()-1)/7)*57+MOD(ROW()-1,7)+50)&amp;"=/ s "&amp;INDEX(CUEs!$B:$B,INT((ROW()-1)/7)*57+MOD(ROW()-1,7)+50),"")</f>
        <v/>
      </c>
    </row>
    <row r="1308" spans="1:1" x14ac:dyDescent="0.25">
      <c r="A1308" t="str" cm="1">
        <f t="array" ref="A1308">IF(INDEX(CUEs!$A:$A,INT((ROW()-1)/7)*57+MOD(ROW()-1,7)+50)&lt;&gt;"","set "&amp;INDEX(CUEs!$A:$A,INT((ROW()-1)/7)*57+MOD(ROW()-1,7)+50)&amp;"=/ s "&amp;INDEX(CUEs!$B:$B,INT((ROW()-1)/7)*57+MOD(ROW()-1,7)+50),"")</f>
        <v/>
      </c>
    </row>
    <row r="1309" spans="1:1" x14ac:dyDescent="0.25">
      <c r="A1309" t="str" cm="1">
        <f t="array" ref="A1309">IF(INDEX(CUEs!$A:$A,INT((ROW()-1)/7)*57+MOD(ROW()-1,7)+50)&lt;&gt;"","set "&amp;INDEX(CUEs!$A:$A,INT((ROW()-1)/7)*57+MOD(ROW()-1,7)+50)&amp;"=/ s "&amp;INDEX(CUEs!$B:$B,INT((ROW()-1)/7)*57+MOD(ROW()-1,7)+50),"")</f>
        <v/>
      </c>
    </row>
    <row r="1310" spans="1:1" x14ac:dyDescent="0.25">
      <c r="A1310" t="str" cm="1">
        <f t="array" ref="A1310">IF(INDEX(CUEs!$A:$A,INT((ROW()-1)/7)*57+MOD(ROW()-1,7)+50)&lt;&gt;"","set "&amp;INDEX(CUEs!$A:$A,INT((ROW()-1)/7)*57+MOD(ROW()-1,7)+50)&amp;"=/ s "&amp;INDEX(CUEs!$B:$B,INT((ROW()-1)/7)*57+MOD(ROW()-1,7)+50),"")</f>
        <v/>
      </c>
    </row>
    <row r="1311" spans="1:1" x14ac:dyDescent="0.25">
      <c r="A1311" t="str" cm="1">
        <f t="array" ref="A1311">IF(INDEX(CUEs!$A:$A,INT((ROW()-1)/7)*57+MOD(ROW()-1,7)+50)&lt;&gt;"","set "&amp;INDEX(CUEs!$A:$A,INT((ROW()-1)/7)*57+MOD(ROW()-1,7)+50)&amp;"=/ s "&amp;INDEX(CUEs!$B:$B,INT((ROW()-1)/7)*57+MOD(ROW()-1,7)+50),"")</f>
        <v/>
      </c>
    </row>
    <row r="1312" spans="1:1" x14ac:dyDescent="0.25">
      <c r="A1312" t="str" cm="1">
        <f t="array" ref="A1312">IF(INDEX(CUEs!$A:$A,INT((ROW()-1)/7)*57+MOD(ROW()-1,7)+50)&lt;&gt;"","set "&amp;INDEX(CUEs!$A:$A,INT((ROW()-1)/7)*57+MOD(ROW()-1,7)+50)&amp;"=/ s "&amp;INDEX(CUEs!$B:$B,INT((ROW()-1)/7)*57+MOD(ROW()-1,7)+50),"")</f>
        <v/>
      </c>
    </row>
    <row r="1313" spans="1:1" x14ac:dyDescent="0.25">
      <c r="A1313" t="str" cm="1">
        <f t="array" ref="A1313">IF(INDEX(CUEs!$A:$A,INT((ROW()-1)/7)*57+MOD(ROW()-1,7)+50)&lt;&gt;"","set "&amp;INDEX(CUEs!$A:$A,INT((ROW()-1)/7)*57+MOD(ROW()-1,7)+50)&amp;"=/ s "&amp;INDEX(CUEs!$B:$B,INT((ROW()-1)/7)*57+MOD(ROW()-1,7)+50),"")</f>
        <v/>
      </c>
    </row>
    <row r="1314" spans="1:1" x14ac:dyDescent="0.25">
      <c r="A1314" t="str" cm="1">
        <f t="array" ref="A1314">IF(INDEX(CUEs!$A:$A,INT((ROW()-1)/7)*57+MOD(ROW()-1,7)+50)&lt;&gt;"","set "&amp;INDEX(CUEs!$A:$A,INT((ROW()-1)/7)*57+MOD(ROW()-1,7)+50)&amp;"=/ s "&amp;INDEX(CUEs!$B:$B,INT((ROW()-1)/7)*57+MOD(ROW()-1,7)+50),"")</f>
        <v/>
      </c>
    </row>
    <row r="1315" spans="1:1" x14ac:dyDescent="0.25">
      <c r="A1315" t="str" cm="1">
        <f t="array" ref="A1315">IF(INDEX(CUEs!$A:$A,INT((ROW()-1)/7)*57+MOD(ROW()-1,7)+50)&lt;&gt;"","set "&amp;INDEX(CUEs!$A:$A,INT((ROW()-1)/7)*57+MOD(ROW()-1,7)+50)&amp;"=/ s "&amp;INDEX(CUEs!$B:$B,INT((ROW()-1)/7)*57+MOD(ROW()-1,7)+50),"")</f>
        <v/>
      </c>
    </row>
    <row r="1316" spans="1:1" x14ac:dyDescent="0.25">
      <c r="A1316" t="str" cm="1">
        <f t="array" ref="A1316">IF(INDEX(CUEs!$A:$A,INT((ROW()-1)/7)*57+MOD(ROW()-1,7)+50)&lt;&gt;"","set "&amp;INDEX(CUEs!$A:$A,INT((ROW()-1)/7)*57+MOD(ROW()-1,7)+50)&amp;"=/ s "&amp;INDEX(CUEs!$B:$B,INT((ROW()-1)/7)*57+MOD(ROW()-1,7)+50),"")</f>
        <v/>
      </c>
    </row>
    <row r="1317" spans="1:1" x14ac:dyDescent="0.25">
      <c r="A1317" t="str" cm="1">
        <f t="array" ref="A1317">IF(INDEX(CUEs!$A:$A,INT((ROW()-1)/7)*57+MOD(ROW()-1,7)+50)&lt;&gt;"","set "&amp;INDEX(CUEs!$A:$A,INT((ROW()-1)/7)*57+MOD(ROW()-1,7)+50)&amp;"=/ s "&amp;INDEX(CUEs!$B:$B,INT((ROW()-1)/7)*57+MOD(ROW()-1,7)+50),"")</f>
        <v/>
      </c>
    </row>
    <row r="1318" spans="1:1" x14ac:dyDescent="0.25">
      <c r="A1318" t="str" cm="1">
        <f t="array" ref="A1318">IF(INDEX(CUEs!$A:$A,INT((ROW()-1)/7)*57+MOD(ROW()-1,7)+50)&lt;&gt;"","set "&amp;INDEX(CUEs!$A:$A,INT((ROW()-1)/7)*57+MOD(ROW()-1,7)+50)&amp;"=/ s "&amp;INDEX(CUEs!$B:$B,INT((ROW()-1)/7)*57+MOD(ROW()-1,7)+50),"")</f>
        <v/>
      </c>
    </row>
    <row r="1319" spans="1:1" x14ac:dyDescent="0.25">
      <c r="A1319" t="str" cm="1">
        <f t="array" ref="A1319">IF(INDEX(CUEs!$A:$A,INT((ROW()-1)/7)*57+MOD(ROW()-1,7)+50)&lt;&gt;"","set "&amp;INDEX(CUEs!$A:$A,INT((ROW()-1)/7)*57+MOD(ROW()-1,7)+50)&amp;"=/ s "&amp;INDEX(CUEs!$B:$B,INT((ROW()-1)/7)*57+MOD(ROW()-1,7)+50),"")</f>
        <v/>
      </c>
    </row>
    <row r="1320" spans="1:1" x14ac:dyDescent="0.25">
      <c r="A1320" t="str" cm="1">
        <f t="array" ref="A1320">IF(INDEX(CUEs!$A:$A,INT((ROW()-1)/7)*57+MOD(ROW()-1,7)+50)&lt;&gt;"","set "&amp;INDEX(CUEs!$A:$A,INT((ROW()-1)/7)*57+MOD(ROW()-1,7)+50)&amp;"=/ s "&amp;INDEX(CUEs!$B:$B,INT((ROW()-1)/7)*57+MOD(ROW()-1,7)+50),"")</f>
        <v/>
      </c>
    </row>
    <row r="1321" spans="1:1" x14ac:dyDescent="0.25">
      <c r="A1321" t="str" cm="1">
        <f t="array" ref="A1321">IF(INDEX(CUEs!$A:$A,INT((ROW()-1)/7)*57+MOD(ROW()-1,7)+50)&lt;&gt;"","set "&amp;INDEX(CUEs!$A:$A,INT((ROW()-1)/7)*57+MOD(ROW()-1,7)+50)&amp;"=/ s "&amp;INDEX(CUEs!$B:$B,INT((ROW()-1)/7)*57+MOD(ROW()-1,7)+50),"")</f>
        <v/>
      </c>
    </row>
    <row r="1322" spans="1:1" x14ac:dyDescent="0.25">
      <c r="A1322" t="str" cm="1">
        <f t="array" ref="A1322">IF(INDEX(CUEs!$A:$A,INT((ROW()-1)/7)*57+MOD(ROW()-1,7)+50)&lt;&gt;"","set "&amp;INDEX(CUEs!$A:$A,INT((ROW()-1)/7)*57+MOD(ROW()-1,7)+50)&amp;"=/ s "&amp;INDEX(CUEs!$B:$B,INT((ROW()-1)/7)*57+MOD(ROW()-1,7)+50),"")</f>
        <v/>
      </c>
    </row>
    <row r="1323" spans="1:1" x14ac:dyDescent="0.25">
      <c r="A1323" t="str" cm="1">
        <f t="array" ref="A1323">IF(INDEX(CUEs!$A:$A,INT((ROW()-1)/7)*57+MOD(ROW()-1,7)+50)&lt;&gt;"","set "&amp;INDEX(CUEs!$A:$A,INT((ROW()-1)/7)*57+MOD(ROW()-1,7)+50)&amp;"=/ s "&amp;INDEX(CUEs!$B:$B,INT((ROW()-1)/7)*57+MOD(ROW()-1,7)+50),"")</f>
        <v/>
      </c>
    </row>
    <row r="1324" spans="1:1" x14ac:dyDescent="0.25">
      <c r="A1324" t="str" cm="1">
        <f t="array" ref="A1324">IF(INDEX(CUEs!$A:$A,INT((ROW()-1)/7)*57+MOD(ROW()-1,7)+50)&lt;&gt;"","set "&amp;INDEX(CUEs!$A:$A,INT((ROW()-1)/7)*57+MOD(ROW()-1,7)+50)&amp;"=/ s "&amp;INDEX(CUEs!$B:$B,INT((ROW()-1)/7)*57+MOD(ROW()-1,7)+50),"")</f>
        <v/>
      </c>
    </row>
    <row r="1325" spans="1:1" x14ac:dyDescent="0.25">
      <c r="A1325" t="str" cm="1">
        <f t="array" ref="A1325">IF(INDEX(CUEs!$A:$A,INT((ROW()-1)/7)*57+MOD(ROW()-1,7)+50)&lt;&gt;"","set "&amp;INDEX(CUEs!$A:$A,INT((ROW()-1)/7)*57+MOD(ROW()-1,7)+50)&amp;"=/ s "&amp;INDEX(CUEs!$B:$B,INT((ROW()-1)/7)*57+MOD(ROW()-1,7)+50),"")</f>
        <v/>
      </c>
    </row>
    <row r="1326" spans="1:1" x14ac:dyDescent="0.25">
      <c r="A1326" t="str" cm="1">
        <f t="array" ref="A1326">IF(INDEX(CUEs!$A:$A,INT((ROW()-1)/7)*57+MOD(ROW()-1,7)+50)&lt;&gt;"","set "&amp;INDEX(CUEs!$A:$A,INT((ROW()-1)/7)*57+MOD(ROW()-1,7)+50)&amp;"=/ s "&amp;INDEX(CUEs!$B:$B,INT((ROW()-1)/7)*57+MOD(ROW()-1,7)+50),"")</f>
        <v/>
      </c>
    </row>
    <row r="1327" spans="1:1" x14ac:dyDescent="0.25">
      <c r="A1327" t="str" cm="1">
        <f t="array" ref="A1327">IF(INDEX(CUEs!$A:$A,INT((ROW()-1)/7)*57+MOD(ROW()-1,7)+50)&lt;&gt;"","set "&amp;INDEX(CUEs!$A:$A,INT((ROW()-1)/7)*57+MOD(ROW()-1,7)+50)&amp;"=/ s "&amp;INDEX(CUEs!$B:$B,INT((ROW()-1)/7)*57+MOD(ROW()-1,7)+50),"")</f>
        <v/>
      </c>
    </row>
    <row r="1328" spans="1:1" x14ac:dyDescent="0.25">
      <c r="A1328" t="str" cm="1">
        <f t="array" ref="A1328">IF(INDEX(CUEs!$A:$A,INT((ROW()-1)/7)*57+MOD(ROW()-1,7)+50)&lt;&gt;"","set "&amp;INDEX(CUEs!$A:$A,INT((ROW()-1)/7)*57+MOD(ROW()-1,7)+50)&amp;"=/ s "&amp;INDEX(CUEs!$B:$B,INT((ROW()-1)/7)*57+MOD(ROW()-1,7)+50),"")</f>
        <v/>
      </c>
    </row>
    <row r="1329" spans="1:1" x14ac:dyDescent="0.25">
      <c r="A1329" t="str" cm="1">
        <f t="array" ref="A1329">IF(INDEX(CUEs!$A:$A,INT((ROW()-1)/7)*57+MOD(ROW()-1,7)+50)&lt;&gt;"","set "&amp;INDEX(CUEs!$A:$A,INT((ROW()-1)/7)*57+MOD(ROW()-1,7)+50)&amp;"=/ s "&amp;INDEX(CUEs!$B:$B,INT((ROW()-1)/7)*57+MOD(ROW()-1,7)+50),"")</f>
        <v/>
      </c>
    </row>
    <row r="1330" spans="1:1" x14ac:dyDescent="0.25">
      <c r="A1330" t="str" cm="1">
        <f t="array" ref="A1330">IF(INDEX(CUEs!$A:$A,INT((ROW()-1)/7)*57+MOD(ROW()-1,7)+50)&lt;&gt;"","set "&amp;INDEX(CUEs!$A:$A,INT((ROW()-1)/7)*57+MOD(ROW()-1,7)+50)&amp;"=/ s "&amp;INDEX(CUEs!$B:$B,INT((ROW()-1)/7)*57+MOD(ROW()-1,7)+50),"")</f>
        <v/>
      </c>
    </row>
    <row r="1331" spans="1:1" x14ac:dyDescent="0.25">
      <c r="A1331" t="str" cm="1">
        <f t="array" ref="A1331">IF(INDEX(CUEs!$A:$A,INT((ROW()-1)/7)*57+MOD(ROW()-1,7)+50)&lt;&gt;"","set "&amp;INDEX(CUEs!$A:$A,INT((ROW()-1)/7)*57+MOD(ROW()-1,7)+50)&amp;"=/ s "&amp;INDEX(CUEs!$B:$B,INT((ROW()-1)/7)*57+MOD(ROW()-1,7)+50),"")</f>
        <v/>
      </c>
    </row>
    <row r="1332" spans="1:1" x14ac:dyDescent="0.25">
      <c r="A1332" t="str" cm="1">
        <f t="array" ref="A1332">IF(INDEX(CUEs!$A:$A,INT((ROW()-1)/7)*57+MOD(ROW()-1,7)+50)&lt;&gt;"","set "&amp;INDEX(CUEs!$A:$A,INT((ROW()-1)/7)*57+MOD(ROW()-1,7)+50)&amp;"=/ s "&amp;INDEX(CUEs!$B:$B,INT((ROW()-1)/7)*57+MOD(ROW()-1,7)+50),"")</f>
        <v/>
      </c>
    </row>
    <row r="1333" spans="1:1" x14ac:dyDescent="0.25">
      <c r="A1333" t="str" cm="1">
        <f t="array" ref="A1333">IF(INDEX(CUEs!$A:$A,INT((ROW()-1)/7)*57+MOD(ROW()-1,7)+50)&lt;&gt;"","set "&amp;INDEX(CUEs!$A:$A,INT((ROW()-1)/7)*57+MOD(ROW()-1,7)+50)&amp;"=/ s "&amp;INDEX(CUEs!$B:$B,INT((ROW()-1)/7)*57+MOD(ROW()-1,7)+50),"")</f>
        <v/>
      </c>
    </row>
    <row r="1334" spans="1:1" x14ac:dyDescent="0.25">
      <c r="A1334" t="str" cm="1">
        <f t="array" ref="A1334">IF(INDEX(CUEs!$A:$A,INT((ROW()-1)/7)*57+MOD(ROW()-1,7)+50)&lt;&gt;"","set "&amp;INDEX(CUEs!$A:$A,INT((ROW()-1)/7)*57+MOD(ROW()-1,7)+50)&amp;"=/ s "&amp;INDEX(CUEs!$B:$B,INT((ROW()-1)/7)*57+MOD(ROW()-1,7)+50),"")</f>
        <v/>
      </c>
    </row>
    <row r="1335" spans="1:1" x14ac:dyDescent="0.25">
      <c r="A1335" t="str" cm="1">
        <f t="array" ref="A1335">IF(INDEX(CUEs!$A:$A,INT((ROW()-1)/7)*57+MOD(ROW()-1,7)+50)&lt;&gt;"","set "&amp;INDEX(CUEs!$A:$A,INT((ROW()-1)/7)*57+MOD(ROW()-1,7)+50)&amp;"=/ s "&amp;INDEX(CUEs!$B:$B,INT((ROW()-1)/7)*57+MOD(ROW()-1,7)+50),"")</f>
        <v/>
      </c>
    </row>
    <row r="1336" spans="1:1" x14ac:dyDescent="0.25">
      <c r="A1336" t="str" cm="1">
        <f t="array" ref="A1336">IF(INDEX(CUEs!$A:$A,INT((ROW()-1)/7)*57+MOD(ROW()-1,7)+50)&lt;&gt;"","set "&amp;INDEX(CUEs!$A:$A,INT((ROW()-1)/7)*57+MOD(ROW()-1,7)+50)&amp;"=/ s "&amp;INDEX(CUEs!$B:$B,INT((ROW()-1)/7)*57+MOD(ROW()-1,7)+50),"")</f>
        <v/>
      </c>
    </row>
    <row r="1337" spans="1:1" x14ac:dyDescent="0.25">
      <c r="A1337" t="str" cm="1">
        <f t="array" ref="A1337">IF(INDEX(CUEs!$A:$A,INT((ROW()-1)/7)*57+MOD(ROW()-1,7)+50)&lt;&gt;"","set "&amp;INDEX(CUEs!$A:$A,INT((ROW()-1)/7)*57+MOD(ROW()-1,7)+50)&amp;"=/ s "&amp;INDEX(CUEs!$B:$B,INT((ROW()-1)/7)*57+MOD(ROW()-1,7)+50),"")</f>
        <v/>
      </c>
    </row>
    <row r="1338" spans="1:1" x14ac:dyDescent="0.25">
      <c r="A1338" t="str" cm="1">
        <f t="array" ref="A1338">IF(INDEX(CUEs!$A:$A,INT((ROW()-1)/7)*57+MOD(ROW()-1,7)+50)&lt;&gt;"","set "&amp;INDEX(CUEs!$A:$A,INT((ROW()-1)/7)*57+MOD(ROW()-1,7)+50)&amp;"=/ s "&amp;INDEX(CUEs!$B:$B,INT((ROW()-1)/7)*57+MOD(ROW()-1,7)+50),"")</f>
        <v/>
      </c>
    </row>
    <row r="1339" spans="1:1" x14ac:dyDescent="0.25">
      <c r="A1339" t="str" cm="1">
        <f t="array" ref="A1339">IF(INDEX(CUEs!$A:$A,INT((ROW()-1)/7)*57+MOD(ROW()-1,7)+50)&lt;&gt;"","set "&amp;INDEX(CUEs!$A:$A,INT((ROW()-1)/7)*57+MOD(ROW()-1,7)+50)&amp;"=/ s "&amp;INDEX(CUEs!$B:$B,INT((ROW()-1)/7)*57+MOD(ROW()-1,7)+50),"")</f>
        <v/>
      </c>
    </row>
    <row r="1340" spans="1:1" x14ac:dyDescent="0.25">
      <c r="A1340" t="str" cm="1">
        <f t="array" ref="A1340">IF(INDEX(CUEs!$A:$A,INT((ROW()-1)/7)*57+MOD(ROW()-1,7)+50)&lt;&gt;"","set "&amp;INDEX(CUEs!$A:$A,INT((ROW()-1)/7)*57+MOD(ROW()-1,7)+50)&amp;"=/ s "&amp;INDEX(CUEs!$B:$B,INT((ROW()-1)/7)*57+MOD(ROW()-1,7)+50),"")</f>
        <v/>
      </c>
    </row>
    <row r="1341" spans="1:1" x14ac:dyDescent="0.25">
      <c r="A1341" t="str" cm="1">
        <f t="array" ref="A1341">IF(INDEX(CUEs!$A:$A,INT((ROW()-1)/7)*57+MOD(ROW()-1,7)+50)&lt;&gt;"","set "&amp;INDEX(CUEs!$A:$A,INT((ROW()-1)/7)*57+MOD(ROW()-1,7)+50)&amp;"=/ s "&amp;INDEX(CUEs!$B:$B,INT((ROW()-1)/7)*57+MOD(ROW()-1,7)+50),"")</f>
        <v/>
      </c>
    </row>
    <row r="1342" spans="1:1" x14ac:dyDescent="0.25">
      <c r="A1342" t="str" cm="1">
        <f t="array" ref="A1342">IF(INDEX(CUEs!$A:$A,INT((ROW()-1)/7)*57+MOD(ROW()-1,7)+50)&lt;&gt;"","set "&amp;INDEX(CUEs!$A:$A,INT((ROW()-1)/7)*57+MOD(ROW()-1,7)+50)&amp;"=/ s "&amp;INDEX(CUEs!$B:$B,INT((ROW()-1)/7)*57+MOD(ROW()-1,7)+50),"")</f>
        <v/>
      </c>
    </row>
    <row r="1343" spans="1:1" x14ac:dyDescent="0.25">
      <c r="A1343" t="str" cm="1">
        <f t="array" ref="A1343">IF(INDEX(CUEs!$A:$A,INT((ROW()-1)/7)*57+MOD(ROW()-1,7)+50)&lt;&gt;"","set "&amp;INDEX(CUEs!$A:$A,INT((ROW()-1)/7)*57+MOD(ROW()-1,7)+50)&amp;"=/ s "&amp;INDEX(CUEs!$B:$B,INT((ROW()-1)/7)*57+MOD(ROW()-1,7)+50),"")</f>
        <v/>
      </c>
    </row>
    <row r="1344" spans="1:1" x14ac:dyDescent="0.25">
      <c r="A1344" t="str" cm="1">
        <f t="array" ref="A1344">IF(INDEX(CUEs!$A:$A,INT((ROW()-1)/7)*57+MOD(ROW()-1,7)+50)&lt;&gt;"","set "&amp;INDEX(CUEs!$A:$A,INT((ROW()-1)/7)*57+MOD(ROW()-1,7)+50)&amp;"=/ s "&amp;INDEX(CUEs!$B:$B,INT((ROW()-1)/7)*57+MOD(ROW()-1,7)+50),"")</f>
        <v/>
      </c>
    </row>
    <row r="1345" spans="1:1" x14ac:dyDescent="0.25">
      <c r="A1345" t="str" cm="1">
        <f t="array" ref="A1345">IF(INDEX(CUEs!$A:$A,INT((ROW()-1)/7)*57+MOD(ROW()-1,7)+50)&lt;&gt;"","set "&amp;INDEX(CUEs!$A:$A,INT((ROW()-1)/7)*57+MOD(ROW()-1,7)+50)&amp;"=/ s "&amp;INDEX(CUEs!$B:$B,INT((ROW()-1)/7)*57+MOD(ROW()-1,7)+50),"")</f>
        <v/>
      </c>
    </row>
    <row r="1346" spans="1:1" x14ac:dyDescent="0.25">
      <c r="A1346" t="str" cm="1">
        <f t="array" ref="A1346">IF(INDEX(CUEs!$A:$A,INT((ROW()-1)/7)*57+MOD(ROW()-1,7)+50)&lt;&gt;"","set "&amp;INDEX(CUEs!$A:$A,INT((ROW()-1)/7)*57+MOD(ROW()-1,7)+50)&amp;"=/ s "&amp;INDEX(CUEs!$B:$B,INT((ROW()-1)/7)*57+MOD(ROW()-1,7)+50),"")</f>
        <v/>
      </c>
    </row>
    <row r="1347" spans="1:1" x14ac:dyDescent="0.25">
      <c r="A1347" t="str" cm="1">
        <f t="array" ref="A1347">IF(INDEX(CUEs!$A:$A,INT((ROW()-1)/7)*57+MOD(ROW()-1,7)+50)&lt;&gt;"","set "&amp;INDEX(CUEs!$A:$A,INT((ROW()-1)/7)*57+MOD(ROW()-1,7)+50)&amp;"=/ s "&amp;INDEX(CUEs!$B:$B,INT((ROW()-1)/7)*57+MOD(ROW()-1,7)+50),"")</f>
        <v/>
      </c>
    </row>
    <row r="1348" spans="1:1" x14ac:dyDescent="0.25">
      <c r="A1348" t="str" cm="1">
        <f t="array" ref="A1348">IF(INDEX(CUEs!$A:$A,INT((ROW()-1)/7)*57+MOD(ROW()-1,7)+50)&lt;&gt;"","set "&amp;INDEX(CUEs!$A:$A,INT((ROW()-1)/7)*57+MOD(ROW()-1,7)+50)&amp;"=/ s "&amp;INDEX(CUEs!$B:$B,INT((ROW()-1)/7)*57+MOD(ROW()-1,7)+50),"")</f>
        <v/>
      </c>
    </row>
    <row r="1349" spans="1:1" x14ac:dyDescent="0.25">
      <c r="A1349" t="str" cm="1">
        <f t="array" ref="A1349">IF(INDEX(CUEs!$A:$A,INT((ROW()-1)/7)*57+MOD(ROW()-1,7)+50)&lt;&gt;"","set "&amp;INDEX(CUEs!$A:$A,INT((ROW()-1)/7)*57+MOD(ROW()-1,7)+50)&amp;"=/ s "&amp;INDEX(CUEs!$B:$B,INT((ROW()-1)/7)*57+MOD(ROW()-1,7)+50),"")</f>
        <v/>
      </c>
    </row>
    <row r="1350" spans="1:1" x14ac:dyDescent="0.25">
      <c r="A1350" t="str" cm="1">
        <f t="array" ref="A1350">IF(INDEX(CUEs!$A:$A,INT((ROW()-1)/7)*57+MOD(ROW()-1,7)+50)&lt;&gt;"","set "&amp;INDEX(CUEs!$A:$A,INT((ROW()-1)/7)*57+MOD(ROW()-1,7)+50)&amp;"=/ s "&amp;INDEX(CUEs!$B:$B,INT((ROW()-1)/7)*57+MOD(ROW()-1,7)+50),"")</f>
        <v/>
      </c>
    </row>
    <row r="1351" spans="1:1" x14ac:dyDescent="0.25">
      <c r="A1351" t="str" cm="1">
        <f t="array" ref="A1351">IF(INDEX(CUEs!$A:$A,INT((ROW()-1)/7)*57+MOD(ROW()-1,7)+50)&lt;&gt;"","set "&amp;INDEX(CUEs!$A:$A,INT((ROW()-1)/7)*57+MOD(ROW()-1,7)+50)&amp;"=/ s "&amp;INDEX(CUEs!$B:$B,INT((ROW()-1)/7)*57+MOD(ROW()-1,7)+50),"")</f>
        <v/>
      </c>
    </row>
    <row r="1352" spans="1:1" x14ac:dyDescent="0.25">
      <c r="A1352" t="str" cm="1">
        <f t="array" ref="A1352">IF(INDEX(CUEs!$A:$A,INT((ROW()-1)/7)*57+MOD(ROW()-1,7)+50)&lt;&gt;"","set "&amp;INDEX(CUEs!$A:$A,INT((ROW()-1)/7)*57+MOD(ROW()-1,7)+50)&amp;"=/ s "&amp;INDEX(CUEs!$B:$B,INT((ROW()-1)/7)*57+MOD(ROW()-1,7)+50),"")</f>
        <v/>
      </c>
    </row>
    <row r="1353" spans="1:1" x14ac:dyDescent="0.25">
      <c r="A1353" t="str" cm="1">
        <f t="array" ref="A1353">IF(INDEX(CUEs!$A:$A,INT((ROW()-1)/7)*57+MOD(ROW()-1,7)+50)&lt;&gt;"","set "&amp;INDEX(CUEs!$A:$A,INT((ROW()-1)/7)*57+MOD(ROW()-1,7)+50)&amp;"=/ s "&amp;INDEX(CUEs!$B:$B,INT((ROW()-1)/7)*57+MOD(ROW()-1,7)+50),"")</f>
        <v/>
      </c>
    </row>
    <row r="1354" spans="1:1" x14ac:dyDescent="0.25">
      <c r="A1354" t="str" cm="1">
        <f t="array" ref="A1354">IF(INDEX(CUEs!$A:$A,INT((ROW()-1)/7)*57+MOD(ROW()-1,7)+50)&lt;&gt;"","set "&amp;INDEX(CUEs!$A:$A,INT((ROW()-1)/7)*57+MOD(ROW()-1,7)+50)&amp;"=/ s "&amp;INDEX(CUEs!$B:$B,INT((ROW()-1)/7)*57+MOD(ROW()-1,7)+50),"")</f>
        <v/>
      </c>
    </row>
    <row r="1355" spans="1:1" x14ac:dyDescent="0.25">
      <c r="A1355" t="str" cm="1">
        <f t="array" ref="A1355">IF(INDEX(CUEs!$A:$A,INT((ROW()-1)/7)*57+MOD(ROW()-1,7)+50)&lt;&gt;"","set "&amp;INDEX(CUEs!$A:$A,INT((ROW()-1)/7)*57+MOD(ROW()-1,7)+50)&amp;"=/ s "&amp;INDEX(CUEs!$B:$B,INT((ROW()-1)/7)*57+MOD(ROW()-1,7)+50),"")</f>
        <v/>
      </c>
    </row>
    <row r="1356" spans="1:1" x14ac:dyDescent="0.25">
      <c r="A1356" t="str" cm="1">
        <f t="array" ref="A1356">IF(INDEX(CUEs!$A:$A,INT((ROW()-1)/7)*57+MOD(ROW()-1,7)+50)&lt;&gt;"","set "&amp;INDEX(CUEs!$A:$A,INT((ROW()-1)/7)*57+MOD(ROW()-1,7)+50)&amp;"=/ s "&amp;INDEX(CUEs!$B:$B,INT((ROW()-1)/7)*57+MOD(ROW()-1,7)+50),"")</f>
        <v/>
      </c>
    </row>
    <row r="1357" spans="1:1" x14ac:dyDescent="0.25">
      <c r="A1357" t="str" cm="1">
        <f t="array" ref="A1357">IF(INDEX(CUEs!$A:$A,INT((ROW()-1)/7)*57+MOD(ROW()-1,7)+50)&lt;&gt;"","set "&amp;INDEX(CUEs!$A:$A,INT((ROW()-1)/7)*57+MOD(ROW()-1,7)+50)&amp;"=/ s "&amp;INDEX(CUEs!$B:$B,INT((ROW()-1)/7)*57+MOD(ROW()-1,7)+50),"")</f>
        <v/>
      </c>
    </row>
    <row r="1358" spans="1:1" x14ac:dyDescent="0.25">
      <c r="A1358" t="str" cm="1">
        <f t="array" ref="A1358">IF(INDEX(CUEs!$A:$A,INT((ROW()-1)/7)*57+MOD(ROW()-1,7)+50)&lt;&gt;"","set "&amp;INDEX(CUEs!$A:$A,INT((ROW()-1)/7)*57+MOD(ROW()-1,7)+50)&amp;"=/ s "&amp;INDEX(CUEs!$B:$B,INT((ROW()-1)/7)*57+MOD(ROW()-1,7)+50),"")</f>
        <v/>
      </c>
    </row>
    <row r="1359" spans="1:1" x14ac:dyDescent="0.25">
      <c r="A1359" t="str" cm="1">
        <f t="array" ref="A1359">IF(INDEX(CUEs!$A:$A,INT((ROW()-1)/7)*57+MOD(ROW()-1,7)+50)&lt;&gt;"","set "&amp;INDEX(CUEs!$A:$A,INT((ROW()-1)/7)*57+MOD(ROW()-1,7)+50)&amp;"=/ s "&amp;INDEX(CUEs!$B:$B,INT((ROW()-1)/7)*57+MOD(ROW()-1,7)+50),"")</f>
        <v/>
      </c>
    </row>
    <row r="1360" spans="1:1" x14ac:dyDescent="0.25">
      <c r="A1360" t="str" cm="1">
        <f t="array" ref="A1360">IF(INDEX(CUEs!$A:$A,INT((ROW()-1)/7)*57+MOD(ROW()-1,7)+50)&lt;&gt;"","set "&amp;INDEX(CUEs!$A:$A,INT((ROW()-1)/7)*57+MOD(ROW()-1,7)+50)&amp;"=/ s "&amp;INDEX(CUEs!$B:$B,INT((ROW()-1)/7)*57+MOD(ROW()-1,7)+50),"")</f>
        <v/>
      </c>
    </row>
    <row r="1361" spans="1:1" x14ac:dyDescent="0.25">
      <c r="A1361" t="str" cm="1">
        <f t="array" ref="A1361">IF(INDEX(CUEs!$A:$A,INT((ROW()-1)/7)*57+MOD(ROW()-1,7)+50)&lt;&gt;"","set "&amp;INDEX(CUEs!$A:$A,INT((ROW()-1)/7)*57+MOD(ROW()-1,7)+50)&amp;"=/ s "&amp;INDEX(CUEs!$B:$B,INT((ROW()-1)/7)*57+MOD(ROW()-1,7)+50),"")</f>
        <v/>
      </c>
    </row>
    <row r="1362" spans="1:1" x14ac:dyDescent="0.25">
      <c r="A1362" t="str" cm="1">
        <f t="array" ref="A1362">IF(INDEX(CUEs!$A:$A,INT((ROW()-1)/7)*57+MOD(ROW()-1,7)+50)&lt;&gt;"","set "&amp;INDEX(CUEs!$A:$A,INT((ROW()-1)/7)*57+MOD(ROW()-1,7)+50)&amp;"=/ s "&amp;INDEX(CUEs!$B:$B,INT((ROW()-1)/7)*57+MOD(ROW()-1,7)+50),"")</f>
        <v/>
      </c>
    </row>
    <row r="1363" spans="1:1" x14ac:dyDescent="0.25">
      <c r="A1363" t="str" cm="1">
        <f t="array" ref="A1363">IF(INDEX(CUEs!$A:$A,INT((ROW()-1)/7)*57+MOD(ROW()-1,7)+50)&lt;&gt;"","set "&amp;INDEX(CUEs!$A:$A,INT((ROW()-1)/7)*57+MOD(ROW()-1,7)+50)&amp;"=/ s "&amp;INDEX(CUEs!$B:$B,INT((ROW()-1)/7)*57+MOD(ROW()-1,7)+50),"")</f>
        <v/>
      </c>
    </row>
    <row r="1364" spans="1:1" x14ac:dyDescent="0.25">
      <c r="A1364" t="str" cm="1">
        <f t="array" ref="A1364">IF(INDEX(CUEs!$A:$A,INT((ROW()-1)/7)*57+MOD(ROW()-1,7)+50)&lt;&gt;"","set "&amp;INDEX(CUEs!$A:$A,INT((ROW()-1)/7)*57+MOD(ROW()-1,7)+50)&amp;"=/ s "&amp;INDEX(CUEs!$B:$B,INT((ROW()-1)/7)*57+MOD(ROW()-1,7)+50),"")</f>
        <v/>
      </c>
    </row>
    <row r="1365" spans="1:1" x14ac:dyDescent="0.25">
      <c r="A1365" t="str" cm="1">
        <f t="array" ref="A1365">IF(INDEX(CUEs!$A:$A,INT((ROW()-1)/7)*57+MOD(ROW()-1,7)+50)&lt;&gt;"","set "&amp;INDEX(CUEs!$A:$A,INT((ROW()-1)/7)*57+MOD(ROW()-1,7)+50)&amp;"=/ s "&amp;INDEX(CUEs!$B:$B,INT((ROW()-1)/7)*57+MOD(ROW()-1,7)+50),"")</f>
        <v/>
      </c>
    </row>
    <row r="1366" spans="1:1" x14ac:dyDescent="0.25">
      <c r="A1366" t="str" cm="1">
        <f t="array" ref="A1366">IF(INDEX(CUEs!$A:$A,INT((ROW()-1)/7)*57+MOD(ROW()-1,7)+50)&lt;&gt;"","set "&amp;INDEX(CUEs!$A:$A,INT((ROW()-1)/7)*57+MOD(ROW()-1,7)+50)&amp;"=/ s "&amp;INDEX(CUEs!$B:$B,INT((ROW()-1)/7)*57+MOD(ROW()-1,7)+50),"")</f>
        <v/>
      </c>
    </row>
    <row r="1367" spans="1:1" x14ac:dyDescent="0.25">
      <c r="A1367" t="str" cm="1">
        <f t="array" ref="A1367">IF(INDEX(CUEs!$A:$A,INT((ROW()-1)/7)*57+MOD(ROW()-1,7)+50)&lt;&gt;"","set "&amp;INDEX(CUEs!$A:$A,INT((ROW()-1)/7)*57+MOD(ROW()-1,7)+50)&amp;"=/ s "&amp;INDEX(CUEs!$B:$B,INT((ROW()-1)/7)*57+MOD(ROW()-1,7)+50),"")</f>
        <v/>
      </c>
    </row>
    <row r="1368" spans="1:1" x14ac:dyDescent="0.25">
      <c r="A1368" t="str" cm="1">
        <f t="array" ref="A1368">IF(INDEX(CUEs!$A:$A,INT((ROW()-1)/7)*57+MOD(ROW()-1,7)+50)&lt;&gt;"","set "&amp;INDEX(CUEs!$A:$A,INT((ROW()-1)/7)*57+MOD(ROW()-1,7)+50)&amp;"=/ s "&amp;INDEX(CUEs!$B:$B,INT((ROW()-1)/7)*57+MOD(ROW()-1,7)+50),"")</f>
        <v/>
      </c>
    </row>
    <row r="1369" spans="1:1" x14ac:dyDescent="0.25">
      <c r="A1369" t="str" cm="1">
        <f t="array" ref="A1369">IF(INDEX(CUEs!$A:$A,INT((ROW()-1)/7)*57+MOD(ROW()-1,7)+50)&lt;&gt;"","set "&amp;INDEX(CUEs!$A:$A,INT((ROW()-1)/7)*57+MOD(ROW()-1,7)+50)&amp;"=/ s "&amp;INDEX(CUEs!$B:$B,INT((ROW()-1)/7)*57+MOD(ROW()-1,7)+50),"")</f>
        <v/>
      </c>
    </row>
    <row r="1370" spans="1:1" x14ac:dyDescent="0.25">
      <c r="A1370" t="str" cm="1">
        <f t="array" ref="A1370">IF(INDEX(CUEs!$A:$A,INT((ROW()-1)/7)*57+MOD(ROW()-1,7)+50)&lt;&gt;"","set "&amp;INDEX(CUEs!$A:$A,INT((ROW()-1)/7)*57+MOD(ROW()-1,7)+50)&amp;"=/ s "&amp;INDEX(CUEs!$B:$B,INT((ROW()-1)/7)*57+MOD(ROW()-1,7)+50),"")</f>
        <v/>
      </c>
    </row>
    <row r="1371" spans="1:1" x14ac:dyDescent="0.25">
      <c r="A1371" t="str" cm="1">
        <f t="array" ref="A1371">IF(INDEX(CUEs!$A:$A,INT((ROW()-1)/7)*57+MOD(ROW()-1,7)+50)&lt;&gt;"","set "&amp;INDEX(CUEs!$A:$A,INT((ROW()-1)/7)*57+MOD(ROW()-1,7)+50)&amp;"=/ s "&amp;INDEX(CUEs!$B:$B,INT((ROW()-1)/7)*57+MOD(ROW()-1,7)+50),"")</f>
        <v/>
      </c>
    </row>
    <row r="1372" spans="1:1" x14ac:dyDescent="0.25">
      <c r="A1372" t="str" cm="1">
        <f t="array" ref="A1372">IF(INDEX(CUEs!$A:$A,INT((ROW()-1)/7)*57+MOD(ROW()-1,7)+50)&lt;&gt;"","set "&amp;INDEX(CUEs!$A:$A,INT((ROW()-1)/7)*57+MOD(ROW()-1,7)+50)&amp;"=/ s "&amp;INDEX(CUEs!$B:$B,INT((ROW()-1)/7)*57+MOD(ROW()-1,7)+50),"")</f>
        <v/>
      </c>
    </row>
    <row r="1373" spans="1:1" x14ac:dyDescent="0.25">
      <c r="A1373" t="str" cm="1">
        <f t="array" ref="A1373">IF(INDEX(CUEs!$A:$A,INT((ROW()-1)/7)*57+MOD(ROW()-1,7)+50)&lt;&gt;"","set "&amp;INDEX(CUEs!$A:$A,INT((ROW()-1)/7)*57+MOD(ROW()-1,7)+50)&amp;"=/ s "&amp;INDEX(CUEs!$B:$B,INT((ROW()-1)/7)*57+MOD(ROW()-1,7)+50),"")</f>
        <v/>
      </c>
    </row>
    <row r="1374" spans="1:1" x14ac:dyDescent="0.25">
      <c r="A1374" t="str" cm="1">
        <f t="array" ref="A1374">IF(INDEX(CUEs!$A:$A,INT((ROW()-1)/7)*57+MOD(ROW()-1,7)+50)&lt;&gt;"","set "&amp;INDEX(CUEs!$A:$A,INT((ROW()-1)/7)*57+MOD(ROW()-1,7)+50)&amp;"=/ s "&amp;INDEX(CUEs!$B:$B,INT((ROW()-1)/7)*57+MOD(ROW()-1,7)+50),"")</f>
        <v/>
      </c>
    </row>
    <row r="1375" spans="1:1" x14ac:dyDescent="0.25">
      <c r="A1375" t="str" cm="1">
        <f t="array" ref="A1375">IF(INDEX(CUEs!$A:$A,INT((ROW()-1)/7)*57+MOD(ROW()-1,7)+50)&lt;&gt;"","set "&amp;INDEX(CUEs!$A:$A,INT((ROW()-1)/7)*57+MOD(ROW()-1,7)+50)&amp;"=/ s "&amp;INDEX(CUEs!$B:$B,INT((ROW()-1)/7)*57+MOD(ROW()-1,7)+50),"")</f>
        <v/>
      </c>
    </row>
    <row r="1376" spans="1:1" x14ac:dyDescent="0.25">
      <c r="A1376" t="str" cm="1">
        <f t="array" ref="A1376">IF(INDEX(CUEs!$A:$A,INT((ROW()-1)/7)*57+MOD(ROW()-1,7)+50)&lt;&gt;"","set "&amp;INDEX(CUEs!$A:$A,INT((ROW()-1)/7)*57+MOD(ROW()-1,7)+50)&amp;"=/ s "&amp;INDEX(CUEs!$B:$B,INT((ROW()-1)/7)*57+MOD(ROW()-1,7)+50),"")</f>
        <v/>
      </c>
    </row>
    <row r="1377" spans="1:1" x14ac:dyDescent="0.25">
      <c r="A1377" t="str" cm="1">
        <f t="array" ref="A1377">IF(INDEX(CUEs!$A:$A,INT((ROW()-1)/7)*57+MOD(ROW()-1,7)+50)&lt;&gt;"","set "&amp;INDEX(CUEs!$A:$A,INT((ROW()-1)/7)*57+MOD(ROW()-1,7)+50)&amp;"=/ s "&amp;INDEX(CUEs!$B:$B,INT((ROW()-1)/7)*57+MOD(ROW()-1,7)+50),"")</f>
        <v/>
      </c>
    </row>
    <row r="1378" spans="1:1" x14ac:dyDescent="0.25">
      <c r="A1378" t="str" cm="1">
        <f t="array" ref="A1378">IF(INDEX(CUEs!$A:$A,INT((ROW()-1)/7)*57+MOD(ROW()-1,7)+50)&lt;&gt;"","set "&amp;INDEX(CUEs!$A:$A,INT((ROW()-1)/7)*57+MOD(ROW()-1,7)+50)&amp;"=/ s "&amp;INDEX(CUEs!$B:$B,INT((ROW()-1)/7)*57+MOD(ROW()-1,7)+50),"")</f>
        <v/>
      </c>
    </row>
    <row r="1379" spans="1:1" x14ac:dyDescent="0.25">
      <c r="A1379" t="str" cm="1">
        <f t="array" ref="A1379">IF(INDEX(CUEs!$A:$A,INT((ROW()-1)/7)*57+MOD(ROW()-1,7)+50)&lt;&gt;"","set "&amp;INDEX(CUEs!$A:$A,INT((ROW()-1)/7)*57+MOD(ROW()-1,7)+50)&amp;"=/ s "&amp;INDEX(CUEs!$B:$B,INT((ROW()-1)/7)*57+MOD(ROW()-1,7)+50),"")</f>
        <v/>
      </c>
    </row>
    <row r="1380" spans="1:1" x14ac:dyDescent="0.25">
      <c r="A1380" t="str" cm="1">
        <f t="array" ref="A1380">IF(INDEX(CUEs!$A:$A,INT((ROW()-1)/7)*57+MOD(ROW()-1,7)+50)&lt;&gt;"","set "&amp;INDEX(CUEs!$A:$A,INT((ROW()-1)/7)*57+MOD(ROW()-1,7)+50)&amp;"=/ s "&amp;INDEX(CUEs!$B:$B,INT((ROW()-1)/7)*57+MOD(ROW()-1,7)+50),"")</f>
        <v/>
      </c>
    </row>
    <row r="1381" spans="1:1" x14ac:dyDescent="0.25">
      <c r="A1381" t="str" cm="1">
        <f t="array" ref="A1381">IF(INDEX(CUEs!$A:$A,INT((ROW()-1)/7)*57+MOD(ROW()-1,7)+50)&lt;&gt;"","set "&amp;INDEX(CUEs!$A:$A,INT((ROW()-1)/7)*57+MOD(ROW()-1,7)+50)&amp;"=/ s "&amp;INDEX(CUEs!$B:$B,INT((ROW()-1)/7)*57+MOD(ROW()-1,7)+50),"")</f>
        <v/>
      </c>
    </row>
    <row r="1382" spans="1:1" x14ac:dyDescent="0.25">
      <c r="A1382" t="str" cm="1">
        <f t="array" ref="A1382">IF(INDEX(CUEs!$A:$A,INT((ROW()-1)/7)*57+MOD(ROW()-1,7)+50)&lt;&gt;"","set "&amp;INDEX(CUEs!$A:$A,INT((ROW()-1)/7)*57+MOD(ROW()-1,7)+50)&amp;"=/ s "&amp;INDEX(CUEs!$B:$B,INT((ROW()-1)/7)*57+MOD(ROW()-1,7)+50),"")</f>
        <v/>
      </c>
    </row>
    <row r="1383" spans="1:1" x14ac:dyDescent="0.25">
      <c r="A1383" t="str" cm="1">
        <f t="array" ref="A1383">IF(INDEX(CUEs!$A:$A,INT((ROW()-1)/7)*57+MOD(ROW()-1,7)+50)&lt;&gt;"","set "&amp;INDEX(CUEs!$A:$A,INT((ROW()-1)/7)*57+MOD(ROW()-1,7)+50)&amp;"=/ s "&amp;INDEX(CUEs!$B:$B,INT((ROW()-1)/7)*57+MOD(ROW()-1,7)+50),"")</f>
        <v/>
      </c>
    </row>
    <row r="1384" spans="1:1" x14ac:dyDescent="0.25">
      <c r="A1384" t="str" cm="1">
        <f t="array" ref="A1384">IF(INDEX(CUEs!$A:$A,INT((ROW()-1)/7)*57+MOD(ROW()-1,7)+50)&lt;&gt;"","set "&amp;INDEX(CUEs!$A:$A,INT((ROW()-1)/7)*57+MOD(ROW()-1,7)+50)&amp;"=/ s "&amp;INDEX(CUEs!$B:$B,INT((ROW()-1)/7)*57+MOD(ROW()-1,7)+50),"")</f>
        <v/>
      </c>
    </row>
    <row r="1385" spans="1:1" x14ac:dyDescent="0.25">
      <c r="A1385" t="str" cm="1">
        <f t="array" ref="A1385">IF(INDEX(CUEs!$A:$A,INT((ROW()-1)/7)*57+MOD(ROW()-1,7)+50)&lt;&gt;"","set "&amp;INDEX(CUEs!$A:$A,INT((ROW()-1)/7)*57+MOD(ROW()-1,7)+50)&amp;"=/ s "&amp;INDEX(CUEs!$B:$B,INT((ROW()-1)/7)*57+MOD(ROW()-1,7)+50),"")</f>
        <v/>
      </c>
    </row>
    <row r="1386" spans="1:1" x14ac:dyDescent="0.25">
      <c r="A1386" t="str" cm="1">
        <f t="array" ref="A1386">IF(INDEX(CUEs!$A:$A,INT((ROW()-1)/7)*57+MOD(ROW()-1,7)+50)&lt;&gt;"","set "&amp;INDEX(CUEs!$A:$A,INT((ROW()-1)/7)*57+MOD(ROW()-1,7)+50)&amp;"=/ s "&amp;INDEX(CUEs!$B:$B,INT((ROW()-1)/7)*57+MOD(ROW()-1,7)+50),"")</f>
        <v/>
      </c>
    </row>
    <row r="1387" spans="1:1" x14ac:dyDescent="0.25">
      <c r="A1387" t="str" cm="1">
        <f t="array" ref="A1387">IF(INDEX(CUEs!$A:$A,INT((ROW()-1)/7)*57+MOD(ROW()-1,7)+50)&lt;&gt;"","set "&amp;INDEX(CUEs!$A:$A,INT((ROW()-1)/7)*57+MOD(ROW()-1,7)+50)&amp;"=/ s "&amp;INDEX(CUEs!$B:$B,INT((ROW()-1)/7)*57+MOD(ROW()-1,7)+50),"")</f>
        <v/>
      </c>
    </row>
    <row r="1388" spans="1:1" x14ac:dyDescent="0.25">
      <c r="A1388" t="str" cm="1">
        <f t="array" ref="A1388">IF(INDEX(CUEs!$A:$A,INT((ROW()-1)/7)*57+MOD(ROW()-1,7)+50)&lt;&gt;"","set "&amp;INDEX(CUEs!$A:$A,INT((ROW()-1)/7)*57+MOD(ROW()-1,7)+50)&amp;"=/ s "&amp;INDEX(CUEs!$B:$B,INT((ROW()-1)/7)*57+MOD(ROW()-1,7)+50),"")</f>
        <v/>
      </c>
    </row>
    <row r="1389" spans="1:1" x14ac:dyDescent="0.25">
      <c r="A1389" t="str" cm="1">
        <f t="array" ref="A1389">IF(INDEX(CUEs!$A:$A,INT((ROW()-1)/7)*57+MOD(ROW()-1,7)+50)&lt;&gt;"","set "&amp;INDEX(CUEs!$A:$A,INT((ROW()-1)/7)*57+MOD(ROW()-1,7)+50)&amp;"=/ s "&amp;INDEX(CUEs!$B:$B,INT((ROW()-1)/7)*57+MOD(ROW()-1,7)+50),"")</f>
        <v/>
      </c>
    </row>
    <row r="1390" spans="1:1" x14ac:dyDescent="0.25">
      <c r="A1390" t="str" cm="1">
        <f t="array" ref="A1390">IF(INDEX(CUEs!$A:$A,INT((ROW()-1)/7)*57+MOD(ROW()-1,7)+50)&lt;&gt;"","set "&amp;INDEX(CUEs!$A:$A,INT((ROW()-1)/7)*57+MOD(ROW()-1,7)+50)&amp;"=/ s "&amp;INDEX(CUEs!$B:$B,INT((ROW()-1)/7)*57+MOD(ROW()-1,7)+50),"")</f>
        <v/>
      </c>
    </row>
    <row r="1391" spans="1:1" x14ac:dyDescent="0.25">
      <c r="A1391" t="str" cm="1">
        <f t="array" ref="A1391">IF(INDEX(CUEs!$A:$A,INT((ROW()-1)/7)*57+MOD(ROW()-1,7)+50)&lt;&gt;"","set "&amp;INDEX(CUEs!$A:$A,INT((ROW()-1)/7)*57+MOD(ROW()-1,7)+50)&amp;"=/ s "&amp;INDEX(CUEs!$B:$B,INT((ROW()-1)/7)*57+MOD(ROW()-1,7)+50),"")</f>
        <v/>
      </c>
    </row>
    <row r="1392" spans="1:1" x14ac:dyDescent="0.25">
      <c r="A1392" t="str" cm="1">
        <f t="array" ref="A1392">IF(INDEX(CUEs!$A:$A,INT((ROW()-1)/7)*57+MOD(ROW()-1,7)+50)&lt;&gt;"","set "&amp;INDEX(CUEs!$A:$A,INT((ROW()-1)/7)*57+MOD(ROW()-1,7)+50)&amp;"=/ s "&amp;INDEX(CUEs!$B:$B,INT((ROW()-1)/7)*57+MOD(ROW()-1,7)+50),"")</f>
        <v/>
      </c>
    </row>
    <row r="1393" spans="1:1" x14ac:dyDescent="0.25">
      <c r="A1393" t="str" cm="1">
        <f t="array" ref="A1393">IF(INDEX(CUEs!$A:$A,INT((ROW()-1)/7)*57+MOD(ROW()-1,7)+50)&lt;&gt;"","set "&amp;INDEX(CUEs!$A:$A,INT((ROW()-1)/7)*57+MOD(ROW()-1,7)+50)&amp;"=/ s "&amp;INDEX(CUEs!$B:$B,INT((ROW()-1)/7)*57+MOD(ROW()-1,7)+50),"")</f>
        <v/>
      </c>
    </row>
    <row r="1394" spans="1:1" x14ac:dyDescent="0.25">
      <c r="A1394" t="str" cm="1">
        <f t="array" ref="A1394">IF(INDEX(CUEs!$A:$A,INT((ROW()-1)/7)*57+MOD(ROW()-1,7)+50)&lt;&gt;"","set "&amp;INDEX(CUEs!$A:$A,INT((ROW()-1)/7)*57+MOD(ROW()-1,7)+50)&amp;"=/ s "&amp;INDEX(CUEs!$B:$B,INT((ROW()-1)/7)*57+MOD(ROW()-1,7)+50),"")</f>
        <v/>
      </c>
    </row>
    <row r="1395" spans="1:1" x14ac:dyDescent="0.25">
      <c r="A1395" t="str" cm="1">
        <f t="array" ref="A1395">IF(INDEX(CUEs!$A:$A,INT((ROW()-1)/7)*57+MOD(ROW()-1,7)+50)&lt;&gt;"","set "&amp;INDEX(CUEs!$A:$A,INT((ROW()-1)/7)*57+MOD(ROW()-1,7)+50)&amp;"=/ s "&amp;INDEX(CUEs!$B:$B,INT((ROW()-1)/7)*57+MOD(ROW()-1,7)+50),"")</f>
        <v/>
      </c>
    </row>
    <row r="1396" spans="1:1" x14ac:dyDescent="0.25">
      <c r="A1396" t="str" cm="1">
        <f t="array" ref="A1396">IF(INDEX(CUEs!$A:$A,INT((ROW()-1)/7)*57+MOD(ROW()-1,7)+50)&lt;&gt;"","set "&amp;INDEX(CUEs!$A:$A,INT((ROW()-1)/7)*57+MOD(ROW()-1,7)+50)&amp;"=/ s "&amp;INDEX(CUEs!$B:$B,INT((ROW()-1)/7)*57+MOD(ROW()-1,7)+50),"")</f>
        <v/>
      </c>
    </row>
    <row r="1397" spans="1:1" x14ac:dyDescent="0.25">
      <c r="A1397" t="str" cm="1">
        <f t="array" ref="A1397">IF(INDEX(CUEs!$A:$A,INT((ROW()-1)/7)*57+MOD(ROW()-1,7)+50)&lt;&gt;"","set "&amp;INDEX(CUEs!$A:$A,INT((ROW()-1)/7)*57+MOD(ROW()-1,7)+50)&amp;"=/ s "&amp;INDEX(CUEs!$B:$B,INT((ROW()-1)/7)*57+MOD(ROW()-1,7)+50),"")</f>
        <v/>
      </c>
    </row>
    <row r="1398" spans="1:1" x14ac:dyDescent="0.25">
      <c r="A1398" t="str" cm="1">
        <f t="array" ref="A1398">IF(INDEX(CUEs!$A:$A,INT((ROW()-1)/7)*57+MOD(ROW()-1,7)+50)&lt;&gt;"","set "&amp;INDEX(CUEs!$A:$A,INT((ROW()-1)/7)*57+MOD(ROW()-1,7)+50)&amp;"=/ s "&amp;INDEX(CUEs!$B:$B,INT((ROW()-1)/7)*57+MOD(ROW()-1,7)+50),"")</f>
        <v/>
      </c>
    </row>
    <row r="1399" spans="1:1" x14ac:dyDescent="0.25">
      <c r="A1399" t="str" cm="1">
        <f t="array" ref="A1399">IF(INDEX(CUEs!$A:$A,INT((ROW()-1)/7)*57+MOD(ROW()-1,7)+50)&lt;&gt;"","set "&amp;INDEX(CUEs!$A:$A,INT((ROW()-1)/7)*57+MOD(ROW()-1,7)+50)&amp;"=/ s "&amp;INDEX(CUEs!$B:$B,INT((ROW()-1)/7)*57+MOD(ROW()-1,7)+50),"")</f>
        <v/>
      </c>
    </row>
    <row r="1400" spans="1:1" x14ac:dyDescent="0.25">
      <c r="A1400" t="str" cm="1">
        <f t="array" ref="A1400">IF(INDEX(CUEs!$A:$A,INT((ROW()-1)/7)*57+MOD(ROW()-1,7)+50)&lt;&gt;"","set "&amp;INDEX(CUEs!$A:$A,INT((ROW()-1)/7)*57+MOD(ROW()-1,7)+50)&amp;"=/ s "&amp;INDEX(CUEs!$B:$B,INT((ROW()-1)/7)*57+MOD(ROW()-1,7)+50),"")</f>
        <v/>
      </c>
    </row>
    <row r="1401" spans="1:1" x14ac:dyDescent="0.25">
      <c r="A1401" t="str" cm="1">
        <f t="array" ref="A1401">IF(INDEX(CUEs!$A:$A,INT((ROW()-1)/7)*57+MOD(ROW()-1,7)+50)&lt;&gt;"","set "&amp;INDEX(CUEs!$A:$A,INT((ROW()-1)/7)*57+MOD(ROW()-1,7)+50)&amp;"=/ s "&amp;INDEX(CUEs!$B:$B,INT((ROW()-1)/7)*57+MOD(ROW()-1,7)+50),"")</f>
        <v/>
      </c>
    </row>
    <row r="1402" spans="1:1" x14ac:dyDescent="0.25">
      <c r="A1402" t="str" cm="1">
        <f t="array" ref="A1402">IF(INDEX(CUEs!$A:$A,INT((ROW()-1)/7)*57+MOD(ROW()-1,7)+50)&lt;&gt;"","set "&amp;INDEX(CUEs!$A:$A,INT((ROW()-1)/7)*57+MOD(ROW()-1,7)+50)&amp;"=/ s "&amp;INDEX(CUEs!$B:$B,INT((ROW()-1)/7)*57+MOD(ROW()-1,7)+50),"")</f>
        <v/>
      </c>
    </row>
    <row r="1403" spans="1:1" x14ac:dyDescent="0.25">
      <c r="A1403" t="str" cm="1">
        <f t="array" ref="A1403">IF(INDEX(CUEs!$A:$A,INT((ROW()-1)/7)*57+MOD(ROW()-1,7)+50)&lt;&gt;"","set "&amp;INDEX(CUEs!$A:$A,INT((ROW()-1)/7)*57+MOD(ROW()-1,7)+50)&amp;"=/ s "&amp;INDEX(CUEs!$B:$B,INT((ROW()-1)/7)*57+MOD(ROW()-1,7)+50),"")</f>
        <v/>
      </c>
    </row>
    <row r="1404" spans="1:1" x14ac:dyDescent="0.25">
      <c r="A1404" t="str" cm="1">
        <f t="array" ref="A1404">IF(INDEX(CUEs!$A:$A,INT((ROW()-1)/7)*57+MOD(ROW()-1,7)+50)&lt;&gt;"","set "&amp;INDEX(CUEs!$A:$A,INT((ROW()-1)/7)*57+MOD(ROW()-1,7)+50)&amp;"=/ s "&amp;INDEX(CUEs!$B:$B,INT((ROW()-1)/7)*57+MOD(ROW()-1,7)+50),"")</f>
        <v/>
      </c>
    </row>
    <row r="1405" spans="1:1" x14ac:dyDescent="0.25">
      <c r="A1405" t="str" cm="1">
        <f t="array" ref="A1405">IF(INDEX(CUEs!$A:$A,INT((ROW()-1)/7)*57+MOD(ROW()-1,7)+50)&lt;&gt;"","set "&amp;INDEX(CUEs!$A:$A,INT((ROW()-1)/7)*57+MOD(ROW()-1,7)+50)&amp;"=/ s "&amp;INDEX(CUEs!$B:$B,INT((ROW()-1)/7)*57+MOD(ROW()-1,7)+50),"")</f>
        <v/>
      </c>
    </row>
    <row r="1406" spans="1:1" x14ac:dyDescent="0.25">
      <c r="A1406" t="str" cm="1">
        <f t="array" ref="A1406">IF(INDEX(CUEs!$A:$A,INT((ROW()-1)/7)*57+MOD(ROW()-1,7)+50)&lt;&gt;"","set "&amp;INDEX(CUEs!$A:$A,INT((ROW()-1)/7)*57+MOD(ROW()-1,7)+50)&amp;"=/ s "&amp;INDEX(CUEs!$B:$B,INT((ROW()-1)/7)*57+MOD(ROW()-1,7)+50),"")</f>
        <v/>
      </c>
    </row>
    <row r="1407" spans="1:1" x14ac:dyDescent="0.25">
      <c r="A1407" t="str" cm="1">
        <f t="array" ref="A1407">IF(INDEX(CUEs!$A:$A,INT((ROW()-1)/7)*57+MOD(ROW()-1,7)+50)&lt;&gt;"","set "&amp;INDEX(CUEs!$A:$A,INT((ROW()-1)/7)*57+MOD(ROW()-1,7)+50)&amp;"=/ s "&amp;INDEX(CUEs!$B:$B,INT((ROW()-1)/7)*57+MOD(ROW()-1,7)+50),"")</f>
        <v/>
      </c>
    </row>
    <row r="1408" spans="1:1" x14ac:dyDescent="0.25">
      <c r="A1408" t="str" cm="1">
        <f t="array" ref="A1408">IF(INDEX(CUEs!$A:$A,INT((ROW()-1)/7)*57+MOD(ROW()-1,7)+50)&lt;&gt;"","set "&amp;INDEX(CUEs!$A:$A,INT((ROW()-1)/7)*57+MOD(ROW()-1,7)+50)&amp;"=/ s "&amp;INDEX(CUEs!$B:$B,INT((ROW()-1)/7)*57+MOD(ROW()-1,7)+50),"")</f>
        <v/>
      </c>
    </row>
    <row r="1409" spans="1:1" x14ac:dyDescent="0.25">
      <c r="A1409" t="str" cm="1">
        <f t="array" ref="A1409">IF(INDEX(CUEs!$A:$A,INT((ROW()-1)/7)*57+MOD(ROW()-1,7)+50)&lt;&gt;"","set "&amp;INDEX(CUEs!$A:$A,INT((ROW()-1)/7)*57+MOD(ROW()-1,7)+50)&amp;"=/ s "&amp;INDEX(CUEs!$B:$B,INT((ROW()-1)/7)*57+MOD(ROW()-1,7)+50),"")</f>
        <v/>
      </c>
    </row>
    <row r="1410" spans="1:1" x14ac:dyDescent="0.25">
      <c r="A1410" t="str" cm="1">
        <f t="array" ref="A1410">IF(INDEX(CUEs!$A:$A,INT((ROW()-1)/7)*57+MOD(ROW()-1,7)+50)&lt;&gt;"","set "&amp;INDEX(CUEs!$A:$A,INT((ROW()-1)/7)*57+MOD(ROW()-1,7)+50)&amp;"=/ s "&amp;INDEX(CUEs!$B:$B,INT((ROW()-1)/7)*57+MOD(ROW()-1,7)+50),"")</f>
        <v/>
      </c>
    </row>
    <row r="1411" spans="1:1" x14ac:dyDescent="0.25">
      <c r="A1411" t="str" cm="1">
        <f t="array" ref="A1411">IF(INDEX(CUEs!$A:$A,INT((ROW()-1)/7)*57+MOD(ROW()-1,7)+50)&lt;&gt;"","set "&amp;INDEX(CUEs!$A:$A,INT((ROW()-1)/7)*57+MOD(ROW()-1,7)+50)&amp;"=/ s "&amp;INDEX(CUEs!$B:$B,INT((ROW()-1)/7)*57+MOD(ROW()-1,7)+50),"")</f>
        <v/>
      </c>
    </row>
    <row r="1412" spans="1:1" x14ac:dyDescent="0.25">
      <c r="A1412" t="str" cm="1">
        <f t="array" ref="A1412">IF(INDEX(CUEs!$A:$A,INT((ROW()-1)/7)*57+MOD(ROW()-1,7)+50)&lt;&gt;"","set "&amp;INDEX(CUEs!$A:$A,INT((ROW()-1)/7)*57+MOD(ROW()-1,7)+50)&amp;"=/ s "&amp;INDEX(CUEs!$B:$B,INT((ROW()-1)/7)*57+MOD(ROW()-1,7)+50),"")</f>
        <v/>
      </c>
    </row>
    <row r="1413" spans="1:1" x14ac:dyDescent="0.25">
      <c r="A1413" t="str" cm="1">
        <f t="array" ref="A1413">IF(INDEX(CUEs!$A:$A,INT((ROW()-1)/7)*57+MOD(ROW()-1,7)+50)&lt;&gt;"","set "&amp;INDEX(CUEs!$A:$A,INT((ROW()-1)/7)*57+MOD(ROW()-1,7)+50)&amp;"=/ s "&amp;INDEX(CUEs!$B:$B,INT((ROW()-1)/7)*57+MOD(ROW()-1,7)+50),"")</f>
        <v/>
      </c>
    </row>
    <row r="1414" spans="1:1" x14ac:dyDescent="0.25">
      <c r="A1414" t="str" cm="1">
        <f t="array" ref="A1414">IF(INDEX(CUEs!$A:$A,INT((ROW()-1)/7)*57+MOD(ROW()-1,7)+50)&lt;&gt;"","set "&amp;INDEX(CUEs!$A:$A,INT((ROW()-1)/7)*57+MOD(ROW()-1,7)+50)&amp;"=/ s "&amp;INDEX(CUEs!$B:$B,INT((ROW()-1)/7)*57+MOD(ROW()-1,7)+50),"")</f>
        <v/>
      </c>
    </row>
    <row r="1415" spans="1:1" x14ac:dyDescent="0.25">
      <c r="A1415" t="str" cm="1">
        <f t="array" ref="A1415">IF(INDEX(CUEs!$A:$A,INT((ROW()-1)/7)*57+MOD(ROW()-1,7)+50)&lt;&gt;"","set "&amp;INDEX(CUEs!$A:$A,INT((ROW()-1)/7)*57+MOD(ROW()-1,7)+50)&amp;"=/ s "&amp;INDEX(CUEs!$B:$B,INT((ROW()-1)/7)*57+MOD(ROW()-1,7)+50),"")</f>
        <v/>
      </c>
    </row>
    <row r="1416" spans="1:1" x14ac:dyDescent="0.25">
      <c r="A1416" t="str" cm="1">
        <f t="array" ref="A1416">IF(INDEX(CUEs!$A:$A,INT((ROW()-1)/7)*57+MOD(ROW()-1,7)+50)&lt;&gt;"","set "&amp;INDEX(CUEs!$A:$A,INT((ROW()-1)/7)*57+MOD(ROW()-1,7)+50)&amp;"=/ s "&amp;INDEX(CUEs!$B:$B,INT((ROW()-1)/7)*57+MOD(ROW()-1,7)+50),"")</f>
        <v/>
      </c>
    </row>
    <row r="1417" spans="1:1" x14ac:dyDescent="0.25">
      <c r="A1417" t="str" cm="1">
        <f t="array" ref="A1417">IF(INDEX(CUEs!$A:$A,INT((ROW()-1)/7)*57+MOD(ROW()-1,7)+50)&lt;&gt;"","set "&amp;INDEX(CUEs!$A:$A,INT((ROW()-1)/7)*57+MOD(ROW()-1,7)+50)&amp;"=/ s "&amp;INDEX(CUEs!$B:$B,INT((ROW()-1)/7)*57+MOD(ROW()-1,7)+50),"")</f>
        <v/>
      </c>
    </row>
    <row r="1418" spans="1:1" x14ac:dyDescent="0.25">
      <c r="A1418" t="str" cm="1">
        <f t="array" ref="A1418">IF(INDEX(CUEs!$A:$A,INT((ROW()-1)/7)*57+MOD(ROW()-1,7)+50)&lt;&gt;"","set "&amp;INDEX(CUEs!$A:$A,INT((ROW()-1)/7)*57+MOD(ROW()-1,7)+50)&amp;"=/ s "&amp;INDEX(CUEs!$B:$B,INT((ROW()-1)/7)*57+MOD(ROW()-1,7)+50),"")</f>
        <v/>
      </c>
    </row>
    <row r="1419" spans="1:1" x14ac:dyDescent="0.25">
      <c r="A1419" t="str" cm="1">
        <f t="array" ref="A1419">IF(INDEX(CUEs!$A:$A,INT((ROW()-1)/7)*57+MOD(ROW()-1,7)+50)&lt;&gt;"","set "&amp;INDEX(CUEs!$A:$A,INT((ROW()-1)/7)*57+MOD(ROW()-1,7)+50)&amp;"=/ s "&amp;INDEX(CUEs!$B:$B,INT((ROW()-1)/7)*57+MOD(ROW()-1,7)+50),"")</f>
        <v/>
      </c>
    </row>
    <row r="1420" spans="1:1" x14ac:dyDescent="0.25">
      <c r="A1420" t="str" cm="1">
        <f t="array" ref="A1420">IF(INDEX(CUEs!$A:$A,INT((ROW()-1)/7)*57+MOD(ROW()-1,7)+50)&lt;&gt;"","set "&amp;INDEX(CUEs!$A:$A,INT((ROW()-1)/7)*57+MOD(ROW()-1,7)+50)&amp;"=/ s "&amp;INDEX(CUEs!$B:$B,INT((ROW()-1)/7)*57+MOD(ROW()-1,7)+50),"")</f>
        <v/>
      </c>
    </row>
    <row r="1421" spans="1:1" x14ac:dyDescent="0.25">
      <c r="A1421" t="str" cm="1">
        <f t="array" ref="A1421">IF(INDEX(CUEs!$A:$A,INT((ROW()-1)/7)*57+MOD(ROW()-1,7)+50)&lt;&gt;"","set "&amp;INDEX(CUEs!$A:$A,INT((ROW()-1)/7)*57+MOD(ROW()-1,7)+50)&amp;"=/ s "&amp;INDEX(CUEs!$B:$B,INT((ROW()-1)/7)*57+MOD(ROW()-1,7)+50),"")</f>
        <v/>
      </c>
    </row>
    <row r="1422" spans="1:1" x14ac:dyDescent="0.25">
      <c r="A1422" t="str" cm="1">
        <f t="array" ref="A1422">IF(INDEX(CUEs!$A:$A,INT((ROW()-1)/7)*57+MOD(ROW()-1,7)+50)&lt;&gt;"","set "&amp;INDEX(CUEs!$A:$A,INT((ROW()-1)/7)*57+MOD(ROW()-1,7)+50)&amp;"=/ s "&amp;INDEX(CUEs!$B:$B,INT((ROW()-1)/7)*57+MOD(ROW()-1,7)+50),"")</f>
        <v/>
      </c>
    </row>
    <row r="1423" spans="1:1" x14ac:dyDescent="0.25">
      <c r="A1423" t="str" cm="1">
        <f t="array" ref="A1423">IF(INDEX(CUEs!$A:$A,INT((ROW()-1)/7)*57+MOD(ROW()-1,7)+50)&lt;&gt;"","set "&amp;INDEX(CUEs!$A:$A,INT((ROW()-1)/7)*57+MOD(ROW()-1,7)+50)&amp;"=/ s "&amp;INDEX(CUEs!$B:$B,INT((ROW()-1)/7)*57+MOD(ROW()-1,7)+50),"")</f>
        <v/>
      </c>
    </row>
    <row r="1424" spans="1:1" x14ac:dyDescent="0.25">
      <c r="A1424" t="str" cm="1">
        <f t="array" ref="A1424">IF(INDEX(CUEs!$A:$A,INT((ROW()-1)/7)*57+MOD(ROW()-1,7)+50)&lt;&gt;"","set "&amp;INDEX(CUEs!$A:$A,INT((ROW()-1)/7)*57+MOD(ROW()-1,7)+50)&amp;"=/ s "&amp;INDEX(CUEs!$B:$B,INT((ROW()-1)/7)*57+MOD(ROW()-1,7)+50),"")</f>
        <v/>
      </c>
    </row>
    <row r="1425" spans="1:1" x14ac:dyDescent="0.25">
      <c r="A1425" t="str" cm="1">
        <f t="array" ref="A1425">IF(INDEX(CUEs!$A:$A,INT((ROW()-1)/7)*57+MOD(ROW()-1,7)+50)&lt;&gt;"","set "&amp;INDEX(CUEs!$A:$A,INT((ROW()-1)/7)*57+MOD(ROW()-1,7)+50)&amp;"=/ s "&amp;INDEX(CUEs!$B:$B,INT((ROW()-1)/7)*57+MOD(ROW()-1,7)+50),"")</f>
        <v/>
      </c>
    </row>
    <row r="1426" spans="1:1" x14ac:dyDescent="0.25">
      <c r="A1426" t="str" cm="1">
        <f t="array" ref="A1426">IF(INDEX(CUEs!$A:$A,INT((ROW()-1)/7)*57+MOD(ROW()-1,7)+50)&lt;&gt;"","set "&amp;INDEX(CUEs!$A:$A,INT((ROW()-1)/7)*57+MOD(ROW()-1,7)+50)&amp;"=/ s "&amp;INDEX(CUEs!$B:$B,INT((ROW()-1)/7)*57+MOD(ROW()-1,7)+50),"")</f>
        <v/>
      </c>
    </row>
    <row r="1427" spans="1:1" x14ac:dyDescent="0.25">
      <c r="A1427" t="str" cm="1">
        <f t="array" ref="A1427">IF(INDEX(CUEs!$A:$A,INT((ROW()-1)/7)*57+MOD(ROW()-1,7)+50)&lt;&gt;"","set "&amp;INDEX(CUEs!$A:$A,INT((ROW()-1)/7)*57+MOD(ROW()-1,7)+50)&amp;"=/ s "&amp;INDEX(CUEs!$B:$B,INT((ROW()-1)/7)*57+MOD(ROW()-1,7)+50),"")</f>
        <v/>
      </c>
    </row>
    <row r="1428" spans="1:1" x14ac:dyDescent="0.25">
      <c r="A1428" t="str" cm="1">
        <f t="array" ref="A1428">IF(INDEX(CUEs!$A:$A,INT((ROW()-1)/7)*57+MOD(ROW()-1,7)+50)&lt;&gt;"","set "&amp;INDEX(CUEs!$A:$A,INT((ROW()-1)/7)*57+MOD(ROW()-1,7)+50)&amp;"=/ s "&amp;INDEX(CUEs!$B:$B,INT((ROW()-1)/7)*57+MOD(ROW()-1,7)+50),"")</f>
        <v/>
      </c>
    </row>
    <row r="1429" spans="1:1" x14ac:dyDescent="0.25">
      <c r="A1429" t="str" cm="1">
        <f t="array" ref="A1429">IF(INDEX(CUEs!$A:$A,INT((ROW()-1)/7)*57+MOD(ROW()-1,7)+50)&lt;&gt;"","set "&amp;INDEX(CUEs!$A:$A,INT((ROW()-1)/7)*57+MOD(ROW()-1,7)+50)&amp;"=/ s "&amp;INDEX(CUEs!$B:$B,INT((ROW()-1)/7)*57+MOD(ROW()-1,7)+50),"")</f>
        <v/>
      </c>
    </row>
    <row r="1430" spans="1:1" x14ac:dyDescent="0.25">
      <c r="A1430" t="str" cm="1">
        <f t="array" ref="A1430">IF(INDEX(CUEs!$A:$A,INT((ROW()-1)/7)*57+MOD(ROW()-1,7)+50)&lt;&gt;"","set "&amp;INDEX(CUEs!$A:$A,INT((ROW()-1)/7)*57+MOD(ROW()-1,7)+50)&amp;"=/ s "&amp;INDEX(CUEs!$B:$B,INT((ROW()-1)/7)*57+MOD(ROW()-1,7)+50),"")</f>
        <v/>
      </c>
    </row>
    <row r="1431" spans="1:1" x14ac:dyDescent="0.25">
      <c r="A1431" t="str" cm="1">
        <f t="array" ref="A1431">IF(INDEX(CUEs!$A:$A,INT((ROW()-1)/7)*57+MOD(ROW()-1,7)+50)&lt;&gt;"","set "&amp;INDEX(CUEs!$A:$A,INT((ROW()-1)/7)*57+MOD(ROW()-1,7)+50)&amp;"=/ s "&amp;INDEX(CUEs!$B:$B,INT((ROW()-1)/7)*57+MOD(ROW()-1,7)+50),"")</f>
        <v/>
      </c>
    </row>
    <row r="1432" spans="1:1" x14ac:dyDescent="0.25">
      <c r="A1432" t="str" cm="1">
        <f t="array" ref="A1432">IF(INDEX(CUEs!$A:$A,INT((ROW()-1)/7)*57+MOD(ROW()-1,7)+50)&lt;&gt;"","set "&amp;INDEX(CUEs!$A:$A,INT((ROW()-1)/7)*57+MOD(ROW()-1,7)+50)&amp;"=/ s "&amp;INDEX(CUEs!$B:$B,INT((ROW()-1)/7)*57+MOD(ROW()-1,7)+50),"")</f>
        <v/>
      </c>
    </row>
    <row r="1433" spans="1:1" x14ac:dyDescent="0.25">
      <c r="A1433" t="str" cm="1">
        <f t="array" ref="A1433">IF(INDEX(CUEs!$A:$A,INT((ROW()-1)/7)*57+MOD(ROW()-1,7)+50)&lt;&gt;"","set "&amp;INDEX(CUEs!$A:$A,INT((ROW()-1)/7)*57+MOD(ROW()-1,7)+50)&amp;"=/ s "&amp;INDEX(CUEs!$B:$B,INT((ROW()-1)/7)*57+MOD(ROW()-1,7)+50),"")</f>
        <v/>
      </c>
    </row>
    <row r="1434" spans="1:1" x14ac:dyDescent="0.25">
      <c r="A1434" t="str" cm="1">
        <f t="array" ref="A1434">IF(INDEX(CUEs!$A:$A,INT((ROW()-1)/7)*57+MOD(ROW()-1,7)+50)&lt;&gt;"","set "&amp;INDEX(CUEs!$A:$A,INT((ROW()-1)/7)*57+MOD(ROW()-1,7)+50)&amp;"=/ s "&amp;INDEX(CUEs!$B:$B,INT((ROW()-1)/7)*57+MOD(ROW()-1,7)+50),"")</f>
        <v/>
      </c>
    </row>
    <row r="1435" spans="1:1" x14ac:dyDescent="0.25">
      <c r="A1435" t="str" cm="1">
        <f t="array" ref="A1435">IF(INDEX(CUEs!$A:$A,INT((ROW()-1)/7)*57+MOD(ROW()-1,7)+50)&lt;&gt;"","set "&amp;INDEX(CUEs!$A:$A,INT((ROW()-1)/7)*57+MOD(ROW()-1,7)+50)&amp;"=/ s "&amp;INDEX(CUEs!$B:$B,INT((ROW()-1)/7)*57+MOD(ROW()-1,7)+50),"")</f>
        <v/>
      </c>
    </row>
    <row r="1436" spans="1:1" x14ac:dyDescent="0.25">
      <c r="A1436" t="str" cm="1">
        <f t="array" ref="A1436">IF(INDEX(CUEs!$A:$A,INT((ROW()-1)/7)*57+MOD(ROW()-1,7)+50)&lt;&gt;"","set "&amp;INDEX(CUEs!$A:$A,INT((ROW()-1)/7)*57+MOD(ROW()-1,7)+50)&amp;"=/ s "&amp;INDEX(CUEs!$B:$B,INT((ROW()-1)/7)*57+MOD(ROW()-1,7)+50),"")</f>
        <v/>
      </c>
    </row>
    <row r="1437" spans="1:1" x14ac:dyDescent="0.25">
      <c r="A1437" t="str" cm="1">
        <f t="array" ref="A1437">IF(INDEX(CUEs!$A:$A,INT((ROW()-1)/7)*57+MOD(ROW()-1,7)+50)&lt;&gt;"","set "&amp;INDEX(CUEs!$A:$A,INT((ROW()-1)/7)*57+MOD(ROW()-1,7)+50)&amp;"=/ s "&amp;INDEX(CUEs!$B:$B,INT((ROW()-1)/7)*57+MOD(ROW()-1,7)+50),"")</f>
        <v/>
      </c>
    </row>
    <row r="1438" spans="1:1" x14ac:dyDescent="0.25">
      <c r="A1438" t="str" cm="1">
        <f t="array" ref="A1438">IF(INDEX(CUEs!$A:$A,INT((ROW()-1)/7)*57+MOD(ROW()-1,7)+50)&lt;&gt;"","set "&amp;INDEX(CUEs!$A:$A,INT((ROW()-1)/7)*57+MOD(ROW()-1,7)+50)&amp;"=/ s "&amp;INDEX(CUEs!$B:$B,INT((ROW()-1)/7)*57+MOD(ROW()-1,7)+50),"")</f>
        <v/>
      </c>
    </row>
    <row r="1439" spans="1:1" x14ac:dyDescent="0.25">
      <c r="A1439" t="str" cm="1">
        <f t="array" ref="A1439">IF(INDEX(CUEs!$A:$A,INT((ROW()-1)/7)*57+MOD(ROW()-1,7)+50)&lt;&gt;"","set "&amp;INDEX(CUEs!$A:$A,INT((ROW()-1)/7)*57+MOD(ROW()-1,7)+50)&amp;"=/ s "&amp;INDEX(CUEs!$B:$B,INT((ROW()-1)/7)*57+MOD(ROW()-1,7)+50),"")</f>
        <v/>
      </c>
    </row>
    <row r="1440" spans="1:1" x14ac:dyDescent="0.25">
      <c r="A1440" t="str" cm="1">
        <f t="array" ref="A1440">IF(INDEX(CUEs!$A:$A,INT((ROW()-1)/7)*57+MOD(ROW()-1,7)+50)&lt;&gt;"","set "&amp;INDEX(CUEs!$A:$A,INT((ROW()-1)/7)*57+MOD(ROW()-1,7)+50)&amp;"=/ s "&amp;INDEX(CUEs!$B:$B,INT((ROW()-1)/7)*57+MOD(ROW()-1,7)+50),"")</f>
        <v/>
      </c>
    </row>
    <row r="1441" spans="1:1" x14ac:dyDescent="0.25">
      <c r="A1441" t="str" cm="1">
        <f t="array" ref="A1441">IF(INDEX(CUEs!$A:$A,INT((ROW()-1)/7)*57+MOD(ROW()-1,7)+50)&lt;&gt;"","set "&amp;INDEX(CUEs!$A:$A,INT((ROW()-1)/7)*57+MOD(ROW()-1,7)+50)&amp;"=/ s "&amp;INDEX(CUEs!$B:$B,INT((ROW()-1)/7)*57+MOD(ROW()-1,7)+50),"")</f>
        <v/>
      </c>
    </row>
    <row r="1442" spans="1:1" x14ac:dyDescent="0.25">
      <c r="A1442" t="str" cm="1">
        <f t="array" ref="A1442">IF(INDEX(CUEs!$A:$A,INT((ROW()-1)/7)*57+MOD(ROW()-1,7)+50)&lt;&gt;"","set "&amp;INDEX(CUEs!$A:$A,INT((ROW()-1)/7)*57+MOD(ROW()-1,7)+50)&amp;"=/ s "&amp;INDEX(CUEs!$B:$B,INT((ROW()-1)/7)*57+MOD(ROW()-1,7)+50),"")</f>
        <v/>
      </c>
    </row>
    <row r="1443" spans="1:1" x14ac:dyDescent="0.25">
      <c r="A1443" t="str" cm="1">
        <f t="array" ref="A1443">IF(INDEX(CUEs!$A:$A,INT((ROW()-1)/7)*57+MOD(ROW()-1,7)+50)&lt;&gt;"","set "&amp;INDEX(CUEs!$A:$A,INT((ROW()-1)/7)*57+MOD(ROW()-1,7)+50)&amp;"=/ s "&amp;INDEX(CUEs!$B:$B,INT((ROW()-1)/7)*57+MOD(ROW()-1,7)+50),"")</f>
        <v/>
      </c>
    </row>
    <row r="1444" spans="1:1" x14ac:dyDescent="0.25">
      <c r="A1444" t="str" cm="1">
        <f t="array" ref="A1444">IF(INDEX(CUEs!$A:$A,INT((ROW()-1)/7)*57+MOD(ROW()-1,7)+50)&lt;&gt;"","set "&amp;INDEX(CUEs!$A:$A,INT((ROW()-1)/7)*57+MOD(ROW()-1,7)+50)&amp;"=/ s "&amp;INDEX(CUEs!$B:$B,INT((ROW()-1)/7)*57+MOD(ROW()-1,7)+50),"")</f>
        <v/>
      </c>
    </row>
    <row r="1445" spans="1:1" x14ac:dyDescent="0.25">
      <c r="A1445" t="str" cm="1">
        <f t="array" ref="A1445">IF(INDEX(CUEs!$A:$A,INT((ROW()-1)/7)*57+MOD(ROW()-1,7)+50)&lt;&gt;"","set "&amp;INDEX(CUEs!$A:$A,INT((ROW()-1)/7)*57+MOD(ROW()-1,7)+50)&amp;"=/ s "&amp;INDEX(CUEs!$B:$B,INT((ROW()-1)/7)*57+MOD(ROW()-1,7)+50),"")</f>
        <v/>
      </c>
    </row>
    <row r="1446" spans="1:1" x14ac:dyDescent="0.25">
      <c r="A1446" t="str" cm="1">
        <f t="array" ref="A1446">IF(INDEX(CUEs!$A:$A,INT((ROW()-1)/7)*57+MOD(ROW()-1,7)+50)&lt;&gt;"","set "&amp;INDEX(CUEs!$A:$A,INT((ROW()-1)/7)*57+MOD(ROW()-1,7)+50)&amp;"=/ s "&amp;INDEX(CUEs!$B:$B,INT((ROW()-1)/7)*57+MOD(ROW()-1,7)+50),"")</f>
        <v/>
      </c>
    </row>
    <row r="1447" spans="1:1" x14ac:dyDescent="0.25">
      <c r="A1447" t="str" cm="1">
        <f t="array" ref="A1447">IF(INDEX(CUEs!$A:$A,INT((ROW()-1)/7)*57+MOD(ROW()-1,7)+50)&lt;&gt;"","set "&amp;INDEX(CUEs!$A:$A,INT((ROW()-1)/7)*57+MOD(ROW()-1,7)+50)&amp;"=/ s "&amp;INDEX(CUEs!$B:$B,INT((ROW()-1)/7)*57+MOD(ROW()-1,7)+50),"")</f>
        <v/>
      </c>
    </row>
    <row r="1448" spans="1:1" x14ac:dyDescent="0.25">
      <c r="A1448" t="str" cm="1">
        <f t="array" ref="A1448">IF(INDEX(CUEs!$A:$A,INT((ROW()-1)/7)*57+MOD(ROW()-1,7)+50)&lt;&gt;"","set "&amp;INDEX(CUEs!$A:$A,INT((ROW()-1)/7)*57+MOD(ROW()-1,7)+50)&amp;"=/ s "&amp;INDEX(CUEs!$B:$B,INT((ROW()-1)/7)*57+MOD(ROW()-1,7)+50),"")</f>
        <v/>
      </c>
    </row>
    <row r="1449" spans="1:1" x14ac:dyDescent="0.25">
      <c r="A1449" t="str" cm="1">
        <f t="array" ref="A1449">IF(INDEX(CUEs!$A:$A,INT((ROW()-1)/7)*57+MOD(ROW()-1,7)+50)&lt;&gt;"","set "&amp;INDEX(CUEs!$A:$A,INT((ROW()-1)/7)*57+MOD(ROW()-1,7)+50)&amp;"=/ s "&amp;INDEX(CUEs!$B:$B,INT((ROW()-1)/7)*57+MOD(ROW()-1,7)+50),"")</f>
        <v/>
      </c>
    </row>
    <row r="1450" spans="1:1" x14ac:dyDescent="0.25">
      <c r="A1450" t="str" cm="1">
        <f t="array" ref="A1450">IF(INDEX(CUEs!$A:$A,INT((ROW()-1)/7)*57+MOD(ROW()-1,7)+50)&lt;&gt;"","set "&amp;INDEX(CUEs!$A:$A,INT((ROW()-1)/7)*57+MOD(ROW()-1,7)+50)&amp;"=/ s "&amp;INDEX(CUEs!$B:$B,INT((ROW()-1)/7)*57+MOD(ROW()-1,7)+50),"")</f>
        <v/>
      </c>
    </row>
    <row r="1451" spans="1:1" x14ac:dyDescent="0.25">
      <c r="A1451" t="str" cm="1">
        <f t="array" ref="A1451">IF(INDEX(CUEs!$A:$A,INT((ROW()-1)/7)*57+MOD(ROW()-1,7)+50)&lt;&gt;"","set "&amp;INDEX(CUEs!$A:$A,INT((ROW()-1)/7)*57+MOD(ROW()-1,7)+50)&amp;"=/ s "&amp;INDEX(CUEs!$B:$B,INT((ROW()-1)/7)*57+MOD(ROW()-1,7)+50),"")</f>
        <v/>
      </c>
    </row>
    <row r="1452" spans="1:1" x14ac:dyDescent="0.25">
      <c r="A1452" t="str" cm="1">
        <f t="array" ref="A1452">IF(INDEX(CUEs!$A:$A,INT((ROW()-1)/7)*57+MOD(ROW()-1,7)+50)&lt;&gt;"","set "&amp;INDEX(CUEs!$A:$A,INT((ROW()-1)/7)*57+MOD(ROW()-1,7)+50)&amp;"=/ s "&amp;INDEX(CUEs!$B:$B,INT((ROW()-1)/7)*57+MOD(ROW()-1,7)+50),"")</f>
        <v/>
      </c>
    </row>
    <row r="1453" spans="1:1" x14ac:dyDescent="0.25">
      <c r="A1453" t="str" cm="1">
        <f t="array" ref="A1453">IF(INDEX(CUEs!$A:$A,INT((ROW()-1)/7)*57+MOD(ROW()-1,7)+50)&lt;&gt;"","set "&amp;INDEX(CUEs!$A:$A,INT((ROW()-1)/7)*57+MOD(ROW()-1,7)+50)&amp;"=/ s "&amp;INDEX(CUEs!$B:$B,INT((ROW()-1)/7)*57+MOD(ROW()-1,7)+50),"")</f>
        <v/>
      </c>
    </row>
    <row r="1454" spans="1:1" x14ac:dyDescent="0.25">
      <c r="A1454" t="str" cm="1">
        <f t="array" ref="A1454">IF(INDEX(CUEs!$A:$A,INT((ROW()-1)/7)*57+MOD(ROW()-1,7)+50)&lt;&gt;"","set "&amp;INDEX(CUEs!$A:$A,INT((ROW()-1)/7)*57+MOD(ROW()-1,7)+50)&amp;"=/ s "&amp;INDEX(CUEs!$B:$B,INT((ROW()-1)/7)*57+MOD(ROW()-1,7)+50),"")</f>
        <v/>
      </c>
    </row>
    <row r="1455" spans="1:1" x14ac:dyDescent="0.25">
      <c r="A1455" t="str" cm="1">
        <f t="array" ref="A1455">IF(INDEX(CUEs!$A:$A,INT((ROW()-1)/7)*57+MOD(ROW()-1,7)+50)&lt;&gt;"","set "&amp;INDEX(CUEs!$A:$A,INT((ROW()-1)/7)*57+MOD(ROW()-1,7)+50)&amp;"=/ s "&amp;INDEX(CUEs!$B:$B,INT((ROW()-1)/7)*57+MOD(ROW()-1,7)+50),"")</f>
        <v/>
      </c>
    </row>
    <row r="1456" spans="1:1" x14ac:dyDescent="0.25">
      <c r="A1456" t="str" cm="1">
        <f t="array" ref="A1456">IF(INDEX(CUEs!$A:$A,INT((ROW()-1)/7)*57+MOD(ROW()-1,7)+50)&lt;&gt;"","set "&amp;INDEX(CUEs!$A:$A,INT((ROW()-1)/7)*57+MOD(ROW()-1,7)+50)&amp;"=/ s "&amp;INDEX(CUEs!$B:$B,INT((ROW()-1)/7)*57+MOD(ROW()-1,7)+50),"")</f>
        <v/>
      </c>
    </row>
    <row r="1457" spans="1:1" x14ac:dyDescent="0.25">
      <c r="A1457" t="str" cm="1">
        <f t="array" ref="A1457">IF(INDEX(CUEs!$A:$A,INT((ROW()-1)/7)*57+MOD(ROW()-1,7)+50)&lt;&gt;"","set "&amp;INDEX(CUEs!$A:$A,INT((ROW()-1)/7)*57+MOD(ROW()-1,7)+50)&amp;"=/ s "&amp;INDEX(CUEs!$B:$B,INT((ROW()-1)/7)*57+MOD(ROW()-1,7)+50),"")</f>
        <v/>
      </c>
    </row>
    <row r="1458" spans="1:1" x14ac:dyDescent="0.25">
      <c r="A1458" t="str" cm="1">
        <f t="array" ref="A1458">IF(INDEX(CUEs!$A:$A,INT((ROW()-1)/7)*57+MOD(ROW()-1,7)+50)&lt;&gt;"","set "&amp;INDEX(CUEs!$A:$A,INT((ROW()-1)/7)*57+MOD(ROW()-1,7)+50)&amp;"=/ s "&amp;INDEX(CUEs!$B:$B,INT((ROW()-1)/7)*57+MOD(ROW()-1,7)+50),"")</f>
        <v/>
      </c>
    </row>
    <row r="1459" spans="1:1" x14ac:dyDescent="0.25">
      <c r="A1459" t="str" cm="1">
        <f t="array" ref="A1459">IF(INDEX(CUEs!$A:$A,INT((ROW()-1)/7)*57+MOD(ROW()-1,7)+50)&lt;&gt;"","set "&amp;INDEX(CUEs!$A:$A,INT((ROW()-1)/7)*57+MOD(ROW()-1,7)+50)&amp;"=/ s "&amp;INDEX(CUEs!$B:$B,INT((ROW()-1)/7)*57+MOD(ROW()-1,7)+50),"")</f>
        <v/>
      </c>
    </row>
    <row r="1460" spans="1:1" x14ac:dyDescent="0.25">
      <c r="A1460" t="str" cm="1">
        <f t="array" ref="A1460">IF(INDEX(CUEs!$A:$A,INT((ROW()-1)/7)*57+MOD(ROW()-1,7)+50)&lt;&gt;"","set "&amp;INDEX(CUEs!$A:$A,INT((ROW()-1)/7)*57+MOD(ROW()-1,7)+50)&amp;"=/ s "&amp;INDEX(CUEs!$B:$B,INT((ROW()-1)/7)*57+MOD(ROW()-1,7)+50),"")</f>
        <v/>
      </c>
    </row>
    <row r="1461" spans="1:1" x14ac:dyDescent="0.25">
      <c r="A1461" t="str" cm="1">
        <f t="array" ref="A1461">IF(INDEX(CUEs!$A:$A,INT((ROW()-1)/7)*57+MOD(ROW()-1,7)+50)&lt;&gt;"","set "&amp;INDEX(CUEs!$A:$A,INT((ROW()-1)/7)*57+MOD(ROW()-1,7)+50)&amp;"=/ s "&amp;INDEX(CUEs!$B:$B,INT((ROW()-1)/7)*57+MOD(ROW()-1,7)+50),"")</f>
        <v/>
      </c>
    </row>
    <row r="1462" spans="1:1" x14ac:dyDescent="0.25">
      <c r="A1462" t="str" cm="1">
        <f t="array" ref="A1462">IF(INDEX(CUEs!$A:$A,INT((ROW()-1)/7)*57+MOD(ROW()-1,7)+50)&lt;&gt;"","set "&amp;INDEX(CUEs!$A:$A,INT((ROW()-1)/7)*57+MOD(ROW()-1,7)+50)&amp;"=/ s "&amp;INDEX(CUEs!$B:$B,INT((ROW()-1)/7)*57+MOD(ROW()-1,7)+50),"")</f>
        <v/>
      </c>
    </row>
    <row r="1463" spans="1:1" x14ac:dyDescent="0.25">
      <c r="A1463" t="str" cm="1">
        <f t="array" ref="A1463">IF(INDEX(CUEs!$A:$A,INT((ROW()-1)/7)*57+MOD(ROW()-1,7)+50)&lt;&gt;"","set "&amp;INDEX(CUEs!$A:$A,INT((ROW()-1)/7)*57+MOD(ROW()-1,7)+50)&amp;"=/ s "&amp;INDEX(CUEs!$B:$B,INT((ROW()-1)/7)*57+MOD(ROW()-1,7)+50),"")</f>
        <v/>
      </c>
    </row>
    <row r="1464" spans="1:1" x14ac:dyDescent="0.25">
      <c r="A1464" t="str" cm="1">
        <f t="array" ref="A1464">IF(INDEX(CUEs!$A:$A,INT((ROW()-1)/7)*57+MOD(ROW()-1,7)+50)&lt;&gt;"","set "&amp;INDEX(CUEs!$A:$A,INT((ROW()-1)/7)*57+MOD(ROW()-1,7)+50)&amp;"=/ s "&amp;INDEX(CUEs!$B:$B,INT((ROW()-1)/7)*57+MOD(ROW()-1,7)+50),"")</f>
        <v/>
      </c>
    </row>
    <row r="1465" spans="1:1" x14ac:dyDescent="0.25">
      <c r="A1465" t="str" cm="1">
        <f t="array" ref="A1465">IF(INDEX(CUEs!$A:$A,INT((ROW()-1)/7)*57+MOD(ROW()-1,7)+50)&lt;&gt;"","set "&amp;INDEX(CUEs!$A:$A,INT((ROW()-1)/7)*57+MOD(ROW()-1,7)+50)&amp;"=/ s "&amp;INDEX(CUEs!$B:$B,INT((ROW()-1)/7)*57+MOD(ROW()-1,7)+50),"")</f>
        <v/>
      </c>
    </row>
    <row r="1466" spans="1:1" x14ac:dyDescent="0.25">
      <c r="A1466" t="str" cm="1">
        <f t="array" ref="A1466">IF(INDEX(CUEs!$A:$A,INT((ROW()-1)/7)*57+MOD(ROW()-1,7)+50)&lt;&gt;"","set "&amp;INDEX(CUEs!$A:$A,INT((ROW()-1)/7)*57+MOD(ROW()-1,7)+50)&amp;"=/ s "&amp;INDEX(CUEs!$B:$B,INT((ROW()-1)/7)*57+MOD(ROW()-1,7)+50),"")</f>
        <v/>
      </c>
    </row>
    <row r="1467" spans="1:1" x14ac:dyDescent="0.25">
      <c r="A1467" t="str" cm="1">
        <f t="array" ref="A1467">IF(INDEX(CUEs!$A:$A,INT((ROW()-1)/7)*57+MOD(ROW()-1,7)+50)&lt;&gt;"","set "&amp;INDEX(CUEs!$A:$A,INT((ROW()-1)/7)*57+MOD(ROW()-1,7)+50)&amp;"=/ s "&amp;INDEX(CUEs!$B:$B,INT((ROW()-1)/7)*57+MOD(ROW()-1,7)+50),"")</f>
        <v/>
      </c>
    </row>
    <row r="1468" spans="1:1" x14ac:dyDescent="0.25">
      <c r="A1468" t="str" cm="1">
        <f t="array" ref="A1468">IF(INDEX(CUEs!$A:$A,INT((ROW()-1)/7)*57+MOD(ROW()-1,7)+50)&lt;&gt;"","set "&amp;INDEX(CUEs!$A:$A,INT((ROW()-1)/7)*57+MOD(ROW()-1,7)+50)&amp;"=/ s "&amp;INDEX(CUEs!$B:$B,INT((ROW()-1)/7)*57+MOD(ROW()-1,7)+50),"")</f>
        <v/>
      </c>
    </row>
    <row r="1469" spans="1:1" x14ac:dyDescent="0.25">
      <c r="A1469" t="str" cm="1">
        <f t="array" ref="A1469">IF(INDEX(CUEs!$A:$A,INT((ROW()-1)/7)*57+MOD(ROW()-1,7)+50)&lt;&gt;"","set "&amp;INDEX(CUEs!$A:$A,INT((ROW()-1)/7)*57+MOD(ROW()-1,7)+50)&amp;"=/ s "&amp;INDEX(CUEs!$B:$B,INT((ROW()-1)/7)*57+MOD(ROW()-1,7)+50),"")</f>
        <v/>
      </c>
    </row>
    <row r="1470" spans="1:1" x14ac:dyDescent="0.25">
      <c r="A1470" t="str" cm="1">
        <f t="array" ref="A1470">IF(INDEX(CUEs!$A:$A,INT((ROW()-1)/7)*57+MOD(ROW()-1,7)+50)&lt;&gt;"","set "&amp;INDEX(CUEs!$A:$A,INT((ROW()-1)/7)*57+MOD(ROW()-1,7)+50)&amp;"=/ s "&amp;INDEX(CUEs!$B:$B,INT((ROW()-1)/7)*57+MOD(ROW()-1,7)+50),"")</f>
        <v/>
      </c>
    </row>
    <row r="1471" spans="1:1" x14ac:dyDescent="0.25">
      <c r="A1471" t="str" cm="1">
        <f t="array" ref="A1471">IF(INDEX(CUEs!$A:$A,INT((ROW()-1)/7)*57+MOD(ROW()-1,7)+50)&lt;&gt;"","set "&amp;INDEX(CUEs!$A:$A,INT((ROW()-1)/7)*57+MOD(ROW()-1,7)+50)&amp;"=/ s "&amp;INDEX(CUEs!$B:$B,INT((ROW()-1)/7)*57+MOD(ROW()-1,7)+50),"")</f>
        <v/>
      </c>
    </row>
    <row r="1472" spans="1:1" x14ac:dyDescent="0.25">
      <c r="A1472" t="str" cm="1">
        <f t="array" ref="A1472">IF(INDEX(CUEs!$A:$A,INT((ROW()-1)/7)*57+MOD(ROW()-1,7)+50)&lt;&gt;"","set "&amp;INDEX(CUEs!$A:$A,INT((ROW()-1)/7)*57+MOD(ROW()-1,7)+50)&amp;"=/ s "&amp;INDEX(CUEs!$B:$B,INT((ROW()-1)/7)*57+MOD(ROW()-1,7)+50),"")</f>
        <v/>
      </c>
    </row>
    <row r="1473" spans="1:1" x14ac:dyDescent="0.25">
      <c r="A1473" t="str" cm="1">
        <f t="array" ref="A1473">IF(INDEX(CUEs!$A:$A,INT((ROW()-1)/7)*57+MOD(ROW()-1,7)+50)&lt;&gt;"","set "&amp;INDEX(CUEs!$A:$A,INT((ROW()-1)/7)*57+MOD(ROW()-1,7)+50)&amp;"=/ s "&amp;INDEX(CUEs!$B:$B,INT((ROW()-1)/7)*57+MOD(ROW()-1,7)+50),"")</f>
        <v/>
      </c>
    </row>
    <row r="1474" spans="1:1" x14ac:dyDescent="0.25">
      <c r="A1474" t="str" cm="1">
        <f t="array" ref="A1474">IF(INDEX(CUEs!$A:$A,INT((ROW()-1)/7)*57+MOD(ROW()-1,7)+50)&lt;&gt;"","set "&amp;INDEX(CUEs!$A:$A,INT((ROW()-1)/7)*57+MOD(ROW()-1,7)+50)&amp;"=/ s "&amp;INDEX(CUEs!$B:$B,INT((ROW()-1)/7)*57+MOD(ROW()-1,7)+50),"")</f>
        <v/>
      </c>
    </row>
    <row r="1475" spans="1:1" x14ac:dyDescent="0.25">
      <c r="A1475" t="str" cm="1">
        <f t="array" ref="A1475">IF(INDEX(CUEs!$A:$A,INT((ROW()-1)/7)*57+MOD(ROW()-1,7)+50)&lt;&gt;"","set "&amp;INDEX(CUEs!$A:$A,INT((ROW()-1)/7)*57+MOD(ROW()-1,7)+50)&amp;"=/ s "&amp;INDEX(CUEs!$B:$B,INT((ROW()-1)/7)*57+MOD(ROW()-1,7)+50),"")</f>
        <v/>
      </c>
    </row>
    <row r="1476" spans="1:1" x14ac:dyDescent="0.25">
      <c r="A1476" t="str" cm="1">
        <f t="array" ref="A1476">IF(INDEX(CUEs!$A:$A,INT((ROW()-1)/7)*57+MOD(ROW()-1,7)+50)&lt;&gt;"","set "&amp;INDEX(CUEs!$A:$A,INT((ROW()-1)/7)*57+MOD(ROW()-1,7)+50)&amp;"=/ s "&amp;INDEX(CUEs!$B:$B,INT((ROW()-1)/7)*57+MOD(ROW()-1,7)+50),"")</f>
        <v/>
      </c>
    </row>
    <row r="1477" spans="1:1" x14ac:dyDescent="0.25">
      <c r="A1477" t="str" cm="1">
        <f t="array" ref="A1477">IF(INDEX(CUEs!$A:$A,INT((ROW()-1)/7)*57+MOD(ROW()-1,7)+50)&lt;&gt;"","set "&amp;INDEX(CUEs!$A:$A,INT((ROW()-1)/7)*57+MOD(ROW()-1,7)+50)&amp;"=/ s "&amp;INDEX(CUEs!$B:$B,INT((ROW()-1)/7)*57+MOD(ROW()-1,7)+50),"")</f>
        <v/>
      </c>
    </row>
    <row r="1478" spans="1:1" x14ac:dyDescent="0.25">
      <c r="A1478" t="str" cm="1">
        <f t="array" ref="A1478">IF(INDEX(CUEs!$A:$A,INT((ROW()-1)/7)*57+MOD(ROW()-1,7)+50)&lt;&gt;"","set "&amp;INDEX(CUEs!$A:$A,INT((ROW()-1)/7)*57+MOD(ROW()-1,7)+50)&amp;"=/ s "&amp;INDEX(CUEs!$B:$B,INT((ROW()-1)/7)*57+MOD(ROW()-1,7)+50),"")</f>
        <v/>
      </c>
    </row>
    <row r="1479" spans="1:1" x14ac:dyDescent="0.25">
      <c r="A1479" t="str" cm="1">
        <f t="array" ref="A1479">IF(INDEX(CUEs!$A:$A,INT((ROW()-1)/7)*57+MOD(ROW()-1,7)+50)&lt;&gt;"","set "&amp;INDEX(CUEs!$A:$A,INT((ROW()-1)/7)*57+MOD(ROW()-1,7)+50)&amp;"=/ s "&amp;INDEX(CUEs!$B:$B,INT((ROW()-1)/7)*57+MOD(ROW()-1,7)+50),"")</f>
        <v/>
      </c>
    </row>
    <row r="1480" spans="1:1" x14ac:dyDescent="0.25">
      <c r="A1480" t="str" cm="1">
        <f t="array" ref="A1480">IF(INDEX(CUEs!$A:$A,INT((ROW()-1)/7)*57+MOD(ROW()-1,7)+50)&lt;&gt;"","set "&amp;INDEX(CUEs!$A:$A,INT((ROW()-1)/7)*57+MOD(ROW()-1,7)+50)&amp;"=/ s "&amp;INDEX(CUEs!$B:$B,INT((ROW()-1)/7)*57+MOD(ROW()-1,7)+50),"")</f>
        <v/>
      </c>
    </row>
    <row r="1481" spans="1:1" x14ac:dyDescent="0.25">
      <c r="A1481" t="str" cm="1">
        <f t="array" ref="A1481">IF(INDEX(CUEs!$A:$A,INT((ROW()-1)/7)*57+MOD(ROW()-1,7)+50)&lt;&gt;"","set "&amp;INDEX(CUEs!$A:$A,INT((ROW()-1)/7)*57+MOD(ROW()-1,7)+50)&amp;"=/ s "&amp;INDEX(CUEs!$B:$B,INT((ROW()-1)/7)*57+MOD(ROW()-1,7)+50),"")</f>
        <v/>
      </c>
    </row>
    <row r="1482" spans="1:1" x14ac:dyDescent="0.25">
      <c r="A1482" t="str" cm="1">
        <f t="array" ref="A1482">IF(INDEX(CUEs!$A:$A,INT((ROW()-1)/7)*57+MOD(ROW()-1,7)+50)&lt;&gt;"","set "&amp;INDEX(CUEs!$A:$A,INT((ROW()-1)/7)*57+MOD(ROW()-1,7)+50)&amp;"=/ s "&amp;INDEX(CUEs!$B:$B,INT((ROW()-1)/7)*57+MOD(ROW()-1,7)+50),"")</f>
        <v/>
      </c>
    </row>
    <row r="1483" spans="1:1" x14ac:dyDescent="0.25">
      <c r="A1483" t="str" cm="1">
        <f t="array" ref="A1483">IF(INDEX(CUEs!$A:$A,INT((ROW()-1)/7)*57+MOD(ROW()-1,7)+50)&lt;&gt;"","set "&amp;INDEX(CUEs!$A:$A,INT((ROW()-1)/7)*57+MOD(ROW()-1,7)+50)&amp;"=/ s "&amp;INDEX(CUEs!$B:$B,INT((ROW()-1)/7)*57+MOD(ROW()-1,7)+50),"")</f>
        <v/>
      </c>
    </row>
    <row r="1484" spans="1:1" x14ac:dyDescent="0.25">
      <c r="A1484" t="str" cm="1">
        <f t="array" ref="A1484">IF(INDEX(CUEs!$A:$A,INT((ROW()-1)/7)*57+MOD(ROW()-1,7)+50)&lt;&gt;"","set "&amp;INDEX(CUEs!$A:$A,INT((ROW()-1)/7)*57+MOD(ROW()-1,7)+50)&amp;"=/ s "&amp;INDEX(CUEs!$B:$B,INT((ROW()-1)/7)*57+MOD(ROW()-1,7)+50),"")</f>
        <v/>
      </c>
    </row>
    <row r="1485" spans="1:1" x14ac:dyDescent="0.25">
      <c r="A1485" t="str" cm="1">
        <f t="array" ref="A1485">IF(INDEX(CUEs!$A:$A,INT((ROW()-1)/7)*57+MOD(ROW()-1,7)+50)&lt;&gt;"","set "&amp;INDEX(CUEs!$A:$A,INT((ROW()-1)/7)*57+MOD(ROW()-1,7)+50)&amp;"=/ s "&amp;INDEX(CUEs!$B:$B,INT((ROW()-1)/7)*57+MOD(ROW()-1,7)+50),"")</f>
        <v/>
      </c>
    </row>
    <row r="1486" spans="1:1" x14ac:dyDescent="0.25">
      <c r="A1486" t="str" cm="1">
        <f t="array" ref="A1486">IF(INDEX(CUEs!$A:$A,INT((ROW()-1)/7)*57+MOD(ROW()-1,7)+50)&lt;&gt;"","set "&amp;INDEX(CUEs!$A:$A,INT((ROW()-1)/7)*57+MOD(ROW()-1,7)+50)&amp;"=/ s "&amp;INDEX(CUEs!$B:$B,INT((ROW()-1)/7)*57+MOD(ROW()-1,7)+50),"")</f>
        <v/>
      </c>
    </row>
    <row r="1487" spans="1:1" x14ac:dyDescent="0.25">
      <c r="A1487" t="str" cm="1">
        <f t="array" ref="A1487">IF(INDEX(CUEs!$A:$A,INT((ROW()-1)/7)*57+MOD(ROW()-1,7)+50)&lt;&gt;"","set "&amp;INDEX(CUEs!$A:$A,INT((ROW()-1)/7)*57+MOD(ROW()-1,7)+50)&amp;"=/ s "&amp;INDEX(CUEs!$B:$B,INT((ROW()-1)/7)*57+MOD(ROW()-1,7)+50),"")</f>
        <v/>
      </c>
    </row>
    <row r="1488" spans="1:1" x14ac:dyDescent="0.25">
      <c r="A1488" t="str" cm="1">
        <f t="array" ref="A1488">IF(INDEX(CUEs!$A:$A,INT((ROW()-1)/7)*57+MOD(ROW()-1,7)+50)&lt;&gt;"","set "&amp;INDEX(CUEs!$A:$A,INT((ROW()-1)/7)*57+MOD(ROW()-1,7)+50)&amp;"=/ s "&amp;INDEX(CUEs!$B:$B,INT((ROW()-1)/7)*57+MOD(ROW()-1,7)+50),"")</f>
        <v/>
      </c>
    </row>
    <row r="1489" spans="1:1" x14ac:dyDescent="0.25">
      <c r="A1489" t="str" cm="1">
        <f t="array" ref="A1489">IF(INDEX(CUEs!$A:$A,INT((ROW()-1)/7)*57+MOD(ROW()-1,7)+50)&lt;&gt;"","set "&amp;INDEX(CUEs!$A:$A,INT((ROW()-1)/7)*57+MOD(ROW()-1,7)+50)&amp;"=/ s "&amp;INDEX(CUEs!$B:$B,INT((ROW()-1)/7)*57+MOD(ROW()-1,7)+50),"")</f>
        <v/>
      </c>
    </row>
    <row r="1490" spans="1:1" x14ac:dyDescent="0.25">
      <c r="A1490" t="str" cm="1">
        <f t="array" ref="A1490">IF(INDEX(CUEs!$A:$A,INT((ROW()-1)/7)*57+MOD(ROW()-1,7)+50)&lt;&gt;"","set "&amp;INDEX(CUEs!$A:$A,INT((ROW()-1)/7)*57+MOD(ROW()-1,7)+50)&amp;"=/ s "&amp;INDEX(CUEs!$B:$B,INT((ROW()-1)/7)*57+MOD(ROW()-1,7)+50),"")</f>
        <v/>
      </c>
    </row>
    <row r="1491" spans="1:1" x14ac:dyDescent="0.25">
      <c r="A1491" t="str" cm="1">
        <f t="array" ref="A1491">IF(INDEX(CUEs!$A:$A,INT((ROW()-1)/7)*57+MOD(ROW()-1,7)+50)&lt;&gt;"","set "&amp;INDEX(CUEs!$A:$A,INT((ROW()-1)/7)*57+MOD(ROW()-1,7)+50)&amp;"=/ s "&amp;INDEX(CUEs!$B:$B,INT((ROW()-1)/7)*57+MOD(ROW()-1,7)+50),"")</f>
        <v/>
      </c>
    </row>
    <row r="1492" spans="1:1" x14ac:dyDescent="0.25">
      <c r="A1492" t="str" cm="1">
        <f t="array" ref="A1492">IF(INDEX(CUEs!$A:$A,INT((ROW()-1)/7)*57+MOD(ROW()-1,7)+50)&lt;&gt;"","set "&amp;INDEX(CUEs!$A:$A,INT((ROW()-1)/7)*57+MOD(ROW()-1,7)+50)&amp;"=/ s "&amp;INDEX(CUEs!$B:$B,INT((ROW()-1)/7)*57+MOD(ROW()-1,7)+50),"")</f>
        <v/>
      </c>
    </row>
    <row r="1493" spans="1:1" x14ac:dyDescent="0.25">
      <c r="A1493" t="str" cm="1">
        <f t="array" ref="A1493">IF(INDEX(CUEs!$A:$A,INT((ROW()-1)/7)*57+MOD(ROW()-1,7)+50)&lt;&gt;"","set "&amp;INDEX(CUEs!$A:$A,INT((ROW()-1)/7)*57+MOD(ROW()-1,7)+50)&amp;"=/ s "&amp;INDEX(CUEs!$B:$B,INT((ROW()-1)/7)*57+MOD(ROW()-1,7)+50),"")</f>
        <v/>
      </c>
    </row>
    <row r="1494" spans="1:1" x14ac:dyDescent="0.25">
      <c r="A1494" t="str" cm="1">
        <f t="array" ref="A1494">IF(INDEX(CUEs!$A:$A,INT((ROW()-1)/7)*57+MOD(ROW()-1,7)+50)&lt;&gt;"","set "&amp;INDEX(CUEs!$A:$A,INT((ROW()-1)/7)*57+MOD(ROW()-1,7)+50)&amp;"=/ s "&amp;INDEX(CUEs!$B:$B,INT((ROW()-1)/7)*57+MOD(ROW()-1,7)+50),"")</f>
        <v/>
      </c>
    </row>
    <row r="1495" spans="1:1" x14ac:dyDescent="0.25">
      <c r="A1495" t="str" cm="1">
        <f t="array" ref="A1495">IF(INDEX(CUEs!$A:$A,INT((ROW()-1)/7)*57+MOD(ROW()-1,7)+50)&lt;&gt;"","set "&amp;INDEX(CUEs!$A:$A,INT((ROW()-1)/7)*57+MOD(ROW()-1,7)+50)&amp;"=/ s "&amp;INDEX(CUEs!$B:$B,INT((ROW()-1)/7)*57+MOD(ROW()-1,7)+50),"")</f>
        <v/>
      </c>
    </row>
    <row r="1496" spans="1:1" x14ac:dyDescent="0.25">
      <c r="A1496" t="str" cm="1">
        <f t="array" ref="A1496">IF(INDEX(CUEs!$A:$A,INT((ROW()-1)/7)*57+MOD(ROW()-1,7)+50)&lt;&gt;"","set "&amp;INDEX(CUEs!$A:$A,INT((ROW()-1)/7)*57+MOD(ROW()-1,7)+50)&amp;"=/ s "&amp;INDEX(CUEs!$B:$B,INT((ROW()-1)/7)*57+MOD(ROW()-1,7)+50),"")</f>
        <v/>
      </c>
    </row>
    <row r="1497" spans="1:1" x14ac:dyDescent="0.25">
      <c r="A1497" t="str" cm="1">
        <f t="array" ref="A1497">IF(INDEX(CUEs!$A:$A,INT((ROW()-1)/7)*57+MOD(ROW()-1,7)+50)&lt;&gt;"","set "&amp;INDEX(CUEs!$A:$A,INT((ROW()-1)/7)*57+MOD(ROW()-1,7)+50)&amp;"=/ s "&amp;INDEX(CUEs!$B:$B,INT((ROW()-1)/7)*57+MOD(ROW()-1,7)+50),"")</f>
        <v/>
      </c>
    </row>
    <row r="1498" spans="1:1" x14ac:dyDescent="0.25">
      <c r="A1498" t="str" cm="1">
        <f t="array" ref="A1498">IF(INDEX(CUEs!$A:$A,INT((ROW()-1)/7)*57+MOD(ROW()-1,7)+50)&lt;&gt;"","set "&amp;INDEX(CUEs!$A:$A,INT((ROW()-1)/7)*57+MOD(ROW()-1,7)+50)&amp;"=/ s "&amp;INDEX(CUEs!$B:$B,INT((ROW()-1)/7)*57+MOD(ROW()-1,7)+50),"")</f>
        <v/>
      </c>
    </row>
    <row r="1499" spans="1:1" x14ac:dyDescent="0.25">
      <c r="A1499" t="str" cm="1">
        <f t="array" ref="A1499">IF(INDEX(CUEs!$A:$A,INT((ROW()-1)/7)*57+MOD(ROW()-1,7)+50)&lt;&gt;"","set "&amp;INDEX(CUEs!$A:$A,INT((ROW()-1)/7)*57+MOD(ROW()-1,7)+50)&amp;"=/ s "&amp;INDEX(CUEs!$B:$B,INT((ROW()-1)/7)*57+MOD(ROW()-1,7)+50),"")</f>
        <v/>
      </c>
    </row>
    <row r="1500" spans="1:1" x14ac:dyDescent="0.25">
      <c r="A1500" t="str" cm="1">
        <f t="array" ref="A1500">IF(INDEX(CUEs!$A:$A,INT((ROW()-1)/7)*57+MOD(ROW()-1,7)+50)&lt;&gt;"","set "&amp;INDEX(CUEs!$A:$A,INT((ROW()-1)/7)*57+MOD(ROW()-1,7)+50)&amp;"=/ s "&amp;INDEX(CUEs!$B:$B,INT((ROW()-1)/7)*57+MOD(ROW()-1,7)+50),"")</f>
        <v/>
      </c>
    </row>
    <row r="1501" spans="1:1" x14ac:dyDescent="0.25">
      <c r="A1501" t="str" cm="1">
        <f t="array" ref="A1501">IF(INDEX(CUEs!$A:$A,INT((ROW()-1)/7)*57+MOD(ROW()-1,7)+50)&lt;&gt;"","set "&amp;INDEX(CUEs!$A:$A,INT((ROW()-1)/7)*57+MOD(ROW()-1,7)+50)&amp;"=/ s "&amp;INDEX(CUEs!$B:$B,INT((ROW()-1)/7)*57+MOD(ROW()-1,7)+50),"")</f>
        <v/>
      </c>
    </row>
    <row r="1502" spans="1:1" x14ac:dyDescent="0.25">
      <c r="A1502" t="str" cm="1">
        <f t="array" ref="A1502">IF(INDEX(CUEs!$A:$A,INT((ROW()-1)/7)*57+MOD(ROW()-1,7)+50)&lt;&gt;"","set "&amp;INDEX(CUEs!$A:$A,INT((ROW()-1)/7)*57+MOD(ROW()-1,7)+50)&amp;"=/ s "&amp;INDEX(CUEs!$B:$B,INT((ROW()-1)/7)*57+MOD(ROW()-1,7)+50),"")</f>
        <v/>
      </c>
    </row>
    <row r="1503" spans="1:1" x14ac:dyDescent="0.25">
      <c r="A1503" t="str" cm="1">
        <f t="array" ref="A1503">IF(INDEX(CUEs!$A:$A,INT((ROW()-1)/7)*57+MOD(ROW()-1,7)+50)&lt;&gt;"","set "&amp;INDEX(CUEs!$A:$A,INT((ROW()-1)/7)*57+MOD(ROW()-1,7)+50)&amp;"=/ s "&amp;INDEX(CUEs!$B:$B,INT((ROW()-1)/7)*57+MOD(ROW()-1,7)+50),"")</f>
        <v/>
      </c>
    </row>
    <row r="1504" spans="1:1" x14ac:dyDescent="0.25">
      <c r="A1504" t="str" cm="1">
        <f t="array" ref="A1504">IF(INDEX(CUEs!$A:$A,INT((ROW()-1)/7)*57+MOD(ROW()-1,7)+50)&lt;&gt;"","set "&amp;INDEX(CUEs!$A:$A,INT((ROW()-1)/7)*57+MOD(ROW()-1,7)+50)&amp;"=/ s "&amp;INDEX(CUEs!$B:$B,INT((ROW()-1)/7)*57+MOD(ROW()-1,7)+50),"")</f>
        <v/>
      </c>
    </row>
    <row r="1505" spans="1:1" x14ac:dyDescent="0.25">
      <c r="A1505" t="str" cm="1">
        <f t="array" ref="A1505">IF(INDEX(CUEs!$A:$A,INT((ROW()-1)/7)*57+MOD(ROW()-1,7)+50)&lt;&gt;"","set "&amp;INDEX(CUEs!$A:$A,INT((ROW()-1)/7)*57+MOD(ROW()-1,7)+50)&amp;"=/ s "&amp;INDEX(CUEs!$B:$B,INT((ROW()-1)/7)*57+MOD(ROW()-1,7)+50),"")</f>
        <v/>
      </c>
    </row>
    <row r="1506" spans="1:1" x14ac:dyDescent="0.25">
      <c r="A1506" t="str" cm="1">
        <f t="array" ref="A1506">IF(INDEX(CUEs!$A:$A,INT((ROW()-1)/7)*57+MOD(ROW()-1,7)+50)&lt;&gt;"","set "&amp;INDEX(CUEs!$A:$A,INT((ROW()-1)/7)*57+MOD(ROW()-1,7)+50)&amp;"=/ s "&amp;INDEX(CUEs!$B:$B,INT((ROW()-1)/7)*57+MOD(ROW()-1,7)+50),"")</f>
        <v/>
      </c>
    </row>
    <row r="1507" spans="1:1" x14ac:dyDescent="0.25">
      <c r="A1507" t="str" cm="1">
        <f t="array" ref="A1507">IF(INDEX(CUEs!$A:$A,INT((ROW()-1)/7)*57+MOD(ROW()-1,7)+50)&lt;&gt;"","set "&amp;INDEX(CUEs!$A:$A,INT((ROW()-1)/7)*57+MOD(ROW()-1,7)+50)&amp;"=/ s "&amp;INDEX(CUEs!$B:$B,INT((ROW()-1)/7)*57+MOD(ROW()-1,7)+50),"")</f>
        <v/>
      </c>
    </row>
    <row r="1508" spans="1:1" x14ac:dyDescent="0.25">
      <c r="A1508" t="str" cm="1">
        <f t="array" ref="A1508">IF(INDEX(CUEs!$A:$A,INT((ROW()-1)/7)*57+MOD(ROW()-1,7)+50)&lt;&gt;"","set "&amp;INDEX(CUEs!$A:$A,INT((ROW()-1)/7)*57+MOD(ROW()-1,7)+50)&amp;"=/ s "&amp;INDEX(CUEs!$B:$B,INT((ROW()-1)/7)*57+MOD(ROW()-1,7)+50),"")</f>
        <v/>
      </c>
    </row>
    <row r="1509" spans="1:1" x14ac:dyDescent="0.25">
      <c r="A1509" t="str" cm="1">
        <f t="array" ref="A1509">IF(INDEX(CUEs!$A:$A,INT((ROW()-1)/7)*57+MOD(ROW()-1,7)+50)&lt;&gt;"","set "&amp;INDEX(CUEs!$A:$A,INT((ROW()-1)/7)*57+MOD(ROW()-1,7)+50)&amp;"=/ s "&amp;INDEX(CUEs!$B:$B,INT((ROW()-1)/7)*57+MOD(ROW()-1,7)+50),"")</f>
        <v/>
      </c>
    </row>
    <row r="1510" spans="1:1" x14ac:dyDescent="0.25">
      <c r="A1510" t="str" cm="1">
        <f t="array" ref="A1510">IF(INDEX(CUEs!$A:$A,INT((ROW()-1)/7)*57+MOD(ROW()-1,7)+50)&lt;&gt;"","set "&amp;INDEX(CUEs!$A:$A,INT((ROW()-1)/7)*57+MOD(ROW()-1,7)+50)&amp;"=/ s "&amp;INDEX(CUEs!$B:$B,INT((ROW()-1)/7)*57+MOD(ROW()-1,7)+50),"")</f>
        <v/>
      </c>
    </row>
    <row r="1511" spans="1:1" x14ac:dyDescent="0.25">
      <c r="A1511" t="str" cm="1">
        <f t="array" ref="A1511">IF(INDEX(CUEs!$A:$A,INT((ROW()-1)/7)*57+MOD(ROW()-1,7)+50)&lt;&gt;"","set "&amp;INDEX(CUEs!$A:$A,INT((ROW()-1)/7)*57+MOD(ROW()-1,7)+50)&amp;"=/ s "&amp;INDEX(CUEs!$B:$B,INT((ROW()-1)/7)*57+MOD(ROW()-1,7)+50),"")</f>
        <v/>
      </c>
    </row>
    <row r="1512" spans="1:1" x14ac:dyDescent="0.25">
      <c r="A1512" t="str" cm="1">
        <f t="array" ref="A1512">IF(INDEX(CUEs!$A:$A,INT((ROW()-1)/7)*57+MOD(ROW()-1,7)+50)&lt;&gt;"","set "&amp;INDEX(CUEs!$A:$A,INT((ROW()-1)/7)*57+MOD(ROW()-1,7)+50)&amp;"=/ s "&amp;INDEX(CUEs!$B:$B,INT((ROW()-1)/7)*57+MOD(ROW()-1,7)+50),"")</f>
        <v/>
      </c>
    </row>
    <row r="1513" spans="1:1" x14ac:dyDescent="0.25">
      <c r="A1513" t="str" cm="1">
        <f t="array" ref="A1513">IF(INDEX(CUEs!$A:$A,INT((ROW()-1)/7)*57+MOD(ROW()-1,7)+50)&lt;&gt;"","set "&amp;INDEX(CUEs!$A:$A,INT((ROW()-1)/7)*57+MOD(ROW()-1,7)+50)&amp;"=/ s "&amp;INDEX(CUEs!$B:$B,INT((ROW()-1)/7)*57+MOD(ROW()-1,7)+50),"")</f>
        <v/>
      </c>
    </row>
    <row r="1514" spans="1:1" x14ac:dyDescent="0.25">
      <c r="A1514" t="str" cm="1">
        <f t="array" ref="A1514">IF(INDEX(CUEs!$A:$A,INT((ROW()-1)/7)*57+MOD(ROW()-1,7)+50)&lt;&gt;"","set "&amp;INDEX(CUEs!$A:$A,INT((ROW()-1)/7)*57+MOD(ROW()-1,7)+50)&amp;"=/ s "&amp;INDEX(CUEs!$B:$B,INT((ROW()-1)/7)*57+MOD(ROW()-1,7)+50),"")</f>
        <v/>
      </c>
    </row>
    <row r="1515" spans="1:1" x14ac:dyDescent="0.25">
      <c r="A1515" t="str" cm="1">
        <f t="array" ref="A1515">IF(INDEX(CUEs!$A:$A,INT((ROW()-1)/7)*57+MOD(ROW()-1,7)+50)&lt;&gt;"","set "&amp;INDEX(CUEs!$A:$A,INT((ROW()-1)/7)*57+MOD(ROW()-1,7)+50)&amp;"=/ s "&amp;INDEX(CUEs!$B:$B,INT((ROW()-1)/7)*57+MOD(ROW()-1,7)+50),"")</f>
        <v/>
      </c>
    </row>
    <row r="1516" spans="1:1" x14ac:dyDescent="0.25">
      <c r="A1516" t="str" cm="1">
        <f t="array" ref="A1516">IF(INDEX(CUEs!$A:$A,INT((ROW()-1)/7)*57+MOD(ROW()-1,7)+50)&lt;&gt;"","set "&amp;INDEX(CUEs!$A:$A,INT((ROW()-1)/7)*57+MOD(ROW()-1,7)+50)&amp;"=/ s "&amp;INDEX(CUEs!$B:$B,INT((ROW()-1)/7)*57+MOD(ROW()-1,7)+50),"")</f>
        <v/>
      </c>
    </row>
    <row r="1517" spans="1:1" x14ac:dyDescent="0.25">
      <c r="A1517" t="str" cm="1">
        <f t="array" ref="A1517">IF(INDEX(CUEs!$A:$A,INT((ROW()-1)/7)*57+MOD(ROW()-1,7)+50)&lt;&gt;"","set "&amp;INDEX(CUEs!$A:$A,INT((ROW()-1)/7)*57+MOD(ROW()-1,7)+50)&amp;"=/ s "&amp;INDEX(CUEs!$B:$B,INT((ROW()-1)/7)*57+MOD(ROW()-1,7)+50),"")</f>
        <v/>
      </c>
    </row>
    <row r="1518" spans="1:1" x14ac:dyDescent="0.25">
      <c r="A1518" t="str" cm="1">
        <f t="array" ref="A1518">IF(INDEX(CUEs!$A:$A,INT((ROW()-1)/7)*57+MOD(ROW()-1,7)+50)&lt;&gt;"","set "&amp;INDEX(CUEs!$A:$A,INT((ROW()-1)/7)*57+MOD(ROW()-1,7)+50)&amp;"=/ s "&amp;INDEX(CUEs!$B:$B,INT((ROW()-1)/7)*57+MOD(ROW()-1,7)+50),"")</f>
        <v/>
      </c>
    </row>
    <row r="1519" spans="1:1" x14ac:dyDescent="0.25">
      <c r="A1519" t="str" cm="1">
        <f t="array" ref="A1519">IF(INDEX(CUEs!$A:$A,INT((ROW()-1)/7)*57+MOD(ROW()-1,7)+50)&lt;&gt;"","set "&amp;INDEX(CUEs!$A:$A,INT((ROW()-1)/7)*57+MOD(ROW()-1,7)+50)&amp;"=/ s "&amp;INDEX(CUEs!$B:$B,INT((ROW()-1)/7)*57+MOD(ROW()-1,7)+50),"")</f>
        <v/>
      </c>
    </row>
    <row r="1520" spans="1:1" x14ac:dyDescent="0.25">
      <c r="A1520" t="str" cm="1">
        <f t="array" ref="A1520">IF(INDEX(CUEs!$A:$A,INT((ROW()-1)/7)*57+MOD(ROW()-1,7)+50)&lt;&gt;"","set "&amp;INDEX(CUEs!$A:$A,INT((ROW()-1)/7)*57+MOD(ROW()-1,7)+50)&amp;"=/ s "&amp;INDEX(CUEs!$B:$B,INT((ROW()-1)/7)*57+MOD(ROW()-1,7)+50),"")</f>
        <v/>
      </c>
    </row>
    <row r="1521" spans="1:1" x14ac:dyDescent="0.25">
      <c r="A1521" t="str" cm="1">
        <f t="array" ref="A1521">IF(INDEX(CUEs!$A:$A,INT((ROW()-1)/7)*57+MOD(ROW()-1,7)+50)&lt;&gt;"","set "&amp;INDEX(CUEs!$A:$A,INT((ROW()-1)/7)*57+MOD(ROW()-1,7)+50)&amp;"=/ s "&amp;INDEX(CUEs!$B:$B,INT((ROW()-1)/7)*57+MOD(ROW()-1,7)+50),"")</f>
        <v/>
      </c>
    </row>
    <row r="1522" spans="1:1" x14ac:dyDescent="0.25">
      <c r="A1522" t="str" cm="1">
        <f t="array" ref="A1522">IF(INDEX(CUEs!$A:$A,INT((ROW()-1)/7)*57+MOD(ROW()-1,7)+50)&lt;&gt;"","set "&amp;INDEX(CUEs!$A:$A,INT((ROW()-1)/7)*57+MOD(ROW()-1,7)+50)&amp;"=/ s "&amp;INDEX(CUEs!$B:$B,INT((ROW()-1)/7)*57+MOD(ROW()-1,7)+50),"")</f>
        <v/>
      </c>
    </row>
    <row r="1523" spans="1:1" x14ac:dyDescent="0.25">
      <c r="A1523" t="str" cm="1">
        <f t="array" ref="A1523">IF(INDEX(CUEs!$A:$A,INT((ROW()-1)/7)*57+MOD(ROW()-1,7)+50)&lt;&gt;"","set "&amp;INDEX(CUEs!$A:$A,INT((ROW()-1)/7)*57+MOD(ROW()-1,7)+50)&amp;"=/ s "&amp;INDEX(CUEs!$B:$B,INT((ROW()-1)/7)*57+MOD(ROW()-1,7)+50),"")</f>
        <v/>
      </c>
    </row>
    <row r="1524" spans="1:1" x14ac:dyDescent="0.25">
      <c r="A1524" t="str" cm="1">
        <f t="array" ref="A1524">IF(INDEX(CUEs!$A:$A,INT((ROW()-1)/7)*57+MOD(ROW()-1,7)+50)&lt;&gt;"","set "&amp;INDEX(CUEs!$A:$A,INT((ROW()-1)/7)*57+MOD(ROW()-1,7)+50)&amp;"=/ s "&amp;INDEX(CUEs!$B:$B,INT((ROW()-1)/7)*57+MOD(ROW()-1,7)+50),"")</f>
        <v/>
      </c>
    </row>
    <row r="1525" spans="1:1" x14ac:dyDescent="0.25">
      <c r="A1525" t="str" cm="1">
        <f t="array" ref="A1525">IF(INDEX(CUEs!$A:$A,INT((ROW()-1)/7)*57+MOD(ROW()-1,7)+50)&lt;&gt;"","set "&amp;INDEX(CUEs!$A:$A,INT((ROW()-1)/7)*57+MOD(ROW()-1,7)+50)&amp;"=/ s "&amp;INDEX(CUEs!$B:$B,INT((ROW()-1)/7)*57+MOD(ROW()-1,7)+50),"")</f>
        <v/>
      </c>
    </row>
    <row r="1526" spans="1:1" x14ac:dyDescent="0.25">
      <c r="A1526" t="str" cm="1">
        <f t="array" ref="A1526">IF(INDEX(CUEs!$A:$A,INT((ROW()-1)/7)*57+MOD(ROW()-1,7)+50)&lt;&gt;"","set "&amp;INDEX(CUEs!$A:$A,INT((ROW()-1)/7)*57+MOD(ROW()-1,7)+50)&amp;"=/ s "&amp;INDEX(CUEs!$B:$B,INT((ROW()-1)/7)*57+MOD(ROW()-1,7)+50),"")</f>
        <v/>
      </c>
    </row>
    <row r="1527" spans="1:1" x14ac:dyDescent="0.25">
      <c r="A1527" t="str" cm="1">
        <f t="array" ref="A1527">IF(INDEX(CUEs!$A:$A,INT((ROW()-1)/7)*57+MOD(ROW()-1,7)+50)&lt;&gt;"","set "&amp;INDEX(CUEs!$A:$A,INT((ROW()-1)/7)*57+MOD(ROW()-1,7)+50)&amp;"=/ s "&amp;INDEX(CUEs!$B:$B,INT((ROW()-1)/7)*57+MOD(ROW()-1,7)+50),"")</f>
        <v/>
      </c>
    </row>
    <row r="1528" spans="1:1" x14ac:dyDescent="0.25">
      <c r="A1528" t="str" cm="1">
        <f t="array" ref="A1528">IF(INDEX(CUEs!$A:$A,INT((ROW()-1)/7)*57+MOD(ROW()-1,7)+50)&lt;&gt;"","set "&amp;INDEX(CUEs!$A:$A,INT((ROW()-1)/7)*57+MOD(ROW()-1,7)+50)&amp;"=/ s "&amp;INDEX(CUEs!$B:$B,INT((ROW()-1)/7)*57+MOD(ROW()-1,7)+50),"")</f>
        <v/>
      </c>
    </row>
    <row r="1529" spans="1:1" x14ac:dyDescent="0.25">
      <c r="A1529" t="str" cm="1">
        <f t="array" ref="A1529">IF(INDEX(CUEs!$A:$A,INT((ROW()-1)/7)*57+MOD(ROW()-1,7)+50)&lt;&gt;"","set "&amp;INDEX(CUEs!$A:$A,INT((ROW()-1)/7)*57+MOD(ROW()-1,7)+50)&amp;"=/ s "&amp;INDEX(CUEs!$B:$B,INT((ROW()-1)/7)*57+MOD(ROW()-1,7)+50),"")</f>
        <v/>
      </c>
    </row>
    <row r="1530" spans="1:1" x14ac:dyDescent="0.25">
      <c r="A1530" t="str" cm="1">
        <f t="array" ref="A1530">IF(INDEX(CUEs!$A:$A,INT((ROW()-1)/7)*57+MOD(ROW()-1,7)+50)&lt;&gt;"","set "&amp;INDEX(CUEs!$A:$A,INT((ROW()-1)/7)*57+MOD(ROW()-1,7)+50)&amp;"=/ s "&amp;INDEX(CUEs!$B:$B,INT((ROW()-1)/7)*57+MOD(ROW()-1,7)+50),"")</f>
        <v/>
      </c>
    </row>
    <row r="1531" spans="1:1" x14ac:dyDescent="0.25">
      <c r="A1531" t="str" cm="1">
        <f t="array" ref="A1531">IF(INDEX(CUEs!$A:$A,INT((ROW()-1)/7)*57+MOD(ROW()-1,7)+50)&lt;&gt;"","set "&amp;INDEX(CUEs!$A:$A,INT((ROW()-1)/7)*57+MOD(ROW()-1,7)+50)&amp;"=/ s "&amp;INDEX(CUEs!$B:$B,INT((ROW()-1)/7)*57+MOD(ROW()-1,7)+50),"")</f>
        <v/>
      </c>
    </row>
    <row r="1532" spans="1:1" x14ac:dyDescent="0.25">
      <c r="A1532" t="str" cm="1">
        <f t="array" ref="A1532">IF(INDEX(CUEs!$A:$A,INT((ROW()-1)/7)*57+MOD(ROW()-1,7)+50)&lt;&gt;"","set "&amp;INDEX(CUEs!$A:$A,INT((ROW()-1)/7)*57+MOD(ROW()-1,7)+50)&amp;"=/ s "&amp;INDEX(CUEs!$B:$B,INT((ROW()-1)/7)*57+MOD(ROW()-1,7)+50),"")</f>
        <v/>
      </c>
    </row>
    <row r="1533" spans="1:1" x14ac:dyDescent="0.25">
      <c r="A1533" t="str" cm="1">
        <f t="array" ref="A1533">IF(INDEX(CUEs!$A:$A,INT((ROW()-1)/7)*57+MOD(ROW()-1,7)+50)&lt;&gt;"","set "&amp;INDEX(CUEs!$A:$A,INT((ROW()-1)/7)*57+MOD(ROW()-1,7)+50)&amp;"=/ s "&amp;INDEX(CUEs!$B:$B,INT((ROW()-1)/7)*57+MOD(ROW()-1,7)+50),"")</f>
        <v/>
      </c>
    </row>
    <row r="1534" spans="1:1" x14ac:dyDescent="0.25">
      <c r="A1534" t="str" cm="1">
        <f t="array" ref="A1534">IF(INDEX(CUEs!$A:$A,INT((ROW()-1)/7)*57+MOD(ROW()-1,7)+50)&lt;&gt;"","set "&amp;INDEX(CUEs!$A:$A,INT((ROW()-1)/7)*57+MOD(ROW()-1,7)+50)&amp;"=/ s "&amp;INDEX(CUEs!$B:$B,INT((ROW()-1)/7)*57+MOD(ROW()-1,7)+50),"")</f>
        <v/>
      </c>
    </row>
    <row r="1535" spans="1:1" x14ac:dyDescent="0.25">
      <c r="A1535" t="str" cm="1">
        <f t="array" ref="A1535">IF(INDEX(CUEs!$A:$A,INT((ROW()-1)/7)*57+MOD(ROW()-1,7)+50)&lt;&gt;"","set "&amp;INDEX(CUEs!$A:$A,INT((ROW()-1)/7)*57+MOD(ROW()-1,7)+50)&amp;"=/ s "&amp;INDEX(CUEs!$B:$B,INT((ROW()-1)/7)*57+MOD(ROW()-1,7)+50),"")</f>
        <v/>
      </c>
    </row>
    <row r="1536" spans="1:1" x14ac:dyDescent="0.25">
      <c r="A1536" t="str" cm="1">
        <f t="array" ref="A1536">IF(INDEX(CUEs!$A:$A,INT((ROW()-1)/7)*57+MOD(ROW()-1,7)+50)&lt;&gt;"","set "&amp;INDEX(CUEs!$A:$A,INT((ROW()-1)/7)*57+MOD(ROW()-1,7)+50)&amp;"=/ s "&amp;INDEX(CUEs!$B:$B,INT((ROW()-1)/7)*57+MOD(ROW()-1,7)+50),"")</f>
        <v/>
      </c>
    </row>
    <row r="1537" spans="1:1" x14ac:dyDescent="0.25">
      <c r="A1537" t="str" cm="1">
        <f t="array" ref="A1537">IF(INDEX(CUEs!$A:$A,INT((ROW()-1)/7)*57+MOD(ROW()-1,7)+50)&lt;&gt;"","set "&amp;INDEX(CUEs!$A:$A,INT((ROW()-1)/7)*57+MOD(ROW()-1,7)+50)&amp;"=/ s "&amp;INDEX(CUEs!$B:$B,INT((ROW()-1)/7)*57+MOD(ROW()-1,7)+50),"")</f>
        <v/>
      </c>
    </row>
    <row r="1538" spans="1:1" x14ac:dyDescent="0.25">
      <c r="A1538" t="str" cm="1">
        <f t="array" ref="A1538">IF(INDEX(CUEs!$A:$A,INT((ROW()-1)/7)*57+MOD(ROW()-1,7)+50)&lt;&gt;"","set "&amp;INDEX(CUEs!$A:$A,INT((ROW()-1)/7)*57+MOD(ROW()-1,7)+50)&amp;"=/ s "&amp;INDEX(CUEs!$B:$B,INT((ROW()-1)/7)*57+MOD(ROW()-1,7)+50),"")</f>
        <v/>
      </c>
    </row>
    <row r="1539" spans="1:1" x14ac:dyDescent="0.25">
      <c r="A1539" t="str" cm="1">
        <f t="array" ref="A1539">IF(INDEX(CUEs!$A:$A,INT((ROW()-1)/7)*57+MOD(ROW()-1,7)+50)&lt;&gt;"","set "&amp;INDEX(CUEs!$A:$A,INT((ROW()-1)/7)*57+MOD(ROW()-1,7)+50)&amp;"=/ s "&amp;INDEX(CUEs!$B:$B,INT((ROW()-1)/7)*57+MOD(ROW()-1,7)+50),"")</f>
        <v/>
      </c>
    </row>
    <row r="1540" spans="1:1" x14ac:dyDescent="0.25">
      <c r="A1540" t="str" cm="1">
        <f t="array" ref="A1540">IF(INDEX(CUEs!$A:$A,INT((ROW()-1)/7)*57+MOD(ROW()-1,7)+50)&lt;&gt;"","set "&amp;INDEX(CUEs!$A:$A,INT((ROW()-1)/7)*57+MOD(ROW()-1,7)+50)&amp;"=/ s "&amp;INDEX(CUEs!$B:$B,INT((ROW()-1)/7)*57+MOD(ROW()-1,7)+50),"")</f>
        <v/>
      </c>
    </row>
    <row r="1541" spans="1:1" x14ac:dyDescent="0.25">
      <c r="A1541" t="str" cm="1">
        <f t="array" ref="A1541">IF(INDEX(CUEs!$A:$A,INT((ROW()-1)/7)*57+MOD(ROW()-1,7)+50)&lt;&gt;"","set "&amp;INDEX(CUEs!$A:$A,INT((ROW()-1)/7)*57+MOD(ROW()-1,7)+50)&amp;"=/ s "&amp;INDEX(CUEs!$B:$B,INT((ROW()-1)/7)*57+MOD(ROW()-1,7)+50),"")</f>
        <v/>
      </c>
    </row>
    <row r="1542" spans="1:1" x14ac:dyDescent="0.25">
      <c r="A1542" t="str" cm="1">
        <f t="array" ref="A1542">IF(INDEX(CUEs!$A:$A,INT((ROW()-1)/7)*57+MOD(ROW()-1,7)+50)&lt;&gt;"","set "&amp;INDEX(CUEs!$A:$A,INT((ROW()-1)/7)*57+MOD(ROW()-1,7)+50)&amp;"=/ s "&amp;INDEX(CUEs!$B:$B,INT((ROW()-1)/7)*57+MOD(ROW()-1,7)+50),"")</f>
        <v/>
      </c>
    </row>
    <row r="1543" spans="1:1" x14ac:dyDescent="0.25">
      <c r="A1543" t="str" cm="1">
        <f t="array" ref="A1543">IF(INDEX(CUEs!$A:$A,INT((ROW()-1)/7)*57+MOD(ROW()-1,7)+50)&lt;&gt;"","set "&amp;INDEX(CUEs!$A:$A,INT((ROW()-1)/7)*57+MOD(ROW()-1,7)+50)&amp;"=/ s "&amp;INDEX(CUEs!$B:$B,INT((ROW()-1)/7)*57+MOD(ROW()-1,7)+50),"")</f>
        <v/>
      </c>
    </row>
    <row r="1544" spans="1:1" x14ac:dyDescent="0.25">
      <c r="A1544" t="str" cm="1">
        <f t="array" ref="A1544">IF(INDEX(CUEs!$A:$A,INT((ROW()-1)/7)*57+MOD(ROW()-1,7)+50)&lt;&gt;"","set "&amp;INDEX(CUEs!$A:$A,INT((ROW()-1)/7)*57+MOD(ROW()-1,7)+50)&amp;"=/ s "&amp;INDEX(CUEs!$B:$B,INT((ROW()-1)/7)*57+MOD(ROW()-1,7)+50),"")</f>
        <v/>
      </c>
    </row>
    <row r="1545" spans="1:1" x14ac:dyDescent="0.25">
      <c r="A1545" t="str" cm="1">
        <f t="array" ref="A1545">IF(INDEX(CUEs!$A:$A,INT((ROW()-1)/7)*57+MOD(ROW()-1,7)+50)&lt;&gt;"","set "&amp;INDEX(CUEs!$A:$A,INT((ROW()-1)/7)*57+MOD(ROW()-1,7)+50)&amp;"=/ s "&amp;INDEX(CUEs!$B:$B,INT((ROW()-1)/7)*57+MOD(ROW()-1,7)+50),"")</f>
        <v/>
      </c>
    </row>
    <row r="1546" spans="1:1" x14ac:dyDescent="0.25">
      <c r="A1546" t="str" cm="1">
        <f t="array" ref="A1546">IF(INDEX(CUEs!$A:$A,INT((ROW()-1)/7)*57+MOD(ROW()-1,7)+50)&lt;&gt;"","set "&amp;INDEX(CUEs!$A:$A,INT((ROW()-1)/7)*57+MOD(ROW()-1,7)+50)&amp;"=/ s "&amp;INDEX(CUEs!$B:$B,INT((ROW()-1)/7)*57+MOD(ROW()-1,7)+50),"")</f>
        <v/>
      </c>
    </row>
    <row r="1547" spans="1:1" x14ac:dyDescent="0.25">
      <c r="A1547" t="str" cm="1">
        <f t="array" ref="A1547">IF(INDEX(CUEs!$A:$A,INT((ROW()-1)/7)*57+MOD(ROW()-1,7)+50)&lt;&gt;"","set "&amp;INDEX(CUEs!$A:$A,INT((ROW()-1)/7)*57+MOD(ROW()-1,7)+50)&amp;"=/ s "&amp;INDEX(CUEs!$B:$B,INT((ROW()-1)/7)*57+MOD(ROW()-1,7)+50),"")</f>
        <v/>
      </c>
    </row>
    <row r="1548" spans="1:1" x14ac:dyDescent="0.25">
      <c r="A1548" t="str" cm="1">
        <f t="array" ref="A1548">IF(INDEX(CUEs!$A:$A,INT((ROW()-1)/7)*57+MOD(ROW()-1,7)+50)&lt;&gt;"","set "&amp;INDEX(CUEs!$A:$A,INT((ROW()-1)/7)*57+MOD(ROW()-1,7)+50)&amp;"=/ s "&amp;INDEX(CUEs!$B:$B,INT((ROW()-1)/7)*57+MOD(ROW()-1,7)+50),"")</f>
        <v/>
      </c>
    </row>
    <row r="1549" spans="1:1" x14ac:dyDescent="0.25">
      <c r="A1549" t="str" cm="1">
        <f t="array" ref="A1549">IF(INDEX(CUEs!$A:$A,INT((ROW()-1)/7)*57+MOD(ROW()-1,7)+50)&lt;&gt;"","set "&amp;INDEX(CUEs!$A:$A,INT((ROW()-1)/7)*57+MOD(ROW()-1,7)+50)&amp;"=/ s "&amp;INDEX(CUEs!$B:$B,INT((ROW()-1)/7)*57+MOD(ROW()-1,7)+50),"")</f>
        <v/>
      </c>
    </row>
    <row r="1550" spans="1:1" x14ac:dyDescent="0.25">
      <c r="A1550" t="str" cm="1">
        <f t="array" ref="A1550">IF(INDEX(CUEs!$A:$A,INT((ROW()-1)/7)*57+MOD(ROW()-1,7)+50)&lt;&gt;"","set "&amp;INDEX(CUEs!$A:$A,INT((ROW()-1)/7)*57+MOD(ROW()-1,7)+50)&amp;"=/ s "&amp;INDEX(CUEs!$B:$B,INT((ROW()-1)/7)*57+MOD(ROW()-1,7)+50),"")</f>
        <v/>
      </c>
    </row>
    <row r="1551" spans="1:1" x14ac:dyDescent="0.25">
      <c r="A1551" t="str" cm="1">
        <f t="array" ref="A1551">IF(INDEX(CUEs!$A:$A,INT((ROW()-1)/7)*57+MOD(ROW()-1,7)+50)&lt;&gt;"","set "&amp;INDEX(CUEs!$A:$A,INT((ROW()-1)/7)*57+MOD(ROW()-1,7)+50)&amp;"=/ s "&amp;INDEX(CUEs!$B:$B,INT((ROW()-1)/7)*57+MOD(ROW()-1,7)+50),"")</f>
        <v/>
      </c>
    </row>
    <row r="1552" spans="1:1" x14ac:dyDescent="0.25">
      <c r="A1552" t="str" cm="1">
        <f t="array" ref="A1552">IF(INDEX(CUEs!$A:$A,INT((ROW()-1)/7)*57+MOD(ROW()-1,7)+50)&lt;&gt;"","set "&amp;INDEX(CUEs!$A:$A,INT((ROW()-1)/7)*57+MOD(ROW()-1,7)+50)&amp;"=/ s "&amp;INDEX(CUEs!$B:$B,INT((ROW()-1)/7)*57+MOD(ROW()-1,7)+50),"")</f>
        <v/>
      </c>
    </row>
    <row r="1553" spans="1:1" x14ac:dyDescent="0.25">
      <c r="A1553" t="str" cm="1">
        <f t="array" ref="A1553">IF(INDEX(CUEs!$A:$A,INT((ROW()-1)/7)*57+MOD(ROW()-1,7)+50)&lt;&gt;"","set "&amp;INDEX(CUEs!$A:$A,INT((ROW()-1)/7)*57+MOD(ROW()-1,7)+50)&amp;"=/ s "&amp;INDEX(CUEs!$B:$B,INT((ROW()-1)/7)*57+MOD(ROW()-1,7)+50),"")</f>
        <v/>
      </c>
    </row>
    <row r="1554" spans="1:1" x14ac:dyDescent="0.25">
      <c r="A1554" t="str" cm="1">
        <f t="array" ref="A1554">IF(INDEX(CUEs!$A:$A,INT((ROW()-1)/7)*57+MOD(ROW()-1,7)+50)&lt;&gt;"","set "&amp;INDEX(CUEs!$A:$A,INT((ROW()-1)/7)*57+MOD(ROW()-1,7)+50)&amp;"=/ s "&amp;INDEX(CUEs!$B:$B,INT((ROW()-1)/7)*57+MOD(ROW()-1,7)+50),"")</f>
        <v/>
      </c>
    </row>
    <row r="1555" spans="1:1" x14ac:dyDescent="0.25">
      <c r="A1555" t="str" cm="1">
        <f t="array" ref="A1555">IF(INDEX(CUEs!$A:$A,INT((ROW()-1)/7)*57+MOD(ROW()-1,7)+50)&lt;&gt;"","set "&amp;INDEX(CUEs!$A:$A,INT((ROW()-1)/7)*57+MOD(ROW()-1,7)+50)&amp;"=/ s "&amp;INDEX(CUEs!$B:$B,INT((ROW()-1)/7)*57+MOD(ROW()-1,7)+50),"")</f>
        <v/>
      </c>
    </row>
    <row r="1556" spans="1:1" x14ac:dyDescent="0.25">
      <c r="A1556" t="str" cm="1">
        <f t="array" ref="A1556">IF(INDEX(CUEs!$A:$A,INT((ROW()-1)/7)*57+MOD(ROW()-1,7)+50)&lt;&gt;"","set "&amp;INDEX(CUEs!$A:$A,INT((ROW()-1)/7)*57+MOD(ROW()-1,7)+50)&amp;"=/ s "&amp;INDEX(CUEs!$B:$B,INT((ROW()-1)/7)*57+MOD(ROW()-1,7)+50),"")</f>
        <v/>
      </c>
    </row>
    <row r="1557" spans="1:1" x14ac:dyDescent="0.25">
      <c r="A1557" t="str" cm="1">
        <f t="array" ref="A1557">IF(INDEX(CUEs!$A:$A,INT((ROW()-1)/7)*57+MOD(ROW()-1,7)+50)&lt;&gt;"","set "&amp;INDEX(CUEs!$A:$A,INT((ROW()-1)/7)*57+MOD(ROW()-1,7)+50)&amp;"=/ s "&amp;INDEX(CUEs!$B:$B,INT((ROW()-1)/7)*57+MOD(ROW()-1,7)+50),"")</f>
        <v/>
      </c>
    </row>
    <row r="1558" spans="1:1" x14ac:dyDescent="0.25">
      <c r="A1558" t="str" cm="1">
        <f t="array" ref="A1558">IF(INDEX(CUEs!$A:$A,INT((ROW()-1)/7)*57+MOD(ROW()-1,7)+50)&lt;&gt;"","set "&amp;INDEX(CUEs!$A:$A,INT((ROW()-1)/7)*57+MOD(ROW()-1,7)+50)&amp;"=/ s "&amp;INDEX(CUEs!$B:$B,INT((ROW()-1)/7)*57+MOD(ROW()-1,7)+50),"")</f>
        <v/>
      </c>
    </row>
    <row r="1559" spans="1:1" x14ac:dyDescent="0.25">
      <c r="A1559" t="str" cm="1">
        <f t="array" ref="A1559">IF(INDEX(CUEs!$A:$A,INT((ROW()-1)/7)*57+MOD(ROW()-1,7)+50)&lt;&gt;"","set "&amp;INDEX(CUEs!$A:$A,INT((ROW()-1)/7)*57+MOD(ROW()-1,7)+50)&amp;"=/ s "&amp;INDEX(CUEs!$B:$B,INT((ROW()-1)/7)*57+MOD(ROW()-1,7)+50),"")</f>
        <v/>
      </c>
    </row>
    <row r="1560" spans="1:1" x14ac:dyDescent="0.25">
      <c r="A1560" t="str" cm="1">
        <f t="array" ref="A1560">IF(INDEX(CUEs!$A:$A,INT((ROW()-1)/7)*57+MOD(ROW()-1,7)+50)&lt;&gt;"","set "&amp;INDEX(CUEs!$A:$A,INT((ROW()-1)/7)*57+MOD(ROW()-1,7)+50)&amp;"=/ s "&amp;INDEX(CUEs!$B:$B,INT((ROW()-1)/7)*57+MOD(ROW()-1,7)+50),"")</f>
        <v/>
      </c>
    </row>
    <row r="1561" spans="1:1" x14ac:dyDescent="0.25">
      <c r="A1561" t="str" cm="1">
        <f t="array" ref="A1561">IF(INDEX(CUEs!$A:$A,INT((ROW()-1)/7)*57+MOD(ROW()-1,7)+50)&lt;&gt;"","set "&amp;INDEX(CUEs!$A:$A,INT((ROW()-1)/7)*57+MOD(ROW()-1,7)+50)&amp;"=/ s "&amp;INDEX(CUEs!$B:$B,INT((ROW()-1)/7)*57+MOD(ROW()-1,7)+50),"")</f>
        <v/>
      </c>
    </row>
    <row r="1562" spans="1:1" x14ac:dyDescent="0.25">
      <c r="A1562" t="str" cm="1">
        <f t="array" ref="A1562">IF(INDEX(CUEs!$A:$A,INT((ROW()-1)/7)*57+MOD(ROW()-1,7)+50)&lt;&gt;"","set "&amp;INDEX(CUEs!$A:$A,INT((ROW()-1)/7)*57+MOD(ROW()-1,7)+50)&amp;"=/ s "&amp;INDEX(CUEs!$B:$B,INT((ROW()-1)/7)*57+MOD(ROW()-1,7)+50),"")</f>
        <v/>
      </c>
    </row>
    <row r="1563" spans="1:1" x14ac:dyDescent="0.25">
      <c r="A1563" t="str" cm="1">
        <f t="array" ref="A1563">IF(INDEX(CUEs!$A:$A,INT((ROW()-1)/7)*57+MOD(ROW()-1,7)+50)&lt;&gt;"","set "&amp;INDEX(CUEs!$A:$A,INT((ROW()-1)/7)*57+MOD(ROW()-1,7)+50)&amp;"=/ s "&amp;INDEX(CUEs!$B:$B,INT((ROW()-1)/7)*57+MOD(ROW()-1,7)+50),"")</f>
        <v/>
      </c>
    </row>
    <row r="1564" spans="1:1" x14ac:dyDescent="0.25">
      <c r="A1564" t="str" cm="1">
        <f t="array" ref="A1564">IF(INDEX(CUEs!$A:$A,INT((ROW()-1)/7)*57+MOD(ROW()-1,7)+50)&lt;&gt;"","set "&amp;INDEX(CUEs!$A:$A,INT((ROW()-1)/7)*57+MOD(ROW()-1,7)+50)&amp;"=/ s "&amp;INDEX(CUEs!$B:$B,INT((ROW()-1)/7)*57+MOD(ROW()-1,7)+50),"")</f>
        <v/>
      </c>
    </row>
    <row r="1565" spans="1:1" x14ac:dyDescent="0.25">
      <c r="A1565" t="str" cm="1">
        <f t="array" ref="A1565">IF(INDEX(CUEs!$A:$A,INT((ROW()-1)/7)*57+MOD(ROW()-1,7)+50)&lt;&gt;"","set "&amp;INDEX(CUEs!$A:$A,INT((ROW()-1)/7)*57+MOD(ROW()-1,7)+50)&amp;"=/ s "&amp;INDEX(CUEs!$B:$B,INT((ROW()-1)/7)*57+MOD(ROW()-1,7)+50),"")</f>
        <v/>
      </c>
    </row>
    <row r="1566" spans="1:1" x14ac:dyDescent="0.25">
      <c r="A1566" t="str" cm="1">
        <f t="array" ref="A1566">IF(INDEX(CUEs!$A:$A,INT((ROW()-1)/7)*57+MOD(ROW()-1,7)+50)&lt;&gt;"","set "&amp;INDEX(CUEs!$A:$A,INT((ROW()-1)/7)*57+MOD(ROW()-1,7)+50)&amp;"=/ s "&amp;INDEX(CUEs!$B:$B,INT((ROW()-1)/7)*57+MOD(ROW()-1,7)+50),"")</f>
        <v/>
      </c>
    </row>
    <row r="1567" spans="1:1" x14ac:dyDescent="0.25">
      <c r="A1567" t="str" cm="1">
        <f t="array" ref="A1567">IF(INDEX(CUEs!$A:$A,INT((ROW()-1)/7)*57+MOD(ROW()-1,7)+50)&lt;&gt;"","set "&amp;INDEX(CUEs!$A:$A,INT((ROW()-1)/7)*57+MOD(ROW()-1,7)+50)&amp;"=/ s "&amp;INDEX(CUEs!$B:$B,INT((ROW()-1)/7)*57+MOD(ROW()-1,7)+50),"")</f>
        <v/>
      </c>
    </row>
    <row r="1568" spans="1:1" x14ac:dyDescent="0.25">
      <c r="A1568" t="str" cm="1">
        <f t="array" ref="A1568">IF(INDEX(CUEs!$A:$A,INT((ROW()-1)/7)*57+MOD(ROW()-1,7)+50)&lt;&gt;"","set "&amp;INDEX(CUEs!$A:$A,INT((ROW()-1)/7)*57+MOD(ROW()-1,7)+50)&amp;"=/ s "&amp;INDEX(CUEs!$B:$B,INT((ROW()-1)/7)*57+MOD(ROW()-1,7)+50),"")</f>
        <v/>
      </c>
    </row>
    <row r="1569" spans="1:1" x14ac:dyDescent="0.25">
      <c r="A1569" t="str" cm="1">
        <f t="array" ref="A1569">IF(INDEX(CUEs!$A:$A,INT((ROW()-1)/7)*57+MOD(ROW()-1,7)+50)&lt;&gt;"","set "&amp;INDEX(CUEs!$A:$A,INT((ROW()-1)/7)*57+MOD(ROW()-1,7)+50)&amp;"=/ s "&amp;INDEX(CUEs!$B:$B,INT((ROW()-1)/7)*57+MOD(ROW()-1,7)+50),"")</f>
        <v/>
      </c>
    </row>
    <row r="1570" spans="1:1" x14ac:dyDescent="0.25">
      <c r="A1570" t="str" cm="1">
        <f t="array" ref="A1570">IF(INDEX(CUEs!$A:$A,INT((ROW()-1)/7)*57+MOD(ROW()-1,7)+50)&lt;&gt;"","set "&amp;INDEX(CUEs!$A:$A,INT((ROW()-1)/7)*57+MOD(ROW()-1,7)+50)&amp;"=/ s "&amp;INDEX(CUEs!$B:$B,INT((ROW()-1)/7)*57+MOD(ROW()-1,7)+50),"")</f>
        <v/>
      </c>
    </row>
    <row r="1571" spans="1:1" x14ac:dyDescent="0.25">
      <c r="A1571" t="str" cm="1">
        <f t="array" ref="A1571">IF(INDEX(CUEs!$A:$A,INT((ROW()-1)/7)*57+MOD(ROW()-1,7)+50)&lt;&gt;"","set "&amp;INDEX(CUEs!$A:$A,INT((ROW()-1)/7)*57+MOD(ROW()-1,7)+50)&amp;"=/ s "&amp;INDEX(CUEs!$B:$B,INT((ROW()-1)/7)*57+MOD(ROW()-1,7)+50),"")</f>
        <v/>
      </c>
    </row>
    <row r="1572" spans="1:1" x14ac:dyDescent="0.25">
      <c r="A1572" t="str" cm="1">
        <f t="array" ref="A1572">IF(INDEX(CUEs!$A:$A,INT((ROW()-1)/7)*57+MOD(ROW()-1,7)+50)&lt;&gt;"","set "&amp;INDEX(CUEs!$A:$A,INT((ROW()-1)/7)*57+MOD(ROW()-1,7)+50)&amp;"=/ s "&amp;INDEX(CUEs!$B:$B,INT((ROW()-1)/7)*57+MOD(ROW()-1,7)+50),"")</f>
        <v/>
      </c>
    </row>
    <row r="1573" spans="1:1" x14ac:dyDescent="0.25">
      <c r="A1573" t="str" cm="1">
        <f t="array" ref="A1573">IF(INDEX(CUEs!$A:$A,INT((ROW()-1)/7)*57+MOD(ROW()-1,7)+50)&lt;&gt;"","set "&amp;INDEX(CUEs!$A:$A,INT((ROW()-1)/7)*57+MOD(ROW()-1,7)+50)&amp;"=/ s "&amp;INDEX(CUEs!$B:$B,INT((ROW()-1)/7)*57+MOD(ROW()-1,7)+50),"")</f>
        <v/>
      </c>
    </row>
    <row r="1574" spans="1:1" x14ac:dyDescent="0.25">
      <c r="A1574" t="str" cm="1">
        <f t="array" ref="A1574">IF(INDEX(CUEs!$A:$A,INT((ROW()-1)/7)*57+MOD(ROW()-1,7)+50)&lt;&gt;"","set "&amp;INDEX(CUEs!$A:$A,INT((ROW()-1)/7)*57+MOD(ROW()-1,7)+50)&amp;"=/ s "&amp;INDEX(CUEs!$B:$B,INT((ROW()-1)/7)*57+MOD(ROW()-1,7)+50),"")</f>
        <v/>
      </c>
    </row>
    <row r="1575" spans="1:1" x14ac:dyDescent="0.25">
      <c r="A1575" t="str" cm="1">
        <f t="array" ref="A1575">IF(INDEX(CUEs!$A:$A,INT((ROW()-1)/7)*57+MOD(ROW()-1,7)+50)&lt;&gt;"","set "&amp;INDEX(CUEs!$A:$A,INT((ROW()-1)/7)*57+MOD(ROW()-1,7)+50)&amp;"=/ s "&amp;INDEX(CUEs!$B:$B,INT((ROW()-1)/7)*57+MOD(ROW()-1,7)+50),"")</f>
        <v/>
      </c>
    </row>
    <row r="1576" spans="1:1" x14ac:dyDescent="0.25">
      <c r="A1576" t="str" cm="1">
        <f t="array" ref="A1576">IF(INDEX(CUEs!$A:$A,INT((ROW()-1)/7)*57+MOD(ROW()-1,7)+50)&lt;&gt;"","set "&amp;INDEX(CUEs!$A:$A,INT((ROW()-1)/7)*57+MOD(ROW()-1,7)+50)&amp;"=/ s "&amp;INDEX(CUEs!$B:$B,INT((ROW()-1)/7)*57+MOD(ROW()-1,7)+50),"")</f>
        <v/>
      </c>
    </row>
    <row r="1577" spans="1:1" x14ac:dyDescent="0.25">
      <c r="A1577" t="str" cm="1">
        <f t="array" ref="A1577">IF(INDEX(CUEs!$A:$A,INT((ROW()-1)/7)*57+MOD(ROW()-1,7)+50)&lt;&gt;"","set "&amp;INDEX(CUEs!$A:$A,INT((ROW()-1)/7)*57+MOD(ROW()-1,7)+50)&amp;"=/ s "&amp;INDEX(CUEs!$B:$B,INT((ROW()-1)/7)*57+MOD(ROW()-1,7)+50),"")</f>
        <v/>
      </c>
    </row>
    <row r="1578" spans="1:1" x14ac:dyDescent="0.25">
      <c r="A1578" t="str" cm="1">
        <f t="array" ref="A1578">IF(INDEX(CUEs!$A:$A,INT((ROW()-1)/7)*57+MOD(ROW()-1,7)+50)&lt;&gt;"","set "&amp;INDEX(CUEs!$A:$A,INT((ROW()-1)/7)*57+MOD(ROW()-1,7)+50)&amp;"=/ s "&amp;INDEX(CUEs!$B:$B,INT((ROW()-1)/7)*57+MOD(ROW()-1,7)+50),"")</f>
        <v/>
      </c>
    </row>
    <row r="1579" spans="1:1" x14ac:dyDescent="0.25">
      <c r="A1579" t="str" cm="1">
        <f t="array" ref="A1579">IF(INDEX(CUEs!$A:$A,INT((ROW()-1)/7)*57+MOD(ROW()-1,7)+50)&lt;&gt;"","set "&amp;INDEX(CUEs!$A:$A,INT((ROW()-1)/7)*57+MOD(ROW()-1,7)+50)&amp;"=/ s "&amp;INDEX(CUEs!$B:$B,INT((ROW()-1)/7)*57+MOD(ROW()-1,7)+50),"")</f>
        <v/>
      </c>
    </row>
    <row r="1580" spans="1:1" x14ac:dyDescent="0.25">
      <c r="A1580" t="str" cm="1">
        <f t="array" ref="A1580">IF(INDEX(CUEs!$A:$A,INT((ROW()-1)/7)*57+MOD(ROW()-1,7)+50)&lt;&gt;"","set "&amp;INDEX(CUEs!$A:$A,INT((ROW()-1)/7)*57+MOD(ROW()-1,7)+50)&amp;"=/ s "&amp;INDEX(CUEs!$B:$B,INT((ROW()-1)/7)*57+MOD(ROW()-1,7)+50),"")</f>
        <v/>
      </c>
    </row>
    <row r="1581" spans="1:1" x14ac:dyDescent="0.25">
      <c r="A1581" t="str" cm="1">
        <f t="array" ref="A1581">IF(INDEX(CUEs!$A:$A,INT((ROW()-1)/7)*57+MOD(ROW()-1,7)+50)&lt;&gt;"","set "&amp;INDEX(CUEs!$A:$A,INT((ROW()-1)/7)*57+MOD(ROW()-1,7)+50)&amp;"=/ s "&amp;INDEX(CUEs!$B:$B,INT((ROW()-1)/7)*57+MOD(ROW()-1,7)+50),"")</f>
        <v/>
      </c>
    </row>
    <row r="1582" spans="1:1" x14ac:dyDescent="0.25">
      <c r="A1582" t="str" cm="1">
        <f t="array" ref="A1582">IF(INDEX(CUEs!$A:$A,INT((ROW()-1)/7)*57+MOD(ROW()-1,7)+50)&lt;&gt;"","set "&amp;INDEX(CUEs!$A:$A,INT((ROW()-1)/7)*57+MOD(ROW()-1,7)+50)&amp;"=/ s "&amp;INDEX(CUEs!$B:$B,INT((ROW()-1)/7)*57+MOD(ROW()-1,7)+50),"")</f>
        <v/>
      </c>
    </row>
    <row r="1583" spans="1:1" x14ac:dyDescent="0.25">
      <c r="A1583" t="str" cm="1">
        <f t="array" ref="A1583">IF(INDEX(CUEs!$A:$A,INT((ROW()-1)/7)*57+MOD(ROW()-1,7)+50)&lt;&gt;"","set "&amp;INDEX(CUEs!$A:$A,INT((ROW()-1)/7)*57+MOD(ROW()-1,7)+50)&amp;"=/ s "&amp;INDEX(CUEs!$B:$B,INT((ROW()-1)/7)*57+MOD(ROW()-1,7)+50),"")</f>
        <v/>
      </c>
    </row>
    <row r="1584" spans="1:1" x14ac:dyDescent="0.25">
      <c r="A1584" t="str" cm="1">
        <f t="array" ref="A1584">IF(INDEX(CUEs!$A:$A,INT((ROW()-1)/7)*57+MOD(ROW()-1,7)+50)&lt;&gt;"","set "&amp;INDEX(CUEs!$A:$A,INT((ROW()-1)/7)*57+MOD(ROW()-1,7)+50)&amp;"=/ s "&amp;INDEX(CUEs!$B:$B,INT((ROW()-1)/7)*57+MOD(ROW()-1,7)+50),"")</f>
        <v/>
      </c>
    </row>
    <row r="1585" spans="1:1" x14ac:dyDescent="0.25">
      <c r="A1585" t="str" cm="1">
        <f t="array" ref="A1585">IF(INDEX(CUEs!$A:$A,INT((ROW()-1)/7)*57+MOD(ROW()-1,7)+50)&lt;&gt;"","set "&amp;INDEX(CUEs!$A:$A,INT((ROW()-1)/7)*57+MOD(ROW()-1,7)+50)&amp;"=/ s "&amp;INDEX(CUEs!$B:$B,INT((ROW()-1)/7)*57+MOD(ROW()-1,7)+50),"")</f>
        <v/>
      </c>
    </row>
    <row r="1586" spans="1:1" x14ac:dyDescent="0.25">
      <c r="A1586" t="str" cm="1">
        <f t="array" ref="A1586">IF(INDEX(CUEs!$A:$A,INT((ROW()-1)/7)*57+MOD(ROW()-1,7)+50)&lt;&gt;"","set "&amp;INDEX(CUEs!$A:$A,INT((ROW()-1)/7)*57+MOD(ROW()-1,7)+50)&amp;"=/ s "&amp;INDEX(CUEs!$B:$B,INT((ROW()-1)/7)*57+MOD(ROW()-1,7)+50),"")</f>
        <v/>
      </c>
    </row>
    <row r="1587" spans="1:1" x14ac:dyDescent="0.25">
      <c r="A1587" t="str" cm="1">
        <f t="array" ref="A1587">IF(INDEX(CUEs!$A:$A,INT((ROW()-1)/7)*57+MOD(ROW()-1,7)+50)&lt;&gt;"","set "&amp;INDEX(CUEs!$A:$A,INT((ROW()-1)/7)*57+MOD(ROW()-1,7)+50)&amp;"=/ s "&amp;INDEX(CUEs!$B:$B,INT((ROW()-1)/7)*57+MOD(ROW()-1,7)+50),"")</f>
        <v/>
      </c>
    </row>
    <row r="1588" spans="1:1" x14ac:dyDescent="0.25">
      <c r="A1588" t="str" cm="1">
        <f t="array" ref="A1588">IF(INDEX(CUEs!$A:$A,INT((ROW()-1)/7)*57+MOD(ROW()-1,7)+50)&lt;&gt;"","set "&amp;INDEX(CUEs!$A:$A,INT((ROW()-1)/7)*57+MOD(ROW()-1,7)+50)&amp;"=/ s "&amp;INDEX(CUEs!$B:$B,INT((ROW()-1)/7)*57+MOD(ROW()-1,7)+50),"")</f>
        <v/>
      </c>
    </row>
    <row r="1589" spans="1:1" x14ac:dyDescent="0.25">
      <c r="A1589" t="str" cm="1">
        <f t="array" ref="A1589">IF(INDEX(CUEs!$A:$A,INT((ROW()-1)/7)*57+MOD(ROW()-1,7)+50)&lt;&gt;"","set "&amp;INDEX(CUEs!$A:$A,INT((ROW()-1)/7)*57+MOD(ROW()-1,7)+50)&amp;"=/ s "&amp;INDEX(CUEs!$B:$B,INT((ROW()-1)/7)*57+MOD(ROW()-1,7)+50),"")</f>
        <v/>
      </c>
    </row>
    <row r="1590" spans="1:1" x14ac:dyDescent="0.25">
      <c r="A1590" t="str" cm="1">
        <f t="array" ref="A1590">IF(INDEX(CUEs!$A:$A,INT((ROW()-1)/7)*57+MOD(ROW()-1,7)+50)&lt;&gt;"","set "&amp;INDEX(CUEs!$A:$A,INT((ROW()-1)/7)*57+MOD(ROW()-1,7)+50)&amp;"=/ s "&amp;INDEX(CUEs!$B:$B,INT((ROW()-1)/7)*57+MOD(ROW()-1,7)+50),"")</f>
        <v/>
      </c>
    </row>
    <row r="1591" spans="1:1" x14ac:dyDescent="0.25">
      <c r="A1591" t="str" cm="1">
        <f t="array" ref="A1591">IF(INDEX(CUEs!$A:$A,INT((ROW()-1)/7)*57+MOD(ROW()-1,7)+50)&lt;&gt;"","set "&amp;INDEX(CUEs!$A:$A,INT((ROW()-1)/7)*57+MOD(ROW()-1,7)+50)&amp;"=/ s "&amp;INDEX(CUEs!$B:$B,INT((ROW()-1)/7)*57+MOD(ROW()-1,7)+50),"")</f>
        <v/>
      </c>
    </row>
    <row r="1592" spans="1:1" x14ac:dyDescent="0.25">
      <c r="A1592" t="str" cm="1">
        <f t="array" ref="A1592">IF(INDEX(CUEs!$A:$A,INT((ROW()-1)/7)*57+MOD(ROW()-1,7)+50)&lt;&gt;"","set "&amp;INDEX(CUEs!$A:$A,INT((ROW()-1)/7)*57+MOD(ROW()-1,7)+50)&amp;"=/ s "&amp;INDEX(CUEs!$B:$B,INT((ROW()-1)/7)*57+MOD(ROW()-1,7)+50),"")</f>
        <v/>
      </c>
    </row>
    <row r="1593" spans="1:1" x14ac:dyDescent="0.25">
      <c r="A1593" t="str" cm="1">
        <f t="array" ref="A1593">IF(INDEX(CUEs!$A:$A,INT((ROW()-1)/7)*57+MOD(ROW()-1,7)+50)&lt;&gt;"","set "&amp;INDEX(CUEs!$A:$A,INT((ROW()-1)/7)*57+MOD(ROW()-1,7)+50)&amp;"=/ s "&amp;INDEX(CUEs!$B:$B,INT((ROW()-1)/7)*57+MOD(ROW()-1,7)+50),"")</f>
        <v/>
      </c>
    </row>
    <row r="1594" spans="1:1" x14ac:dyDescent="0.25">
      <c r="A1594" t="str" cm="1">
        <f t="array" ref="A1594">IF(INDEX(CUEs!$A:$A,INT((ROW()-1)/7)*57+MOD(ROW()-1,7)+50)&lt;&gt;"","set "&amp;INDEX(CUEs!$A:$A,INT((ROW()-1)/7)*57+MOD(ROW()-1,7)+50)&amp;"=/ s "&amp;INDEX(CUEs!$B:$B,INT((ROW()-1)/7)*57+MOD(ROW()-1,7)+50),"")</f>
        <v/>
      </c>
    </row>
    <row r="1595" spans="1:1" x14ac:dyDescent="0.25">
      <c r="A1595" t="str" cm="1">
        <f t="array" ref="A1595">IF(INDEX(CUEs!$A:$A,INT((ROW()-1)/7)*57+MOD(ROW()-1,7)+50)&lt;&gt;"","set "&amp;INDEX(CUEs!$A:$A,INT((ROW()-1)/7)*57+MOD(ROW()-1,7)+50)&amp;"=/ s "&amp;INDEX(CUEs!$B:$B,INT((ROW()-1)/7)*57+MOD(ROW()-1,7)+50),"")</f>
        <v/>
      </c>
    </row>
    <row r="1596" spans="1:1" x14ac:dyDescent="0.25">
      <c r="A1596" t="str" cm="1">
        <f t="array" ref="A1596">IF(INDEX(CUEs!$A:$A,INT((ROW()-1)/7)*57+MOD(ROW()-1,7)+50)&lt;&gt;"","set "&amp;INDEX(CUEs!$A:$A,INT((ROW()-1)/7)*57+MOD(ROW()-1,7)+50)&amp;"=/ s "&amp;INDEX(CUEs!$B:$B,INT((ROW()-1)/7)*57+MOD(ROW()-1,7)+50),"")</f>
        <v/>
      </c>
    </row>
    <row r="1597" spans="1:1" x14ac:dyDescent="0.25">
      <c r="A1597" t="str" cm="1">
        <f t="array" ref="A1597">IF(INDEX(CUEs!$A:$A,INT((ROW()-1)/7)*57+MOD(ROW()-1,7)+50)&lt;&gt;"","set "&amp;INDEX(CUEs!$A:$A,INT((ROW()-1)/7)*57+MOD(ROW()-1,7)+50)&amp;"=/ s "&amp;INDEX(CUEs!$B:$B,INT((ROW()-1)/7)*57+MOD(ROW()-1,7)+50),"")</f>
        <v/>
      </c>
    </row>
    <row r="1598" spans="1:1" x14ac:dyDescent="0.25">
      <c r="A1598" t="str" cm="1">
        <f t="array" ref="A1598">IF(INDEX(CUEs!$A:$A,INT((ROW()-1)/7)*57+MOD(ROW()-1,7)+50)&lt;&gt;"","set "&amp;INDEX(CUEs!$A:$A,INT((ROW()-1)/7)*57+MOD(ROW()-1,7)+50)&amp;"=/ s "&amp;INDEX(CUEs!$B:$B,INT((ROW()-1)/7)*57+MOD(ROW()-1,7)+50),"")</f>
        <v/>
      </c>
    </row>
    <row r="1599" spans="1:1" x14ac:dyDescent="0.25">
      <c r="A1599" t="str" cm="1">
        <f t="array" ref="A1599">IF(INDEX(CUEs!$A:$A,INT((ROW()-1)/7)*57+MOD(ROW()-1,7)+50)&lt;&gt;"","set "&amp;INDEX(CUEs!$A:$A,INT((ROW()-1)/7)*57+MOD(ROW()-1,7)+50)&amp;"=/ s "&amp;INDEX(CUEs!$B:$B,INT((ROW()-1)/7)*57+MOD(ROW()-1,7)+50),"")</f>
        <v/>
      </c>
    </row>
    <row r="1600" spans="1:1" x14ac:dyDescent="0.25">
      <c r="A1600" t="str" cm="1">
        <f t="array" ref="A1600">IF(INDEX(CUEs!$A:$A,INT((ROW()-1)/7)*57+MOD(ROW()-1,7)+50)&lt;&gt;"","set "&amp;INDEX(CUEs!$A:$A,INT((ROW()-1)/7)*57+MOD(ROW()-1,7)+50)&amp;"=/ s "&amp;INDEX(CUEs!$B:$B,INT((ROW()-1)/7)*57+MOD(ROW()-1,7)+50),"")</f>
        <v/>
      </c>
    </row>
    <row r="1601" spans="1:1" x14ac:dyDescent="0.25">
      <c r="A1601" t="str" cm="1">
        <f t="array" ref="A1601">IF(INDEX(CUEs!$A:$A,INT((ROW()-1)/7)*57+MOD(ROW()-1,7)+50)&lt;&gt;"","set "&amp;INDEX(CUEs!$A:$A,INT((ROW()-1)/7)*57+MOD(ROW()-1,7)+50)&amp;"=/ s "&amp;INDEX(CUEs!$B:$B,INT((ROW()-1)/7)*57+MOD(ROW()-1,7)+50),"")</f>
        <v/>
      </c>
    </row>
    <row r="1602" spans="1:1" x14ac:dyDescent="0.25">
      <c r="A1602" t="str" cm="1">
        <f t="array" ref="A1602">IF(INDEX(CUEs!$A:$A,INT((ROW()-1)/7)*57+MOD(ROW()-1,7)+50)&lt;&gt;"","set "&amp;INDEX(CUEs!$A:$A,INT((ROW()-1)/7)*57+MOD(ROW()-1,7)+50)&amp;"=/ s "&amp;INDEX(CUEs!$B:$B,INT((ROW()-1)/7)*57+MOD(ROW()-1,7)+50),"")</f>
        <v/>
      </c>
    </row>
    <row r="1603" spans="1:1" x14ac:dyDescent="0.25">
      <c r="A1603" t="str" cm="1">
        <f t="array" ref="A1603">IF(INDEX(CUEs!$A:$A,INT((ROW()-1)/7)*57+MOD(ROW()-1,7)+50)&lt;&gt;"","set "&amp;INDEX(CUEs!$A:$A,INT((ROW()-1)/7)*57+MOD(ROW()-1,7)+50)&amp;"=/ s "&amp;INDEX(CUEs!$B:$B,INT((ROW()-1)/7)*57+MOD(ROW()-1,7)+50),"")</f>
        <v/>
      </c>
    </row>
    <row r="1604" spans="1:1" x14ac:dyDescent="0.25">
      <c r="A1604" t="str" cm="1">
        <f t="array" ref="A1604">IF(INDEX(CUEs!$A:$A,INT((ROW()-1)/7)*57+MOD(ROW()-1,7)+50)&lt;&gt;"","set "&amp;INDEX(CUEs!$A:$A,INT((ROW()-1)/7)*57+MOD(ROW()-1,7)+50)&amp;"=/ s "&amp;INDEX(CUEs!$B:$B,INT((ROW()-1)/7)*57+MOD(ROW()-1,7)+50),"")</f>
        <v/>
      </c>
    </row>
    <row r="1605" spans="1:1" x14ac:dyDescent="0.25">
      <c r="A1605" t="str" cm="1">
        <f t="array" ref="A1605">IF(INDEX(CUEs!$A:$A,INT((ROW()-1)/7)*57+MOD(ROW()-1,7)+50)&lt;&gt;"","set "&amp;INDEX(CUEs!$A:$A,INT((ROW()-1)/7)*57+MOD(ROW()-1,7)+50)&amp;"=/ s "&amp;INDEX(CUEs!$B:$B,INT((ROW()-1)/7)*57+MOD(ROW()-1,7)+50),"")</f>
        <v/>
      </c>
    </row>
    <row r="1606" spans="1:1" x14ac:dyDescent="0.25">
      <c r="A1606" t="str" cm="1">
        <f t="array" ref="A1606">IF(INDEX(CUEs!$A:$A,INT((ROW()-1)/7)*57+MOD(ROW()-1,7)+50)&lt;&gt;"","set "&amp;INDEX(CUEs!$A:$A,INT((ROW()-1)/7)*57+MOD(ROW()-1,7)+50)&amp;"=/ s "&amp;INDEX(CUEs!$B:$B,INT((ROW()-1)/7)*57+MOD(ROW()-1,7)+50),"")</f>
        <v/>
      </c>
    </row>
    <row r="1607" spans="1:1" x14ac:dyDescent="0.25">
      <c r="A1607" t="str" cm="1">
        <f t="array" ref="A1607">IF(INDEX(CUEs!$A:$A,INT((ROW()-1)/7)*57+MOD(ROW()-1,7)+50)&lt;&gt;"","set "&amp;INDEX(CUEs!$A:$A,INT((ROW()-1)/7)*57+MOD(ROW()-1,7)+50)&amp;"=/ s "&amp;INDEX(CUEs!$B:$B,INT((ROW()-1)/7)*57+MOD(ROW()-1,7)+50),"")</f>
        <v/>
      </c>
    </row>
    <row r="1608" spans="1:1" x14ac:dyDescent="0.25">
      <c r="A1608" t="str" cm="1">
        <f t="array" ref="A1608">IF(INDEX(CUEs!$A:$A,INT((ROW()-1)/7)*57+MOD(ROW()-1,7)+50)&lt;&gt;"","set "&amp;INDEX(CUEs!$A:$A,INT((ROW()-1)/7)*57+MOD(ROW()-1,7)+50)&amp;"=/ s "&amp;INDEX(CUEs!$B:$B,INT((ROW()-1)/7)*57+MOD(ROW()-1,7)+50),"")</f>
        <v/>
      </c>
    </row>
    <row r="1609" spans="1:1" x14ac:dyDescent="0.25">
      <c r="A1609" t="str" cm="1">
        <f t="array" ref="A1609">IF(INDEX(CUEs!$A:$A,INT((ROW()-1)/7)*57+MOD(ROW()-1,7)+50)&lt;&gt;"","set "&amp;INDEX(CUEs!$A:$A,INT((ROW()-1)/7)*57+MOD(ROW()-1,7)+50)&amp;"=/ s "&amp;INDEX(CUEs!$B:$B,INT((ROW()-1)/7)*57+MOD(ROW()-1,7)+50),"")</f>
        <v/>
      </c>
    </row>
    <row r="1610" spans="1:1" x14ac:dyDescent="0.25">
      <c r="A1610" t="str" cm="1">
        <f t="array" ref="A1610">IF(INDEX(CUEs!$A:$A,INT((ROW()-1)/7)*57+MOD(ROW()-1,7)+50)&lt;&gt;"","set "&amp;INDEX(CUEs!$A:$A,INT((ROW()-1)/7)*57+MOD(ROW()-1,7)+50)&amp;"=/ s "&amp;INDEX(CUEs!$B:$B,INT((ROW()-1)/7)*57+MOD(ROW()-1,7)+50),"")</f>
        <v/>
      </c>
    </row>
    <row r="1611" spans="1:1" x14ac:dyDescent="0.25">
      <c r="A1611" t="str" cm="1">
        <f t="array" ref="A1611">IF(INDEX(CUEs!$A:$A,INT((ROW()-1)/7)*57+MOD(ROW()-1,7)+50)&lt;&gt;"","set "&amp;INDEX(CUEs!$A:$A,INT((ROW()-1)/7)*57+MOD(ROW()-1,7)+50)&amp;"=/ s "&amp;INDEX(CUEs!$B:$B,INT((ROW()-1)/7)*57+MOD(ROW()-1,7)+50),"")</f>
        <v/>
      </c>
    </row>
    <row r="1612" spans="1:1" x14ac:dyDescent="0.25">
      <c r="A1612" t="str" cm="1">
        <f t="array" ref="A1612">IF(INDEX(CUEs!$A:$A,INT((ROW()-1)/7)*57+MOD(ROW()-1,7)+50)&lt;&gt;"","set "&amp;INDEX(CUEs!$A:$A,INT((ROW()-1)/7)*57+MOD(ROW()-1,7)+50)&amp;"=/ s "&amp;INDEX(CUEs!$B:$B,INT((ROW()-1)/7)*57+MOD(ROW()-1,7)+50),"")</f>
        <v/>
      </c>
    </row>
    <row r="1613" spans="1:1" x14ac:dyDescent="0.25">
      <c r="A1613" t="str" cm="1">
        <f t="array" ref="A1613">IF(INDEX(CUEs!$A:$A,INT((ROW()-1)/7)*57+MOD(ROW()-1,7)+50)&lt;&gt;"","set "&amp;INDEX(CUEs!$A:$A,INT((ROW()-1)/7)*57+MOD(ROW()-1,7)+50)&amp;"=/ s "&amp;INDEX(CUEs!$B:$B,INT((ROW()-1)/7)*57+MOD(ROW()-1,7)+50),"")</f>
        <v/>
      </c>
    </row>
    <row r="1614" spans="1:1" x14ac:dyDescent="0.25">
      <c r="A1614" t="str" cm="1">
        <f t="array" ref="A1614">IF(INDEX(CUEs!$A:$A,INT((ROW()-1)/7)*57+MOD(ROW()-1,7)+50)&lt;&gt;"","set "&amp;INDEX(CUEs!$A:$A,INT((ROW()-1)/7)*57+MOD(ROW()-1,7)+50)&amp;"=/ s "&amp;INDEX(CUEs!$B:$B,INT((ROW()-1)/7)*57+MOD(ROW()-1,7)+50),"")</f>
        <v/>
      </c>
    </row>
    <row r="1615" spans="1:1" x14ac:dyDescent="0.25">
      <c r="A1615" t="str" cm="1">
        <f t="array" ref="A1615">IF(INDEX(CUEs!$A:$A,INT((ROW()-1)/7)*57+MOD(ROW()-1,7)+50)&lt;&gt;"","set "&amp;INDEX(CUEs!$A:$A,INT((ROW()-1)/7)*57+MOD(ROW()-1,7)+50)&amp;"=/ s "&amp;INDEX(CUEs!$B:$B,INT((ROW()-1)/7)*57+MOD(ROW()-1,7)+50),"")</f>
        <v/>
      </c>
    </row>
    <row r="1616" spans="1:1" x14ac:dyDescent="0.25">
      <c r="A1616" t="str" cm="1">
        <f t="array" ref="A1616">IF(INDEX(CUEs!$A:$A,INT((ROW()-1)/7)*57+MOD(ROW()-1,7)+50)&lt;&gt;"","set "&amp;INDEX(CUEs!$A:$A,INT((ROW()-1)/7)*57+MOD(ROW()-1,7)+50)&amp;"=/ s "&amp;INDEX(CUEs!$B:$B,INT((ROW()-1)/7)*57+MOD(ROW()-1,7)+50),"")</f>
        <v/>
      </c>
    </row>
    <row r="1617" spans="1:1" x14ac:dyDescent="0.25">
      <c r="A1617" t="str" cm="1">
        <f t="array" ref="A1617">IF(INDEX(CUEs!$A:$A,INT((ROW()-1)/7)*57+MOD(ROW()-1,7)+50)&lt;&gt;"","set "&amp;INDEX(CUEs!$A:$A,INT((ROW()-1)/7)*57+MOD(ROW()-1,7)+50)&amp;"=/ s "&amp;INDEX(CUEs!$B:$B,INT((ROW()-1)/7)*57+MOD(ROW()-1,7)+50),"")</f>
        <v/>
      </c>
    </row>
    <row r="1618" spans="1:1" x14ac:dyDescent="0.25">
      <c r="A1618" t="str" cm="1">
        <f t="array" ref="A1618">IF(INDEX(CUEs!$A:$A,INT((ROW()-1)/7)*57+MOD(ROW()-1,7)+50)&lt;&gt;"","set "&amp;INDEX(CUEs!$A:$A,INT((ROW()-1)/7)*57+MOD(ROW()-1,7)+50)&amp;"=/ s "&amp;INDEX(CUEs!$B:$B,INT((ROW()-1)/7)*57+MOD(ROW()-1,7)+50),"")</f>
        <v/>
      </c>
    </row>
    <row r="1619" spans="1:1" x14ac:dyDescent="0.25">
      <c r="A1619" t="str" cm="1">
        <f t="array" ref="A1619">IF(INDEX(CUEs!$A:$A,INT((ROW()-1)/7)*57+MOD(ROW()-1,7)+50)&lt;&gt;"","set "&amp;INDEX(CUEs!$A:$A,INT((ROW()-1)/7)*57+MOD(ROW()-1,7)+50)&amp;"=/ s "&amp;INDEX(CUEs!$B:$B,INT((ROW()-1)/7)*57+MOD(ROW()-1,7)+50),"")</f>
        <v/>
      </c>
    </row>
    <row r="1620" spans="1:1" x14ac:dyDescent="0.25">
      <c r="A1620" t="str" cm="1">
        <f t="array" ref="A1620">IF(INDEX(CUEs!$A:$A,INT((ROW()-1)/7)*57+MOD(ROW()-1,7)+50)&lt;&gt;"","set "&amp;INDEX(CUEs!$A:$A,INT((ROW()-1)/7)*57+MOD(ROW()-1,7)+50)&amp;"=/ s "&amp;INDEX(CUEs!$B:$B,INT((ROW()-1)/7)*57+MOD(ROW()-1,7)+50),"")</f>
        <v/>
      </c>
    </row>
    <row r="1621" spans="1:1" x14ac:dyDescent="0.25">
      <c r="A1621" t="str" cm="1">
        <f t="array" ref="A1621">IF(INDEX(CUEs!$A:$A,INT((ROW()-1)/7)*57+MOD(ROW()-1,7)+50)&lt;&gt;"","set "&amp;INDEX(CUEs!$A:$A,INT((ROW()-1)/7)*57+MOD(ROW()-1,7)+50)&amp;"=/ s "&amp;INDEX(CUEs!$B:$B,INT((ROW()-1)/7)*57+MOD(ROW()-1,7)+50),"")</f>
        <v/>
      </c>
    </row>
    <row r="1622" spans="1:1" x14ac:dyDescent="0.25">
      <c r="A1622" t="str" cm="1">
        <f t="array" ref="A1622">IF(INDEX(CUEs!$A:$A,INT((ROW()-1)/7)*57+MOD(ROW()-1,7)+50)&lt;&gt;"","set "&amp;INDEX(CUEs!$A:$A,INT((ROW()-1)/7)*57+MOD(ROW()-1,7)+50)&amp;"=/ s "&amp;INDEX(CUEs!$B:$B,INT((ROW()-1)/7)*57+MOD(ROW()-1,7)+50),"")</f>
        <v/>
      </c>
    </row>
    <row r="1623" spans="1:1" x14ac:dyDescent="0.25">
      <c r="A1623" t="str" cm="1">
        <f t="array" ref="A1623">IF(INDEX(CUEs!$A:$A,INT((ROW()-1)/7)*57+MOD(ROW()-1,7)+50)&lt;&gt;"","set "&amp;INDEX(CUEs!$A:$A,INT((ROW()-1)/7)*57+MOD(ROW()-1,7)+50)&amp;"=/ s "&amp;INDEX(CUEs!$B:$B,INT((ROW()-1)/7)*57+MOD(ROW()-1,7)+50),"")</f>
        <v/>
      </c>
    </row>
    <row r="1624" spans="1:1" x14ac:dyDescent="0.25">
      <c r="A1624" t="str" cm="1">
        <f t="array" ref="A1624">IF(INDEX(CUEs!$A:$A,INT((ROW()-1)/7)*57+MOD(ROW()-1,7)+50)&lt;&gt;"","set "&amp;INDEX(CUEs!$A:$A,INT((ROW()-1)/7)*57+MOD(ROW()-1,7)+50)&amp;"=/ s "&amp;INDEX(CUEs!$B:$B,INT((ROW()-1)/7)*57+MOD(ROW()-1,7)+50),"")</f>
        <v/>
      </c>
    </row>
    <row r="1625" spans="1:1" x14ac:dyDescent="0.25">
      <c r="A1625" t="str" cm="1">
        <f t="array" ref="A1625">IF(INDEX(CUEs!$A:$A,INT((ROW()-1)/7)*57+MOD(ROW()-1,7)+50)&lt;&gt;"","set "&amp;INDEX(CUEs!$A:$A,INT((ROW()-1)/7)*57+MOD(ROW()-1,7)+50)&amp;"=/ s "&amp;INDEX(CUEs!$B:$B,INT((ROW()-1)/7)*57+MOD(ROW()-1,7)+50),"")</f>
        <v/>
      </c>
    </row>
    <row r="1626" spans="1:1" x14ac:dyDescent="0.25">
      <c r="A1626" t="str" cm="1">
        <f t="array" ref="A1626">IF(INDEX(CUEs!$A:$A,INT((ROW()-1)/7)*57+MOD(ROW()-1,7)+50)&lt;&gt;"","set "&amp;INDEX(CUEs!$A:$A,INT((ROW()-1)/7)*57+MOD(ROW()-1,7)+50)&amp;"=/ s "&amp;INDEX(CUEs!$B:$B,INT((ROW()-1)/7)*57+MOD(ROW()-1,7)+50),"")</f>
        <v/>
      </c>
    </row>
    <row r="1627" spans="1:1" x14ac:dyDescent="0.25">
      <c r="A1627" t="str" cm="1">
        <f t="array" ref="A1627">IF(INDEX(CUEs!$A:$A,INT((ROW()-1)/7)*57+MOD(ROW()-1,7)+50)&lt;&gt;"","set "&amp;INDEX(CUEs!$A:$A,INT((ROW()-1)/7)*57+MOD(ROW()-1,7)+50)&amp;"=/ s "&amp;INDEX(CUEs!$B:$B,INT((ROW()-1)/7)*57+MOD(ROW()-1,7)+50),"")</f>
        <v/>
      </c>
    </row>
    <row r="1628" spans="1:1" x14ac:dyDescent="0.25">
      <c r="A1628" t="str" cm="1">
        <f t="array" ref="A1628">IF(INDEX(CUEs!$A:$A,INT((ROW()-1)/7)*57+MOD(ROW()-1,7)+50)&lt;&gt;"","set "&amp;INDEX(CUEs!$A:$A,INT((ROW()-1)/7)*57+MOD(ROW()-1,7)+50)&amp;"=/ s "&amp;INDEX(CUEs!$B:$B,INT((ROW()-1)/7)*57+MOD(ROW()-1,7)+50),"")</f>
        <v/>
      </c>
    </row>
    <row r="1629" spans="1:1" x14ac:dyDescent="0.25">
      <c r="A1629" t="str" cm="1">
        <f t="array" ref="A1629">IF(INDEX(CUEs!$A:$A,INT((ROW()-1)/7)*57+MOD(ROW()-1,7)+50)&lt;&gt;"","set "&amp;INDEX(CUEs!$A:$A,INT((ROW()-1)/7)*57+MOD(ROW()-1,7)+50)&amp;"=/ s "&amp;INDEX(CUEs!$B:$B,INT((ROW()-1)/7)*57+MOD(ROW()-1,7)+50),"")</f>
        <v/>
      </c>
    </row>
    <row r="1630" spans="1:1" x14ac:dyDescent="0.25">
      <c r="A1630" t="str" cm="1">
        <f t="array" ref="A1630">IF(INDEX(CUEs!$A:$A,INT((ROW()-1)/7)*57+MOD(ROW()-1,7)+50)&lt;&gt;"","set "&amp;INDEX(CUEs!$A:$A,INT((ROW()-1)/7)*57+MOD(ROW()-1,7)+50)&amp;"=/ s "&amp;INDEX(CUEs!$B:$B,INT((ROW()-1)/7)*57+MOD(ROW()-1,7)+50),"")</f>
        <v/>
      </c>
    </row>
    <row r="1631" spans="1:1" x14ac:dyDescent="0.25">
      <c r="A1631" t="str" cm="1">
        <f t="array" ref="A1631">IF(INDEX(CUEs!$A:$A,INT((ROW()-1)/7)*57+MOD(ROW()-1,7)+50)&lt;&gt;"","set "&amp;INDEX(CUEs!$A:$A,INT((ROW()-1)/7)*57+MOD(ROW()-1,7)+50)&amp;"=/ s "&amp;INDEX(CUEs!$B:$B,INT((ROW()-1)/7)*57+MOD(ROW()-1,7)+50),"")</f>
        <v/>
      </c>
    </row>
    <row r="1632" spans="1:1" x14ac:dyDescent="0.25">
      <c r="A1632" t="str" cm="1">
        <f t="array" ref="A1632">IF(INDEX(CUEs!$A:$A,INT((ROW()-1)/7)*57+MOD(ROW()-1,7)+50)&lt;&gt;"","set "&amp;INDEX(CUEs!$A:$A,INT((ROW()-1)/7)*57+MOD(ROW()-1,7)+50)&amp;"=/ s "&amp;INDEX(CUEs!$B:$B,INT((ROW()-1)/7)*57+MOD(ROW()-1,7)+50),"")</f>
        <v/>
      </c>
    </row>
    <row r="1633" spans="1:1" x14ac:dyDescent="0.25">
      <c r="A1633" t="str" cm="1">
        <f t="array" ref="A1633">IF(INDEX(CUEs!$A:$A,INT((ROW()-1)/7)*57+MOD(ROW()-1,7)+50)&lt;&gt;"","set "&amp;INDEX(CUEs!$A:$A,INT((ROW()-1)/7)*57+MOD(ROW()-1,7)+50)&amp;"=/ s "&amp;INDEX(CUEs!$B:$B,INT((ROW()-1)/7)*57+MOD(ROW()-1,7)+50),"")</f>
        <v/>
      </c>
    </row>
    <row r="1634" spans="1:1" x14ac:dyDescent="0.25">
      <c r="A1634" t="str" cm="1">
        <f t="array" ref="A1634">IF(INDEX(CUEs!$A:$A,INT((ROW()-1)/7)*57+MOD(ROW()-1,7)+50)&lt;&gt;"","set "&amp;INDEX(CUEs!$A:$A,INT((ROW()-1)/7)*57+MOD(ROW()-1,7)+50)&amp;"=/ s "&amp;INDEX(CUEs!$B:$B,INT((ROW()-1)/7)*57+MOD(ROW()-1,7)+50),"")</f>
        <v/>
      </c>
    </row>
    <row r="1635" spans="1:1" x14ac:dyDescent="0.25">
      <c r="A1635" t="str" cm="1">
        <f t="array" ref="A1635">IF(INDEX(CUEs!$A:$A,INT((ROW()-1)/7)*57+MOD(ROW()-1,7)+50)&lt;&gt;"","set "&amp;INDEX(CUEs!$A:$A,INT((ROW()-1)/7)*57+MOD(ROW()-1,7)+50)&amp;"=/ s "&amp;INDEX(CUEs!$B:$B,INT((ROW()-1)/7)*57+MOD(ROW()-1,7)+50),"")</f>
        <v/>
      </c>
    </row>
    <row r="1636" spans="1:1" x14ac:dyDescent="0.25">
      <c r="A1636" t="str" cm="1">
        <f t="array" ref="A1636">IF(INDEX(CUEs!$A:$A,INT((ROW()-1)/7)*57+MOD(ROW()-1,7)+50)&lt;&gt;"","set "&amp;INDEX(CUEs!$A:$A,INT((ROW()-1)/7)*57+MOD(ROW()-1,7)+50)&amp;"=/ s "&amp;INDEX(CUEs!$B:$B,INT((ROW()-1)/7)*57+MOD(ROW()-1,7)+50),"")</f>
        <v/>
      </c>
    </row>
    <row r="1637" spans="1:1" x14ac:dyDescent="0.25">
      <c r="A1637" t="str" cm="1">
        <f t="array" ref="A1637">IF(INDEX(CUEs!$A:$A,INT((ROW()-1)/7)*57+MOD(ROW()-1,7)+50)&lt;&gt;"","set "&amp;INDEX(CUEs!$A:$A,INT((ROW()-1)/7)*57+MOD(ROW()-1,7)+50)&amp;"=/ s "&amp;INDEX(CUEs!$B:$B,INT((ROW()-1)/7)*57+MOD(ROW()-1,7)+50),"")</f>
        <v/>
      </c>
    </row>
    <row r="1638" spans="1:1" x14ac:dyDescent="0.25">
      <c r="A1638" t="str" cm="1">
        <f t="array" ref="A1638">IF(INDEX(CUEs!$A:$A,INT((ROW()-1)/7)*57+MOD(ROW()-1,7)+50)&lt;&gt;"","set "&amp;INDEX(CUEs!$A:$A,INT((ROW()-1)/7)*57+MOD(ROW()-1,7)+50)&amp;"=/ s "&amp;INDEX(CUEs!$B:$B,INT((ROW()-1)/7)*57+MOD(ROW()-1,7)+50),"")</f>
        <v/>
      </c>
    </row>
    <row r="1639" spans="1:1" x14ac:dyDescent="0.25">
      <c r="A1639" t="str" cm="1">
        <f t="array" ref="A1639">IF(INDEX(CUEs!$A:$A,INT((ROW()-1)/7)*57+MOD(ROW()-1,7)+50)&lt;&gt;"","set "&amp;INDEX(CUEs!$A:$A,INT((ROW()-1)/7)*57+MOD(ROW()-1,7)+50)&amp;"=/ s "&amp;INDEX(CUEs!$B:$B,INT((ROW()-1)/7)*57+MOD(ROW()-1,7)+50),"")</f>
        <v/>
      </c>
    </row>
    <row r="1640" spans="1:1" x14ac:dyDescent="0.25">
      <c r="A1640" t="str" cm="1">
        <f t="array" ref="A1640">IF(INDEX(CUEs!$A:$A,INT((ROW()-1)/7)*57+MOD(ROW()-1,7)+50)&lt;&gt;"","set "&amp;INDEX(CUEs!$A:$A,INT((ROW()-1)/7)*57+MOD(ROW()-1,7)+50)&amp;"=/ s "&amp;INDEX(CUEs!$B:$B,INT((ROW()-1)/7)*57+MOD(ROW()-1,7)+50),"")</f>
        <v/>
      </c>
    </row>
    <row r="1641" spans="1:1" x14ac:dyDescent="0.25">
      <c r="A1641" t="str" cm="1">
        <f t="array" ref="A1641">IF(INDEX(CUEs!$A:$A,INT((ROW()-1)/7)*57+MOD(ROW()-1,7)+50)&lt;&gt;"","set "&amp;INDEX(CUEs!$A:$A,INT((ROW()-1)/7)*57+MOD(ROW()-1,7)+50)&amp;"=/ s "&amp;INDEX(CUEs!$B:$B,INT((ROW()-1)/7)*57+MOD(ROW()-1,7)+50),"")</f>
        <v/>
      </c>
    </row>
    <row r="1642" spans="1:1" x14ac:dyDescent="0.25">
      <c r="A1642" t="str" cm="1">
        <f t="array" ref="A1642">IF(INDEX(CUEs!$A:$A,INT((ROW()-1)/7)*57+MOD(ROW()-1,7)+50)&lt;&gt;"","set "&amp;INDEX(CUEs!$A:$A,INT((ROW()-1)/7)*57+MOD(ROW()-1,7)+50)&amp;"=/ s "&amp;INDEX(CUEs!$B:$B,INT((ROW()-1)/7)*57+MOD(ROW()-1,7)+50),"")</f>
        <v/>
      </c>
    </row>
    <row r="1643" spans="1:1" x14ac:dyDescent="0.25">
      <c r="A1643" t="str" cm="1">
        <f t="array" ref="A1643">IF(INDEX(CUEs!$A:$A,INT((ROW()-1)/7)*57+MOD(ROW()-1,7)+50)&lt;&gt;"","set "&amp;INDEX(CUEs!$A:$A,INT((ROW()-1)/7)*57+MOD(ROW()-1,7)+50)&amp;"=/ s "&amp;INDEX(CUEs!$B:$B,INT((ROW()-1)/7)*57+MOD(ROW()-1,7)+50),"")</f>
        <v/>
      </c>
    </row>
    <row r="1644" spans="1:1" x14ac:dyDescent="0.25">
      <c r="A1644" t="str" cm="1">
        <f t="array" ref="A1644">IF(INDEX(CUEs!$A:$A,INT((ROW()-1)/7)*57+MOD(ROW()-1,7)+50)&lt;&gt;"","set "&amp;INDEX(CUEs!$A:$A,INT((ROW()-1)/7)*57+MOD(ROW()-1,7)+50)&amp;"=/ s "&amp;INDEX(CUEs!$B:$B,INT((ROW()-1)/7)*57+MOD(ROW()-1,7)+50),"")</f>
        <v/>
      </c>
    </row>
    <row r="1645" spans="1:1" x14ac:dyDescent="0.25">
      <c r="A1645" t="str" cm="1">
        <f t="array" ref="A1645">IF(INDEX(CUEs!$A:$A,INT((ROW()-1)/7)*57+MOD(ROW()-1,7)+50)&lt;&gt;"","set "&amp;INDEX(CUEs!$A:$A,INT((ROW()-1)/7)*57+MOD(ROW()-1,7)+50)&amp;"=/ s "&amp;INDEX(CUEs!$B:$B,INT((ROW()-1)/7)*57+MOD(ROW()-1,7)+50),"")</f>
        <v/>
      </c>
    </row>
    <row r="1646" spans="1:1" x14ac:dyDescent="0.25">
      <c r="A1646" t="str" cm="1">
        <f t="array" ref="A1646">IF(INDEX(CUEs!$A:$A,INT((ROW()-1)/7)*57+MOD(ROW()-1,7)+50)&lt;&gt;"","set "&amp;INDEX(CUEs!$A:$A,INT((ROW()-1)/7)*57+MOD(ROW()-1,7)+50)&amp;"=/ s "&amp;INDEX(CUEs!$B:$B,INT((ROW()-1)/7)*57+MOD(ROW()-1,7)+50),"")</f>
        <v/>
      </c>
    </row>
    <row r="1647" spans="1:1" x14ac:dyDescent="0.25">
      <c r="A1647" t="str" cm="1">
        <f t="array" ref="A1647">IF(INDEX(CUEs!$A:$A,INT((ROW()-1)/7)*57+MOD(ROW()-1,7)+50)&lt;&gt;"","set "&amp;INDEX(CUEs!$A:$A,INT((ROW()-1)/7)*57+MOD(ROW()-1,7)+50)&amp;"=/ s "&amp;INDEX(CUEs!$B:$B,INT((ROW()-1)/7)*57+MOD(ROW()-1,7)+50),"")</f>
        <v/>
      </c>
    </row>
    <row r="1648" spans="1:1" x14ac:dyDescent="0.25">
      <c r="A1648" t="str" cm="1">
        <f t="array" ref="A1648">IF(INDEX(CUEs!$A:$A,INT((ROW()-1)/7)*57+MOD(ROW()-1,7)+50)&lt;&gt;"","set "&amp;INDEX(CUEs!$A:$A,INT((ROW()-1)/7)*57+MOD(ROW()-1,7)+50)&amp;"=/ s "&amp;INDEX(CUEs!$B:$B,INT((ROW()-1)/7)*57+MOD(ROW()-1,7)+50),"")</f>
        <v/>
      </c>
    </row>
    <row r="1649" spans="1:1" x14ac:dyDescent="0.25">
      <c r="A1649" t="str" cm="1">
        <f t="array" ref="A1649">IF(INDEX(CUEs!$A:$A,INT((ROW()-1)/7)*57+MOD(ROW()-1,7)+50)&lt;&gt;"","set "&amp;INDEX(CUEs!$A:$A,INT((ROW()-1)/7)*57+MOD(ROW()-1,7)+50)&amp;"=/ s "&amp;INDEX(CUEs!$B:$B,INT((ROW()-1)/7)*57+MOD(ROW()-1,7)+50),"")</f>
        <v/>
      </c>
    </row>
    <row r="1650" spans="1:1" x14ac:dyDescent="0.25">
      <c r="A1650" t="str" cm="1">
        <f t="array" ref="A1650">IF(INDEX(CUEs!$A:$A,INT((ROW()-1)/7)*57+MOD(ROW()-1,7)+50)&lt;&gt;"","set "&amp;INDEX(CUEs!$A:$A,INT((ROW()-1)/7)*57+MOD(ROW()-1,7)+50)&amp;"=/ s "&amp;INDEX(CUEs!$B:$B,INT((ROW()-1)/7)*57+MOD(ROW()-1,7)+50),"")</f>
        <v/>
      </c>
    </row>
    <row r="1651" spans="1:1" x14ac:dyDescent="0.25">
      <c r="A1651" t="str" cm="1">
        <f t="array" ref="A1651">IF(INDEX(CUEs!$A:$A,INT((ROW()-1)/7)*57+MOD(ROW()-1,7)+50)&lt;&gt;"","set "&amp;INDEX(CUEs!$A:$A,INT((ROW()-1)/7)*57+MOD(ROW()-1,7)+50)&amp;"=/ s "&amp;INDEX(CUEs!$B:$B,INT((ROW()-1)/7)*57+MOD(ROW()-1,7)+50),"")</f>
        <v/>
      </c>
    </row>
    <row r="1652" spans="1:1" x14ac:dyDescent="0.25">
      <c r="A1652" t="str" cm="1">
        <f t="array" ref="A1652">IF(INDEX(CUEs!$A:$A,INT((ROW()-1)/7)*57+MOD(ROW()-1,7)+50)&lt;&gt;"","set "&amp;INDEX(CUEs!$A:$A,INT((ROW()-1)/7)*57+MOD(ROW()-1,7)+50)&amp;"=/ s "&amp;INDEX(CUEs!$B:$B,INT((ROW()-1)/7)*57+MOD(ROW()-1,7)+50),"")</f>
        <v/>
      </c>
    </row>
    <row r="1653" spans="1:1" x14ac:dyDescent="0.25">
      <c r="A1653" t="str" cm="1">
        <f t="array" ref="A1653">IF(INDEX(CUEs!$A:$A,INT((ROW()-1)/7)*57+MOD(ROW()-1,7)+50)&lt;&gt;"","set "&amp;INDEX(CUEs!$A:$A,INT((ROW()-1)/7)*57+MOD(ROW()-1,7)+50)&amp;"=/ s "&amp;INDEX(CUEs!$B:$B,INT((ROW()-1)/7)*57+MOD(ROW()-1,7)+50),"")</f>
        <v/>
      </c>
    </row>
    <row r="1654" spans="1:1" x14ac:dyDescent="0.25">
      <c r="A1654" t="str" cm="1">
        <f t="array" ref="A1654">IF(INDEX(CUEs!$A:$A,INT((ROW()-1)/7)*57+MOD(ROW()-1,7)+50)&lt;&gt;"","set "&amp;INDEX(CUEs!$A:$A,INT((ROW()-1)/7)*57+MOD(ROW()-1,7)+50)&amp;"=/ s "&amp;INDEX(CUEs!$B:$B,INT((ROW()-1)/7)*57+MOD(ROW()-1,7)+50),"")</f>
        <v/>
      </c>
    </row>
    <row r="1655" spans="1:1" x14ac:dyDescent="0.25">
      <c r="A1655" t="str" cm="1">
        <f t="array" ref="A1655">IF(INDEX(CUEs!$A:$A,INT((ROW()-1)/7)*57+MOD(ROW()-1,7)+50)&lt;&gt;"","set "&amp;INDEX(CUEs!$A:$A,INT((ROW()-1)/7)*57+MOD(ROW()-1,7)+50)&amp;"=/ s "&amp;INDEX(CUEs!$B:$B,INT((ROW()-1)/7)*57+MOD(ROW()-1,7)+50),"")</f>
        <v/>
      </c>
    </row>
    <row r="1656" spans="1:1" x14ac:dyDescent="0.25">
      <c r="A1656" t="str" cm="1">
        <f t="array" ref="A1656">IF(INDEX(CUEs!$A:$A,INT((ROW()-1)/7)*57+MOD(ROW()-1,7)+50)&lt;&gt;"","set "&amp;INDEX(CUEs!$A:$A,INT((ROW()-1)/7)*57+MOD(ROW()-1,7)+50)&amp;"=/ s "&amp;INDEX(CUEs!$B:$B,INT((ROW()-1)/7)*57+MOD(ROW()-1,7)+50),"")</f>
        <v/>
      </c>
    </row>
    <row r="1657" spans="1:1" x14ac:dyDescent="0.25">
      <c r="A1657" t="str" cm="1">
        <f t="array" ref="A1657">IF(INDEX(CUEs!$A:$A,INT((ROW()-1)/7)*57+MOD(ROW()-1,7)+50)&lt;&gt;"","set "&amp;INDEX(CUEs!$A:$A,INT((ROW()-1)/7)*57+MOD(ROW()-1,7)+50)&amp;"=/ s "&amp;INDEX(CUEs!$B:$B,INT((ROW()-1)/7)*57+MOD(ROW()-1,7)+50),"")</f>
        <v/>
      </c>
    </row>
    <row r="1658" spans="1:1" x14ac:dyDescent="0.25">
      <c r="A1658" t="str" cm="1">
        <f t="array" ref="A1658">IF(INDEX(CUEs!$A:$A,INT((ROW()-1)/7)*57+MOD(ROW()-1,7)+50)&lt;&gt;"","set "&amp;INDEX(CUEs!$A:$A,INT((ROW()-1)/7)*57+MOD(ROW()-1,7)+50)&amp;"=/ s "&amp;INDEX(CUEs!$B:$B,INT((ROW()-1)/7)*57+MOD(ROW()-1,7)+50),"")</f>
        <v/>
      </c>
    </row>
    <row r="1659" spans="1:1" x14ac:dyDescent="0.25">
      <c r="A1659" t="str" cm="1">
        <f t="array" ref="A1659">IF(INDEX(CUEs!$A:$A,INT((ROW()-1)/7)*57+MOD(ROW()-1,7)+50)&lt;&gt;"","set "&amp;INDEX(CUEs!$A:$A,INT((ROW()-1)/7)*57+MOD(ROW()-1,7)+50)&amp;"=/ s "&amp;INDEX(CUEs!$B:$B,INT((ROW()-1)/7)*57+MOD(ROW()-1,7)+50),"")</f>
        <v/>
      </c>
    </row>
    <row r="1660" spans="1:1" x14ac:dyDescent="0.25">
      <c r="A1660" t="str" cm="1">
        <f t="array" ref="A1660">IF(INDEX(CUEs!$A:$A,INT((ROW()-1)/7)*57+MOD(ROW()-1,7)+50)&lt;&gt;"","set "&amp;INDEX(CUEs!$A:$A,INT((ROW()-1)/7)*57+MOD(ROW()-1,7)+50)&amp;"=/ s "&amp;INDEX(CUEs!$B:$B,INT((ROW()-1)/7)*57+MOD(ROW()-1,7)+50),"")</f>
        <v/>
      </c>
    </row>
    <row r="1661" spans="1:1" x14ac:dyDescent="0.25">
      <c r="A1661" t="str" cm="1">
        <f t="array" ref="A1661">IF(INDEX(CUEs!$A:$A,INT((ROW()-1)/7)*57+MOD(ROW()-1,7)+50)&lt;&gt;"","set "&amp;INDEX(CUEs!$A:$A,INT((ROW()-1)/7)*57+MOD(ROW()-1,7)+50)&amp;"=/ s "&amp;INDEX(CUEs!$B:$B,INT((ROW()-1)/7)*57+MOD(ROW()-1,7)+50),"")</f>
        <v/>
      </c>
    </row>
    <row r="1662" spans="1:1" x14ac:dyDescent="0.25">
      <c r="A1662" t="str" cm="1">
        <f t="array" ref="A1662">IF(INDEX(CUEs!$A:$A,INT((ROW()-1)/7)*57+MOD(ROW()-1,7)+50)&lt;&gt;"","set "&amp;INDEX(CUEs!$A:$A,INT((ROW()-1)/7)*57+MOD(ROW()-1,7)+50)&amp;"=/ s "&amp;INDEX(CUEs!$B:$B,INT((ROW()-1)/7)*57+MOD(ROW()-1,7)+50),"")</f>
        <v/>
      </c>
    </row>
    <row r="1663" spans="1:1" x14ac:dyDescent="0.25">
      <c r="A1663" t="str" cm="1">
        <f t="array" ref="A1663">IF(INDEX(CUEs!$A:$A,INT((ROW()-1)/7)*57+MOD(ROW()-1,7)+50)&lt;&gt;"","set "&amp;INDEX(CUEs!$A:$A,INT((ROW()-1)/7)*57+MOD(ROW()-1,7)+50)&amp;"=/ s "&amp;INDEX(CUEs!$B:$B,INT((ROW()-1)/7)*57+MOD(ROW()-1,7)+50),"")</f>
        <v/>
      </c>
    </row>
    <row r="1664" spans="1:1" x14ac:dyDescent="0.25">
      <c r="A1664" t="str" cm="1">
        <f t="array" ref="A1664">IF(INDEX(CUEs!$A:$A,INT((ROW()-1)/7)*57+MOD(ROW()-1,7)+50)&lt;&gt;"","set "&amp;INDEX(CUEs!$A:$A,INT((ROW()-1)/7)*57+MOD(ROW()-1,7)+50)&amp;"=/ s "&amp;INDEX(CUEs!$B:$B,INT((ROW()-1)/7)*57+MOD(ROW()-1,7)+50),"")</f>
        <v/>
      </c>
    </row>
    <row r="1665" spans="1:1" x14ac:dyDescent="0.25">
      <c r="A1665" t="str" cm="1">
        <f t="array" ref="A1665">IF(INDEX(CUEs!$A:$A,INT((ROW()-1)/7)*57+MOD(ROW()-1,7)+50)&lt;&gt;"","set "&amp;INDEX(CUEs!$A:$A,INT((ROW()-1)/7)*57+MOD(ROW()-1,7)+50)&amp;"=/ s "&amp;INDEX(CUEs!$B:$B,INT((ROW()-1)/7)*57+MOD(ROW()-1,7)+50),"")</f>
        <v/>
      </c>
    </row>
    <row r="1666" spans="1:1" x14ac:dyDescent="0.25">
      <c r="A1666" t="str" cm="1">
        <f t="array" ref="A1666">IF(INDEX(CUEs!$A:$A,INT((ROW()-1)/7)*57+MOD(ROW()-1,7)+50)&lt;&gt;"","set "&amp;INDEX(CUEs!$A:$A,INT((ROW()-1)/7)*57+MOD(ROW()-1,7)+50)&amp;"=/ s "&amp;INDEX(CUEs!$B:$B,INT((ROW()-1)/7)*57+MOD(ROW()-1,7)+50),"")</f>
        <v/>
      </c>
    </row>
    <row r="1667" spans="1:1" x14ac:dyDescent="0.25">
      <c r="A1667" t="str" cm="1">
        <f t="array" ref="A1667">IF(INDEX(CUEs!$A:$A,INT((ROW()-1)/7)*57+MOD(ROW()-1,7)+50)&lt;&gt;"","set "&amp;INDEX(CUEs!$A:$A,INT((ROW()-1)/7)*57+MOD(ROW()-1,7)+50)&amp;"=/ s "&amp;INDEX(CUEs!$B:$B,INT((ROW()-1)/7)*57+MOD(ROW()-1,7)+50),"")</f>
        <v/>
      </c>
    </row>
    <row r="1668" spans="1:1" x14ac:dyDescent="0.25">
      <c r="A1668" t="str" cm="1">
        <f t="array" ref="A1668">IF(INDEX(CUEs!$A:$A,INT((ROW()-1)/7)*57+MOD(ROW()-1,7)+50)&lt;&gt;"","set "&amp;INDEX(CUEs!$A:$A,INT((ROW()-1)/7)*57+MOD(ROW()-1,7)+50)&amp;"=/ s "&amp;INDEX(CUEs!$B:$B,INT((ROW()-1)/7)*57+MOD(ROW()-1,7)+50),"")</f>
        <v/>
      </c>
    </row>
    <row r="1669" spans="1:1" x14ac:dyDescent="0.25">
      <c r="A1669" t="str" cm="1">
        <f t="array" ref="A1669">IF(INDEX(CUEs!$A:$A,INT((ROW()-1)/7)*57+MOD(ROW()-1,7)+50)&lt;&gt;"","set "&amp;INDEX(CUEs!$A:$A,INT((ROW()-1)/7)*57+MOD(ROW()-1,7)+50)&amp;"=/ s "&amp;INDEX(CUEs!$B:$B,INT((ROW()-1)/7)*57+MOD(ROW()-1,7)+50),"")</f>
        <v/>
      </c>
    </row>
    <row r="1670" spans="1:1" x14ac:dyDescent="0.25">
      <c r="A1670" t="str" cm="1">
        <f t="array" ref="A1670">IF(INDEX(CUEs!$A:$A,INT((ROW()-1)/7)*57+MOD(ROW()-1,7)+50)&lt;&gt;"","set "&amp;INDEX(CUEs!$A:$A,INT((ROW()-1)/7)*57+MOD(ROW()-1,7)+50)&amp;"=/ s "&amp;INDEX(CUEs!$B:$B,INT((ROW()-1)/7)*57+MOD(ROW()-1,7)+50),"")</f>
        <v/>
      </c>
    </row>
    <row r="1671" spans="1:1" x14ac:dyDescent="0.25">
      <c r="A1671" t="str" cm="1">
        <f t="array" ref="A1671">IF(INDEX(CUEs!$A:$A,INT((ROW()-1)/7)*57+MOD(ROW()-1,7)+50)&lt;&gt;"","set "&amp;INDEX(CUEs!$A:$A,INT((ROW()-1)/7)*57+MOD(ROW()-1,7)+50)&amp;"=/ s "&amp;INDEX(CUEs!$B:$B,INT((ROW()-1)/7)*57+MOD(ROW()-1,7)+50),"")</f>
        <v/>
      </c>
    </row>
    <row r="1672" spans="1:1" x14ac:dyDescent="0.25">
      <c r="A1672" t="str" cm="1">
        <f t="array" ref="A1672">IF(INDEX(CUEs!$A:$A,INT((ROW()-1)/7)*57+MOD(ROW()-1,7)+50)&lt;&gt;"","set "&amp;INDEX(CUEs!$A:$A,INT((ROW()-1)/7)*57+MOD(ROW()-1,7)+50)&amp;"=/ s "&amp;INDEX(CUEs!$B:$B,INT((ROW()-1)/7)*57+MOD(ROW()-1,7)+50),"")</f>
        <v/>
      </c>
    </row>
    <row r="1673" spans="1:1" x14ac:dyDescent="0.25">
      <c r="A1673" t="str" cm="1">
        <f t="array" ref="A1673">IF(INDEX(CUEs!$A:$A,INT((ROW()-1)/7)*57+MOD(ROW()-1,7)+50)&lt;&gt;"","set "&amp;INDEX(CUEs!$A:$A,INT((ROW()-1)/7)*57+MOD(ROW()-1,7)+50)&amp;"=/ s "&amp;INDEX(CUEs!$B:$B,INT((ROW()-1)/7)*57+MOD(ROW()-1,7)+50),"")</f>
        <v/>
      </c>
    </row>
    <row r="1674" spans="1:1" x14ac:dyDescent="0.25">
      <c r="A1674" t="str" cm="1">
        <f t="array" ref="A1674">IF(INDEX(CUEs!$A:$A,INT((ROW()-1)/7)*57+MOD(ROW()-1,7)+50)&lt;&gt;"","set "&amp;INDEX(CUEs!$A:$A,INT((ROW()-1)/7)*57+MOD(ROW()-1,7)+50)&amp;"=/ s "&amp;INDEX(CUEs!$B:$B,INT((ROW()-1)/7)*57+MOD(ROW()-1,7)+50),"")</f>
        <v/>
      </c>
    </row>
    <row r="1675" spans="1:1" x14ac:dyDescent="0.25">
      <c r="A1675" t="str" cm="1">
        <f t="array" ref="A1675">IF(INDEX(CUEs!$A:$A,INT((ROW()-1)/7)*57+MOD(ROW()-1,7)+50)&lt;&gt;"","set "&amp;INDEX(CUEs!$A:$A,INT((ROW()-1)/7)*57+MOD(ROW()-1,7)+50)&amp;"=/ s "&amp;INDEX(CUEs!$B:$B,INT((ROW()-1)/7)*57+MOD(ROW()-1,7)+50),"")</f>
        <v/>
      </c>
    </row>
    <row r="1676" spans="1:1" x14ac:dyDescent="0.25">
      <c r="A1676" t="str" cm="1">
        <f t="array" ref="A1676">IF(INDEX(CUEs!$A:$A,INT((ROW()-1)/7)*57+MOD(ROW()-1,7)+50)&lt;&gt;"","set "&amp;INDEX(CUEs!$A:$A,INT((ROW()-1)/7)*57+MOD(ROW()-1,7)+50)&amp;"=/ s "&amp;INDEX(CUEs!$B:$B,INT((ROW()-1)/7)*57+MOD(ROW()-1,7)+50),"")</f>
        <v/>
      </c>
    </row>
    <row r="1677" spans="1:1" x14ac:dyDescent="0.25">
      <c r="A1677" t="str" cm="1">
        <f t="array" ref="A1677">IF(INDEX(CUEs!$A:$A,INT((ROW()-1)/7)*57+MOD(ROW()-1,7)+50)&lt;&gt;"","set "&amp;INDEX(CUEs!$A:$A,INT((ROW()-1)/7)*57+MOD(ROW()-1,7)+50)&amp;"=/ s "&amp;INDEX(CUEs!$B:$B,INT((ROW()-1)/7)*57+MOD(ROW()-1,7)+50),"")</f>
        <v/>
      </c>
    </row>
    <row r="1678" spans="1:1" x14ac:dyDescent="0.25">
      <c r="A1678" t="str" cm="1">
        <f t="array" ref="A1678">IF(INDEX(CUEs!$A:$A,INT((ROW()-1)/7)*57+MOD(ROW()-1,7)+50)&lt;&gt;"","set "&amp;INDEX(CUEs!$A:$A,INT((ROW()-1)/7)*57+MOD(ROW()-1,7)+50)&amp;"=/ s "&amp;INDEX(CUEs!$B:$B,INT((ROW()-1)/7)*57+MOD(ROW()-1,7)+50),"")</f>
        <v/>
      </c>
    </row>
    <row r="1679" spans="1:1" x14ac:dyDescent="0.25">
      <c r="A1679" t="str" cm="1">
        <f t="array" ref="A1679">IF(INDEX(CUEs!$A:$A,INT((ROW()-1)/7)*57+MOD(ROW()-1,7)+50)&lt;&gt;"","set "&amp;INDEX(CUEs!$A:$A,INT((ROW()-1)/7)*57+MOD(ROW()-1,7)+50)&amp;"=/ s "&amp;INDEX(CUEs!$B:$B,INT((ROW()-1)/7)*57+MOD(ROW()-1,7)+50),"")</f>
        <v/>
      </c>
    </row>
    <row r="1680" spans="1:1" x14ac:dyDescent="0.25">
      <c r="A1680" t="str" cm="1">
        <f t="array" ref="A1680">IF(INDEX(CUEs!$A:$A,INT((ROW()-1)/7)*57+MOD(ROW()-1,7)+50)&lt;&gt;"","set "&amp;INDEX(CUEs!$A:$A,INT((ROW()-1)/7)*57+MOD(ROW()-1,7)+50)&amp;"=/ s "&amp;INDEX(CUEs!$B:$B,INT((ROW()-1)/7)*57+MOD(ROW()-1,7)+50),"")</f>
        <v/>
      </c>
    </row>
    <row r="1681" spans="1:1" x14ac:dyDescent="0.25">
      <c r="A1681" t="str" cm="1">
        <f t="array" ref="A1681">IF(INDEX(CUEs!$A:$A,INT((ROW()-1)/7)*57+MOD(ROW()-1,7)+50)&lt;&gt;"","set "&amp;INDEX(CUEs!$A:$A,INT((ROW()-1)/7)*57+MOD(ROW()-1,7)+50)&amp;"=/ s "&amp;INDEX(CUEs!$B:$B,INT((ROW()-1)/7)*57+MOD(ROW()-1,7)+50),"")</f>
        <v/>
      </c>
    </row>
    <row r="1682" spans="1:1" x14ac:dyDescent="0.25">
      <c r="A1682" t="str" cm="1">
        <f t="array" ref="A1682">IF(INDEX(CUEs!$A:$A,INT((ROW()-1)/7)*57+MOD(ROW()-1,7)+50)&lt;&gt;"","set "&amp;INDEX(CUEs!$A:$A,INT((ROW()-1)/7)*57+MOD(ROW()-1,7)+50)&amp;"=/ s "&amp;INDEX(CUEs!$B:$B,INT((ROW()-1)/7)*57+MOD(ROW()-1,7)+50),"")</f>
        <v/>
      </c>
    </row>
    <row r="1683" spans="1:1" x14ac:dyDescent="0.25">
      <c r="A1683" t="str" cm="1">
        <f t="array" ref="A1683">IF(INDEX(CUEs!$A:$A,INT((ROW()-1)/7)*57+MOD(ROW()-1,7)+50)&lt;&gt;"","set "&amp;INDEX(CUEs!$A:$A,INT((ROW()-1)/7)*57+MOD(ROW()-1,7)+50)&amp;"=/ s "&amp;INDEX(CUEs!$B:$B,INT((ROW()-1)/7)*57+MOD(ROW()-1,7)+50),"")</f>
        <v/>
      </c>
    </row>
    <row r="1684" spans="1:1" x14ac:dyDescent="0.25">
      <c r="A1684" t="str" cm="1">
        <f t="array" ref="A1684">IF(INDEX(CUEs!$A:$A,INT((ROW()-1)/7)*57+MOD(ROW()-1,7)+50)&lt;&gt;"","set "&amp;INDEX(CUEs!$A:$A,INT((ROW()-1)/7)*57+MOD(ROW()-1,7)+50)&amp;"=/ s "&amp;INDEX(CUEs!$B:$B,INT((ROW()-1)/7)*57+MOD(ROW()-1,7)+50),"")</f>
        <v/>
      </c>
    </row>
    <row r="1685" spans="1:1" x14ac:dyDescent="0.25">
      <c r="A1685" t="str" cm="1">
        <f t="array" ref="A1685">IF(INDEX(CUEs!$A:$A,INT((ROW()-1)/7)*57+MOD(ROW()-1,7)+50)&lt;&gt;"","set "&amp;INDEX(CUEs!$A:$A,INT((ROW()-1)/7)*57+MOD(ROW()-1,7)+50)&amp;"=/ s "&amp;INDEX(CUEs!$B:$B,INT((ROW()-1)/7)*57+MOD(ROW()-1,7)+50),"")</f>
        <v/>
      </c>
    </row>
    <row r="1686" spans="1:1" x14ac:dyDescent="0.25">
      <c r="A1686" t="str" cm="1">
        <f t="array" ref="A1686">IF(INDEX(CUEs!$A:$A,INT((ROW()-1)/7)*57+MOD(ROW()-1,7)+50)&lt;&gt;"","set "&amp;INDEX(CUEs!$A:$A,INT((ROW()-1)/7)*57+MOD(ROW()-1,7)+50)&amp;"=/ s "&amp;INDEX(CUEs!$B:$B,INT((ROW()-1)/7)*57+MOD(ROW()-1,7)+50),"")</f>
        <v/>
      </c>
    </row>
    <row r="1687" spans="1:1" x14ac:dyDescent="0.25">
      <c r="A1687" t="str" cm="1">
        <f t="array" ref="A1687">IF(INDEX(CUEs!$A:$A,INT((ROW()-1)/7)*57+MOD(ROW()-1,7)+50)&lt;&gt;"","set "&amp;INDEX(CUEs!$A:$A,INT((ROW()-1)/7)*57+MOD(ROW()-1,7)+50)&amp;"=/ s "&amp;INDEX(CUEs!$B:$B,INT((ROW()-1)/7)*57+MOD(ROW()-1,7)+50),"")</f>
        <v/>
      </c>
    </row>
    <row r="1688" spans="1:1" x14ac:dyDescent="0.25">
      <c r="A1688" t="str" cm="1">
        <f t="array" ref="A1688">IF(INDEX(CUEs!$A:$A,INT((ROW()-1)/7)*57+MOD(ROW()-1,7)+50)&lt;&gt;"","set "&amp;INDEX(CUEs!$A:$A,INT((ROW()-1)/7)*57+MOD(ROW()-1,7)+50)&amp;"=/ s "&amp;INDEX(CUEs!$B:$B,INT((ROW()-1)/7)*57+MOD(ROW()-1,7)+50),"")</f>
        <v/>
      </c>
    </row>
    <row r="1689" spans="1:1" x14ac:dyDescent="0.25">
      <c r="A1689" t="str" cm="1">
        <f t="array" ref="A1689">IF(INDEX(CUEs!$A:$A,INT((ROW()-1)/7)*57+MOD(ROW()-1,7)+50)&lt;&gt;"","set "&amp;INDEX(CUEs!$A:$A,INT((ROW()-1)/7)*57+MOD(ROW()-1,7)+50)&amp;"=/ s "&amp;INDEX(CUEs!$B:$B,INT((ROW()-1)/7)*57+MOD(ROW()-1,7)+50),"")</f>
        <v/>
      </c>
    </row>
    <row r="1690" spans="1:1" x14ac:dyDescent="0.25">
      <c r="A1690" t="str" cm="1">
        <f t="array" ref="A1690">IF(INDEX(CUEs!$A:$A,INT((ROW()-1)/7)*57+MOD(ROW()-1,7)+50)&lt;&gt;"","set "&amp;INDEX(CUEs!$A:$A,INT((ROW()-1)/7)*57+MOD(ROW()-1,7)+50)&amp;"=/ s "&amp;INDEX(CUEs!$B:$B,INT((ROW()-1)/7)*57+MOD(ROW()-1,7)+50),"")</f>
        <v/>
      </c>
    </row>
    <row r="1691" spans="1:1" x14ac:dyDescent="0.25">
      <c r="A1691" t="str" cm="1">
        <f t="array" ref="A1691">IF(INDEX(CUEs!$A:$A,INT((ROW()-1)/7)*57+MOD(ROW()-1,7)+50)&lt;&gt;"","set "&amp;INDEX(CUEs!$A:$A,INT((ROW()-1)/7)*57+MOD(ROW()-1,7)+50)&amp;"=/ s "&amp;INDEX(CUEs!$B:$B,INT((ROW()-1)/7)*57+MOD(ROW()-1,7)+50),"")</f>
        <v/>
      </c>
    </row>
    <row r="1692" spans="1:1" x14ac:dyDescent="0.25">
      <c r="A1692" t="str" cm="1">
        <f t="array" ref="A1692">IF(INDEX(CUEs!$A:$A,INT((ROW()-1)/7)*57+MOD(ROW()-1,7)+50)&lt;&gt;"","set "&amp;INDEX(CUEs!$A:$A,INT((ROW()-1)/7)*57+MOD(ROW()-1,7)+50)&amp;"=/ s "&amp;INDEX(CUEs!$B:$B,INT((ROW()-1)/7)*57+MOD(ROW()-1,7)+50),"")</f>
        <v/>
      </c>
    </row>
    <row r="1693" spans="1:1" x14ac:dyDescent="0.25">
      <c r="A1693" t="str" cm="1">
        <f t="array" ref="A1693">IF(INDEX(CUEs!$A:$A,INT((ROW()-1)/7)*57+MOD(ROW()-1,7)+50)&lt;&gt;"","set "&amp;INDEX(CUEs!$A:$A,INT((ROW()-1)/7)*57+MOD(ROW()-1,7)+50)&amp;"=/ s "&amp;INDEX(CUEs!$B:$B,INT((ROW()-1)/7)*57+MOD(ROW()-1,7)+50),"")</f>
        <v/>
      </c>
    </row>
    <row r="1694" spans="1:1" x14ac:dyDescent="0.25">
      <c r="A1694" t="str" cm="1">
        <f t="array" ref="A1694">IF(INDEX(CUEs!$A:$A,INT((ROW()-1)/7)*57+MOD(ROW()-1,7)+50)&lt;&gt;"","set "&amp;INDEX(CUEs!$A:$A,INT((ROW()-1)/7)*57+MOD(ROW()-1,7)+50)&amp;"=/ s "&amp;INDEX(CUEs!$B:$B,INT((ROW()-1)/7)*57+MOD(ROW()-1,7)+50),"")</f>
        <v/>
      </c>
    </row>
    <row r="1695" spans="1:1" x14ac:dyDescent="0.25">
      <c r="A1695" t="str" cm="1">
        <f t="array" ref="A1695">IF(INDEX(CUEs!$A:$A,INT((ROW()-1)/7)*57+MOD(ROW()-1,7)+50)&lt;&gt;"","set "&amp;INDEX(CUEs!$A:$A,INT((ROW()-1)/7)*57+MOD(ROW()-1,7)+50)&amp;"=/ s "&amp;INDEX(CUEs!$B:$B,INT((ROW()-1)/7)*57+MOD(ROW()-1,7)+50),"")</f>
        <v/>
      </c>
    </row>
    <row r="1696" spans="1:1" x14ac:dyDescent="0.25">
      <c r="A1696" t="str" cm="1">
        <f t="array" ref="A1696">IF(INDEX(CUEs!$A:$A,INT((ROW()-1)/7)*57+MOD(ROW()-1,7)+50)&lt;&gt;"","set "&amp;INDEX(CUEs!$A:$A,INT((ROW()-1)/7)*57+MOD(ROW()-1,7)+50)&amp;"=/ s "&amp;INDEX(CUEs!$B:$B,INT((ROW()-1)/7)*57+MOD(ROW()-1,7)+50),"")</f>
        <v/>
      </c>
    </row>
    <row r="1697" spans="1:1" x14ac:dyDescent="0.25">
      <c r="A1697" t="str" cm="1">
        <f t="array" ref="A1697">IF(INDEX(CUEs!$A:$A,INT((ROW()-1)/7)*57+MOD(ROW()-1,7)+50)&lt;&gt;"","set "&amp;INDEX(CUEs!$A:$A,INT((ROW()-1)/7)*57+MOD(ROW()-1,7)+50)&amp;"=/ s "&amp;INDEX(CUEs!$B:$B,INT((ROW()-1)/7)*57+MOD(ROW()-1,7)+50),"")</f>
        <v/>
      </c>
    </row>
    <row r="1698" spans="1:1" x14ac:dyDescent="0.25">
      <c r="A1698" t="str" cm="1">
        <f t="array" ref="A1698">IF(INDEX(CUEs!$A:$A,INT((ROW()-1)/7)*57+MOD(ROW()-1,7)+50)&lt;&gt;"","set "&amp;INDEX(CUEs!$A:$A,INT((ROW()-1)/7)*57+MOD(ROW()-1,7)+50)&amp;"=/ s "&amp;INDEX(CUEs!$B:$B,INT((ROW()-1)/7)*57+MOD(ROW()-1,7)+50),"")</f>
        <v/>
      </c>
    </row>
    <row r="1699" spans="1:1" x14ac:dyDescent="0.25">
      <c r="A1699" t="str" cm="1">
        <f t="array" ref="A1699">IF(INDEX(CUEs!$A:$A,INT((ROW()-1)/7)*57+MOD(ROW()-1,7)+50)&lt;&gt;"","set "&amp;INDEX(CUEs!$A:$A,INT((ROW()-1)/7)*57+MOD(ROW()-1,7)+50)&amp;"=/ s "&amp;INDEX(CUEs!$B:$B,INT((ROW()-1)/7)*57+MOD(ROW()-1,7)+50),"")</f>
        <v/>
      </c>
    </row>
    <row r="1700" spans="1:1" x14ac:dyDescent="0.25">
      <c r="A1700" t="str" cm="1">
        <f t="array" ref="A1700">IF(INDEX(CUEs!$A:$A,INT((ROW()-1)/7)*57+MOD(ROW()-1,7)+50)&lt;&gt;"","set "&amp;INDEX(CUEs!$A:$A,INT((ROW()-1)/7)*57+MOD(ROW()-1,7)+50)&amp;"=/ s "&amp;INDEX(CUEs!$B:$B,INT((ROW()-1)/7)*57+MOD(ROW()-1,7)+50),"")</f>
        <v/>
      </c>
    </row>
    <row r="1701" spans="1:1" x14ac:dyDescent="0.25">
      <c r="A1701" t="str" cm="1">
        <f t="array" ref="A1701">IF(INDEX(CUEs!$A:$A,INT((ROW()-1)/7)*57+MOD(ROW()-1,7)+50)&lt;&gt;"","set "&amp;INDEX(CUEs!$A:$A,INT((ROW()-1)/7)*57+MOD(ROW()-1,7)+50)&amp;"=/ s "&amp;INDEX(CUEs!$B:$B,INT((ROW()-1)/7)*57+MOD(ROW()-1,7)+50),"")</f>
        <v/>
      </c>
    </row>
    <row r="1702" spans="1:1" x14ac:dyDescent="0.25">
      <c r="A1702" t="str" cm="1">
        <f t="array" ref="A1702">IF(INDEX(CUEs!$A:$A,INT((ROW()-1)/7)*57+MOD(ROW()-1,7)+50)&lt;&gt;"","set "&amp;INDEX(CUEs!$A:$A,INT((ROW()-1)/7)*57+MOD(ROW()-1,7)+50)&amp;"=/ s "&amp;INDEX(CUEs!$B:$B,INT((ROW()-1)/7)*57+MOD(ROW()-1,7)+50),"")</f>
        <v/>
      </c>
    </row>
    <row r="1703" spans="1:1" x14ac:dyDescent="0.25">
      <c r="A1703" t="str" cm="1">
        <f t="array" ref="A1703">IF(INDEX(CUEs!$A:$A,INT((ROW()-1)/7)*57+MOD(ROW()-1,7)+50)&lt;&gt;"","set "&amp;INDEX(CUEs!$A:$A,INT((ROW()-1)/7)*57+MOD(ROW()-1,7)+50)&amp;"=/ s "&amp;INDEX(CUEs!$B:$B,INT((ROW()-1)/7)*57+MOD(ROW()-1,7)+50),"")</f>
        <v/>
      </c>
    </row>
    <row r="1704" spans="1:1" x14ac:dyDescent="0.25">
      <c r="A1704" t="str" cm="1">
        <f t="array" ref="A1704">IF(INDEX(CUEs!$A:$A,INT((ROW()-1)/7)*57+MOD(ROW()-1,7)+50)&lt;&gt;"","set "&amp;INDEX(CUEs!$A:$A,INT((ROW()-1)/7)*57+MOD(ROW()-1,7)+50)&amp;"=/ s "&amp;INDEX(CUEs!$B:$B,INT((ROW()-1)/7)*57+MOD(ROW()-1,7)+50),"")</f>
        <v/>
      </c>
    </row>
    <row r="1705" spans="1:1" x14ac:dyDescent="0.25">
      <c r="A1705" t="str" cm="1">
        <f t="array" ref="A1705">IF(INDEX(CUEs!$A:$A,INT((ROW()-1)/7)*57+MOD(ROW()-1,7)+50)&lt;&gt;"","set "&amp;INDEX(CUEs!$A:$A,INT((ROW()-1)/7)*57+MOD(ROW()-1,7)+50)&amp;"=/ s "&amp;INDEX(CUEs!$B:$B,INT((ROW()-1)/7)*57+MOD(ROW()-1,7)+50),"")</f>
        <v/>
      </c>
    </row>
    <row r="1706" spans="1:1" x14ac:dyDescent="0.25">
      <c r="A1706" t="str" cm="1">
        <f t="array" ref="A1706">IF(INDEX(CUEs!$A:$A,INT((ROW()-1)/7)*57+MOD(ROW()-1,7)+50)&lt;&gt;"","set "&amp;INDEX(CUEs!$A:$A,INT((ROW()-1)/7)*57+MOD(ROW()-1,7)+50)&amp;"=/ s "&amp;INDEX(CUEs!$B:$B,INT((ROW()-1)/7)*57+MOD(ROW()-1,7)+50),"")</f>
        <v/>
      </c>
    </row>
    <row r="1707" spans="1:1" x14ac:dyDescent="0.25">
      <c r="A1707" t="str" cm="1">
        <f t="array" ref="A1707">IF(INDEX(CUEs!$A:$A,INT((ROW()-1)/7)*57+MOD(ROW()-1,7)+50)&lt;&gt;"","set "&amp;INDEX(CUEs!$A:$A,INT((ROW()-1)/7)*57+MOD(ROW()-1,7)+50)&amp;"=/ s "&amp;INDEX(CUEs!$B:$B,INT((ROW()-1)/7)*57+MOD(ROW()-1,7)+50),"")</f>
        <v/>
      </c>
    </row>
    <row r="1708" spans="1:1" x14ac:dyDescent="0.25">
      <c r="A1708" t="str" cm="1">
        <f t="array" ref="A1708">IF(INDEX(CUEs!$A:$A,INT((ROW()-1)/7)*57+MOD(ROW()-1,7)+50)&lt;&gt;"","set "&amp;INDEX(CUEs!$A:$A,INT((ROW()-1)/7)*57+MOD(ROW()-1,7)+50)&amp;"=/ s "&amp;INDEX(CUEs!$B:$B,INT((ROW()-1)/7)*57+MOD(ROW()-1,7)+50),"")</f>
        <v/>
      </c>
    </row>
    <row r="1709" spans="1:1" x14ac:dyDescent="0.25">
      <c r="A1709" t="str" cm="1">
        <f t="array" ref="A1709">IF(INDEX(CUEs!$A:$A,INT((ROW()-1)/7)*57+MOD(ROW()-1,7)+50)&lt;&gt;"","set "&amp;INDEX(CUEs!$A:$A,INT((ROW()-1)/7)*57+MOD(ROW()-1,7)+50)&amp;"=/ s "&amp;INDEX(CUEs!$B:$B,INT((ROW()-1)/7)*57+MOD(ROW()-1,7)+50),"")</f>
        <v/>
      </c>
    </row>
    <row r="1710" spans="1:1" x14ac:dyDescent="0.25">
      <c r="A1710" t="str" cm="1">
        <f t="array" ref="A1710">IF(INDEX(CUEs!$A:$A,INT((ROW()-1)/7)*57+MOD(ROW()-1,7)+50)&lt;&gt;"","set "&amp;INDEX(CUEs!$A:$A,INT((ROW()-1)/7)*57+MOD(ROW()-1,7)+50)&amp;"=/ s "&amp;INDEX(CUEs!$B:$B,INT((ROW()-1)/7)*57+MOD(ROW()-1,7)+50),"")</f>
        <v/>
      </c>
    </row>
    <row r="1711" spans="1:1" x14ac:dyDescent="0.25">
      <c r="A1711" t="str" cm="1">
        <f t="array" ref="A1711">IF(INDEX(CUEs!$A:$A,INT((ROW()-1)/7)*57+MOD(ROW()-1,7)+50)&lt;&gt;"","set "&amp;INDEX(CUEs!$A:$A,INT((ROW()-1)/7)*57+MOD(ROW()-1,7)+50)&amp;"=/ s "&amp;INDEX(CUEs!$B:$B,INT((ROW()-1)/7)*57+MOD(ROW()-1,7)+50),"")</f>
        <v/>
      </c>
    </row>
    <row r="1712" spans="1:1" x14ac:dyDescent="0.25">
      <c r="A1712" t="str" cm="1">
        <f t="array" ref="A1712">IF(INDEX(CUEs!$A:$A,INT((ROW()-1)/7)*57+MOD(ROW()-1,7)+50)&lt;&gt;"","set "&amp;INDEX(CUEs!$A:$A,INT((ROW()-1)/7)*57+MOD(ROW()-1,7)+50)&amp;"=/ s "&amp;INDEX(CUEs!$B:$B,INT((ROW()-1)/7)*57+MOD(ROW()-1,7)+50),"")</f>
        <v/>
      </c>
    </row>
    <row r="1713" spans="1:1" x14ac:dyDescent="0.25">
      <c r="A1713" t="str" cm="1">
        <f t="array" ref="A1713">IF(INDEX(CUEs!$A:$A,INT((ROW()-1)/7)*57+MOD(ROW()-1,7)+50)&lt;&gt;"","set "&amp;INDEX(CUEs!$A:$A,INT((ROW()-1)/7)*57+MOD(ROW()-1,7)+50)&amp;"=/ s "&amp;INDEX(CUEs!$B:$B,INT((ROW()-1)/7)*57+MOD(ROW()-1,7)+50),"")</f>
        <v/>
      </c>
    </row>
    <row r="1714" spans="1:1" x14ac:dyDescent="0.25">
      <c r="A1714" t="str" cm="1">
        <f t="array" ref="A1714">IF(INDEX(CUEs!$A:$A,INT((ROW()-1)/7)*57+MOD(ROW()-1,7)+50)&lt;&gt;"","set "&amp;INDEX(CUEs!$A:$A,INT((ROW()-1)/7)*57+MOD(ROW()-1,7)+50)&amp;"=/ s "&amp;INDEX(CUEs!$B:$B,INT((ROW()-1)/7)*57+MOD(ROW()-1,7)+50),"")</f>
        <v/>
      </c>
    </row>
    <row r="1715" spans="1:1" x14ac:dyDescent="0.25">
      <c r="A1715" t="str" cm="1">
        <f t="array" ref="A1715">IF(INDEX(CUEs!$A:$A,INT((ROW()-1)/7)*57+MOD(ROW()-1,7)+50)&lt;&gt;"","set "&amp;INDEX(CUEs!$A:$A,INT((ROW()-1)/7)*57+MOD(ROW()-1,7)+50)&amp;"=/ s "&amp;INDEX(CUEs!$B:$B,INT((ROW()-1)/7)*57+MOD(ROW()-1,7)+50),"")</f>
        <v/>
      </c>
    </row>
    <row r="1716" spans="1:1" x14ac:dyDescent="0.25">
      <c r="A1716" t="str" cm="1">
        <f t="array" ref="A1716">IF(INDEX(CUEs!$A:$A,INT((ROW()-1)/7)*57+MOD(ROW()-1,7)+50)&lt;&gt;"","set "&amp;INDEX(CUEs!$A:$A,INT((ROW()-1)/7)*57+MOD(ROW()-1,7)+50)&amp;"=/ s "&amp;INDEX(CUEs!$B:$B,INT((ROW()-1)/7)*57+MOD(ROW()-1,7)+50),"")</f>
        <v/>
      </c>
    </row>
    <row r="1717" spans="1:1" x14ac:dyDescent="0.25">
      <c r="A1717" t="str" cm="1">
        <f t="array" ref="A1717">IF(INDEX(CUEs!$A:$A,INT((ROW()-1)/7)*57+MOD(ROW()-1,7)+50)&lt;&gt;"","set "&amp;INDEX(CUEs!$A:$A,INT((ROW()-1)/7)*57+MOD(ROW()-1,7)+50)&amp;"=/ s "&amp;INDEX(CUEs!$B:$B,INT((ROW()-1)/7)*57+MOD(ROW()-1,7)+50),"")</f>
        <v/>
      </c>
    </row>
    <row r="1718" spans="1:1" x14ac:dyDescent="0.25">
      <c r="A1718" t="str" cm="1">
        <f t="array" ref="A1718">IF(INDEX(CUEs!$A:$A,INT((ROW()-1)/7)*57+MOD(ROW()-1,7)+50)&lt;&gt;"","set "&amp;INDEX(CUEs!$A:$A,INT((ROW()-1)/7)*57+MOD(ROW()-1,7)+50)&amp;"=/ s "&amp;INDEX(CUEs!$B:$B,INT((ROW()-1)/7)*57+MOD(ROW()-1,7)+50),"")</f>
        <v/>
      </c>
    </row>
    <row r="1719" spans="1:1" x14ac:dyDescent="0.25">
      <c r="A1719" t="str" cm="1">
        <f t="array" ref="A1719">IF(INDEX(CUEs!$A:$A,INT((ROW()-1)/7)*57+MOD(ROW()-1,7)+50)&lt;&gt;"","set "&amp;INDEX(CUEs!$A:$A,INT((ROW()-1)/7)*57+MOD(ROW()-1,7)+50)&amp;"=/ s "&amp;INDEX(CUEs!$B:$B,INT((ROW()-1)/7)*57+MOD(ROW()-1,7)+50),"")</f>
        <v/>
      </c>
    </row>
    <row r="1720" spans="1:1" x14ac:dyDescent="0.25">
      <c r="A1720" t="str" cm="1">
        <f t="array" ref="A1720">IF(INDEX(CUEs!$A:$A,INT((ROW()-1)/7)*57+MOD(ROW()-1,7)+50)&lt;&gt;"","set "&amp;INDEX(CUEs!$A:$A,INT((ROW()-1)/7)*57+MOD(ROW()-1,7)+50)&amp;"=/ s "&amp;INDEX(CUEs!$B:$B,INT((ROW()-1)/7)*57+MOD(ROW()-1,7)+50),"")</f>
        <v/>
      </c>
    </row>
    <row r="1721" spans="1:1" x14ac:dyDescent="0.25">
      <c r="A1721" t="str" cm="1">
        <f t="array" ref="A1721">IF(INDEX(CUEs!$A:$A,INT((ROW()-1)/7)*57+MOD(ROW()-1,7)+50)&lt;&gt;"","set "&amp;INDEX(CUEs!$A:$A,INT((ROW()-1)/7)*57+MOD(ROW()-1,7)+50)&amp;"=/ s "&amp;INDEX(CUEs!$B:$B,INT((ROW()-1)/7)*57+MOD(ROW()-1,7)+50),"")</f>
        <v/>
      </c>
    </row>
    <row r="1722" spans="1:1" x14ac:dyDescent="0.25">
      <c r="A1722" t="str" cm="1">
        <f t="array" ref="A1722">IF(INDEX(CUEs!$A:$A,INT((ROW()-1)/7)*57+MOD(ROW()-1,7)+50)&lt;&gt;"","set "&amp;INDEX(CUEs!$A:$A,INT((ROW()-1)/7)*57+MOD(ROW()-1,7)+50)&amp;"=/ s "&amp;INDEX(CUEs!$B:$B,INT((ROW()-1)/7)*57+MOD(ROW()-1,7)+50),"")</f>
        <v/>
      </c>
    </row>
    <row r="1723" spans="1:1" x14ac:dyDescent="0.25">
      <c r="A1723" t="str" cm="1">
        <f t="array" ref="A1723">IF(INDEX(CUEs!$A:$A,INT((ROW()-1)/7)*57+MOD(ROW()-1,7)+50)&lt;&gt;"","set "&amp;INDEX(CUEs!$A:$A,INT((ROW()-1)/7)*57+MOD(ROW()-1,7)+50)&amp;"=/ s "&amp;INDEX(CUEs!$B:$B,INT((ROW()-1)/7)*57+MOD(ROW()-1,7)+50),"")</f>
        <v/>
      </c>
    </row>
    <row r="1724" spans="1:1" x14ac:dyDescent="0.25">
      <c r="A1724" t="str" cm="1">
        <f t="array" ref="A1724">IF(INDEX(CUEs!$A:$A,INT((ROW()-1)/7)*57+MOD(ROW()-1,7)+50)&lt;&gt;"","set "&amp;INDEX(CUEs!$A:$A,INT((ROW()-1)/7)*57+MOD(ROW()-1,7)+50)&amp;"=/ s "&amp;INDEX(CUEs!$B:$B,INT((ROW()-1)/7)*57+MOD(ROW()-1,7)+50),"")</f>
        <v/>
      </c>
    </row>
    <row r="1725" spans="1:1" x14ac:dyDescent="0.25">
      <c r="A1725" t="str" cm="1">
        <f t="array" ref="A1725">IF(INDEX(CUEs!$A:$A,INT((ROW()-1)/7)*57+MOD(ROW()-1,7)+50)&lt;&gt;"","set "&amp;INDEX(CUEs!$A:$A,INT((ROW()-1)/7)*57+MOD(ROW()-1,7)+50)&amp;"=/ s "&amp;INDEX(CUEs!$B:$B,INT((ROW()-1)/7)*57+MOD(ROW()-1,7)+50),"")</f>
        <v/>
      </c>
    </row>
    <row r="1726" spans="1:1" x14ac:dyDescent="0.25">
      <c r="A1726" t="str" cm="1">
        <f t="array" ref="A1726">IF(INDEX(CUEs!$A:$A,INT((ROW()-1)/7)*57+MOD(ROW()-1,7)+50)&lt;&gt;"","set "&amp;INDEX(CUEs!$A:$A,INT((ROW()-1)/7)*57+MOD(ROW()-1,7)+50)&amp;"=/ s "&amp;INDEX(CUEs!$B:$B,INT((ROW()-1)/7)*57+MOD(ROW()-1,7)+50),"")</f>
        <v/>
      </c>
    </row>
    <row r="1727" spans="1:1" x14ac:dyDescent="0.25">
      <c r="A1727" t="str" cm="1">
        <f t="array" ref="A1727">IF(INDEX(CUEs!$A:$A,INT((ROW()-1)/7)*57+MOD(ROW()-1,7)+50)&lt;&gt;"","set "&amp;INDEX(CUEs!$A:$A,INT((ROW()-1)/7)*57+MOD(ROW()-1,7)+50)&amp;"=/ s "&amp;INDEX(CUEs!$B:$B,INT((ROW()-1)/7)*57+MOD(ROW()-1,7)+50),"")</f>
        <v/>
      </c>
    </row>
    <row r="1728" spans="1:1" x14ac:dyDescent="0.25">
      <c r="A1728" t="str" cm="1">
        <f t="array" ref="A1728">IF(INDEX(CUEs!$A:$A,INT((ROW()-1)/7)*57+MOD(ROW()-1,7)+50)&lt;&gt;"","set "&amp;INDEX(CUEs!$A:$A,INT((ROW()-1)/7)*57+MOD(ROW()-1,7)+50)&amp;"=/ s "&amp;INDEX(CUEs!$B:$B,INT((ROW()-1)/7)*57+MOD(ROW()-1,7)+50),"")</f>
        <v/>
      </c>
    </row>
    <row r="1729" spans="1:1" x14ac:dyDescent="0.25">
      <c r="A1729" t="str" cm="1">
        <f t="array" ref="A1729">IF(INDEX(CUEs!$A:$A,INT((ROW()-1)/7)*57+MOD(ROW()-1,7)+50)&lt;&gt;"","set "&amp;INDEX(CUEs!$A:$A,INT((ROW()-1)/7)*57+MOD(ROW()-1,7)+50)&amp;"=/ s "&amp;INDEX(CUEs!$B:$B,INT((ROW()-1)/7)*57+MOD(ROW()-1,7)+50),"")</f>
        <v/>
      </c>
    </row>
    <row r="1730" spans="1:1" x14ac:dyDescent="0.25">
      <c r="A1730" t="str" cm="1">
        <f t="array" ref="A1730">IF(INDEX(CUEs!$A:$A,INT((ROW()-1)/7)*57+MOD(ROW()-1,7)+50)&lt;&gt;"","set "&amp;INDEX(CUEs!$A:$A,INT((ROW()-1)/7)*57+MOD(ROW()-1,7)+50)&amp;"=/ s "&amp;INDEX(CUEs!$B:$B,INT((ROW()-1)/7)*57+MOD(ROW()-1,7)+50),"")</f>
        <v/>
      </c>
    </row>
    <row r="1731" spans="1:1" x14ac:dyDescent="0.25">
      <c r="A1731" t="str" cm="1">
        <f t="array" ref="A1731">IF(INDEX(CUEs!$A:$A,INT((ROW()-1)/7)*57+MOD(ROW()-1,7)+50)&lt;&gt;"","set "&amp;INDEX(CUEs!$A:$A,INT((ROW()-1)/7)*57+MOD(ROW()-1,7)+50)&amp;"=/ s "&amp;INDEX(CUEs!$B:$B,INT((ROW()-1)/7)*57+MOD(ROW()-1,7)+50),"")</f>
        <v/>
      </c>
    </row>
    <row r="1732" spans="1:1" x14ac:dyDescent="0.25">
      <c r="A1732" t="str" cm="1">
        <f t="array" ref="A1732">IF(INDEX(CUEs!$A:$A,INT((ROW()-1)/7)*57+MOD(ROW()-1,7)+50)&lt;&gt;"","set "&amp;INDEX(CUEs!$A:$A,INT((ROW()-1)/7)*57+MOD(ROW()-1,7)+50)&amp;"=/ s "&amp;INDEX(CUEs!$B:$B,INT((ROW()-1)/7)*57+MOD(ROW()-1,7)+50),"")</f>
        <v/>
      </c>
    </row>
    <row r="1733" spans="1:1" x14ac:dyDescent="0.25">
      <c r="A1733" t="str" cm="1">
        <f t="array" ref="A1733">IF(INDEX(CUEs!$A:$A,INT((ROW()-1)/7)*57+MOD(ROW()-1,7)+50)&lt;&gt;"","set "&amp;INDEX(CUEs!$A:$A,INT((ROW()-1)/7)*57+MOD(ROW()-1,7)+50)&amp;"=/ s "&amp;INDEX(CUEs!$B:$B,INT((ROW()-1)/7)*57+MOD(ROW()-1,7)+50),"")</f>
        <v/>
      </c>
    </row>
    <row r="1734" spans="1:1" x14ac:dyDescent="0.25">
      <c r="A1734" t="str" cm="1">
        <f t="array" ref="A1734">IF(INDEX(CUEs!$A:$A,INT((ROW()-1)/7)*57+MOD(ROW()-1,7)+50)&lt;&gt;"","set "&amp;INDEX(CUEs!$A:$A,INT((ROW()-1)/7)*57+MOD(ROW()-1,7)+50)&amp;"=/ s "&amp;INDEX(CUEs!$B:$B,INT((ROW()-1)/7)*57+MOD(ROW()-1,7)+50),"")</f>
        <v/>
      </c>
    </row>
    <row r="1735" spans="1:1" x14ac:dyDescent="0.25">
      <c r="A1735" t="str" cm="1">
        <f t="array" ref="A1735">IF(INDEX(CUEs!$A:$A,INT((ROW()-1)/7)*57+MOD(ROW()-1,7)+50)&lt;&gt;"","set "&amp;INDEX(CUEs!$A:$A,INT((ROW()-1)/7)*57+MOD(ROW()-1,7)+50)&amp;"=/ s "&amp;INDEX(CUEs!$B:$B,INT((ROW()-1)/7)*57+MOD(ROW()-1,7)+50),"")</f>
        <v/>
      </c>
    </row>
    <row r="1736" spans="1:1" x14ac:dyDescent="0.25">
      <c r="A1736" t="str" cm="1">
        <f t="array" ref="A1736">IF(INDEX(CUEs!$A:$A,INT((ROW()-1)/7)*57+MOD(ROW()-1,7)+50)&lt;&gt;"","set "&amp;INDEX(CUEs!$A:$A,INT((ROW()-1)/7)*57+MOD(ROW()-1,7)+50)&amp;"=/ s "&amp;INDEX(CUEs!$B:$B,INT((ROW()-1)/7)*57+MOD(ROW()-1,7)+50),"")</f>
        <v/>
      </c>
    </row>
    <row r="1737" spans="1:1" x14ac:dyDescent="0.25">
      <c r="A1737" t="str" cm="1">
        <f t="array" ref="A1737">IF(INDEX(CUEs!$A:$A,INT((ROW()-1)/7)*57+MOD(ROW()-1,7)+50)&lt;&gt;"","set "&amp;INDEX(CUEs!$A:$A,INT((ROW()-1)/7)*57+MOD(ROW()-1,7)+50)&amp;"=/ s "&amp;INDEX(CUEs!$B:$B,INT((ROW()-1)/7)*57+MOD(ROW()-1,7)+50),"")</f>
        <v/>
      </c>
    </row>
    <row r="1738" spans="1:1" x14ac:dyDescent="0.25">
      <c r="A1738" t="str" cm="1">
        <f t="array" ref="A1738">IF(INDEX(CUEs!$A:$A,INT((ROW()-1)/7)*57+MOD(ROW()-1,7)+50)&lt;&gt;"","set "&amp;INDEX(CUEs!$A:$A,INT((ROW()-1)/7)*57+MOD(ROW()-1,7)+50)&amp;"=/ s "&amp;INDEX(CUEs!$B:$B,INT((ROW()-1)/7)*57+MOD(ROW()-1,7)+50),"")</f>
        <v/>
      </c>
    </row>
    <row r="1739" spans="1:1" x14ac:dyDescent="0.25">
      <c r="A1739" t="str" cm="1">
        <f t="array" ref="A1739">IF(INDEX(CUEs!$A:$A,INT((ROW()-1)/7)*57+MOD(ROW()-1,7)+50)&lt;&gt;"","set "&amp;INDEX(CUEs!$A:$A,INT((ROW()-1)/7)*57+MOD(ROW()-1,7)+50)&amp;"=/ s "&amp;INDEX(CUEs!$B:$B,INT((ROW()-1)/7)*57+MOD(ROW()-1,7)+50),"")</f>
        <v/>
      </c>
    </row>
    <row r="1740" spans="1:1" x14ac:dyDescent="0.25">
      <c r="A1740" t="str" cm="1">
        <f t="array" ref="A1740">IF(INDEX(CUEs!$A:$A,INT((ROW()-1)/7)*57+MOD(ROW()-1,7)+50)&lt;&gt;"","set "&amp;INDEX(CUEs!$A:$A,INT((ROW()-1)/7)*57+MOD(ROW()-1,7)+50)&amp;"=/ s "&amp;INDEX(CUEs!$B:$B,INT((ROW()-1)/7)*57+MOD(ROW()-1,7)+50),"")</f>
        <v/>
      </c>
    </row>
    <row r="1741" spans="1:1" x14ac:dyDescent="0.25">
      <c r="A1741" t="str" cm="1">
        <f t="array" ref="A1741">IF(INDEX(CUEs!$A:$A,INT((ROW()-1)/7)*57+MOD(ROW()-1,7)+50)&lt;&gt;"","set "&amp;INDEX(CUEs!$A:$A,INT((ROW()-1)/7)*57+MOD(ROW()-1,7)+50)&amp;"=/ s "&amp;INDEX(CUEs!$B:$B,INT((ROW()-1)/7)*57+MOD(ROW()-1,7)+50),"")</f>
        <v/>
      </c>
    </row>
    <row r="1742" spans="1:1" x14ac:dyDescent="0.25">
      <c r="A1742" t="str" cm="1">
        <f t="array" ref="A1742">IF(INDEX(CUEs!$A:$A,INT((ROW()-1)/7)*57+MOD(ROW()-1,7)+50)&lt;&gt;"","set "&amp;INDEX(CUEs!$A:$A,INT((ROW()-1)/7)*57+MOD(ROW()-1,7)+50)&amp;"=/ s "&amp;INDEX(CUEs!$B:$B,INT((ROW()-1)/7)*57+MOD(ROW()-1,7)+50),"")</f>
        <v/>
      </c>
    </row>
    <row r="1743" spans="1:1" x14ac:dyDescent="0.25">
      <c r="A1743" t="str" cm="1">
        <f t="array" ref="A1743">IF(INDEX(CUEs!$A:$A,INT((ROW()-1)/7)*57+MOD(ROW()-1,7)+50)&lt;&gt;"","set "&amp;INDEX(CUEs!$A:$A,INT((ROW()-1)/7)*57+MOD(ROW()-1,7)+50)&amp;"=/ s "&amp;INDEX(CUEs!$B:$B,INT((ROW()-1)/7)*57+MOD(ROW()-1,7)+50),"")</f>
        <v/>
      </c>
    </row>
    <row r="1744" spans="1:1" x14ac:dyDescent="0.25">
      <c r="A1744" t="str" cm="1">
        <f t="array" ref="A1744">IF(INDEX(CUEs!$A:$A,INT((ROW()-1)/7)*57+MOD(ROW()-1,7)+50)&lt;&gt;"","set "&amp;INDEX(CUEs!$A:$A,INT((ROW()-1)/7)*57+MOD(ROW()-1,7)+50)&amp;"=/ s "&amp;INDEX(CUEs!$B:$B,INT((ROW()-1)/7)*57+MOD(ROW()-1,7)+50),"")</f>
        <v/>
      </c>
    </row>
    <row r="1745" spans="1:1" x14ac:dyDescent="0.25">
      <c r="A1745" t="str" cm="1">
        <f t="array" ref="A1745">IF(INDEX(CUEs!$A:$A,INT((ROW()-1)/7)*57+MOD(ROW()-1,7)+50)&lt;&gt;"","set "&amp;INDEX(CUEs!$A:$A,INT((ROW()-1)/7)*57+MOD(ROW()-1,7)+50)&amp;"=/ s "&amp;INDEX(CUEs!$B:$B,INT((ROW()-1)/7)*57+MOD(ROW()-1,7)+50),"")</f>
        <v/>
      </c>
    </row>
    <row r="1746" spans="1:1" x14ac:dyDescent="0.25">
      <c r="A1746" t="str" cm="1">
        <f t="array" ref="A1746">IF(INDEX(CUEs!$A:$A,INT((ROW()-1)/7)*57+MOD(ROW()-1,7)+50)&lt;&gt;"","set "&amp;INDEX(CUEs!$A:$A,INT((ROW()-1)/7)*57+MOD(ROW()-1,7)+50)&amp;"=/ s "&amp;INDEX(CUEs!$B:$B,INT((ROW()-1)/7)*57+MOD(ROW()-1,7)+50),"")</f>
        <v/>
      </c>
    </row>
    <row r="1747" spans="1:1" x14ac:dyDescent="0.25">
      <c r="A1747" t="str" cm="1">
        <f t="array" ref="A1747">IF(INDEX(CUEs!$A:$A,INT((ROW()-1)/7)*57+MOD(ROW()-1,7)+50)&lt;&gt;"","set "&amp;INDEX(CUEs!$A:$A,INT((ROW()-1)/7)*57+MOD(ROW()-1,7)+50)&amp;"=/ s "&amp;INDEX(CUEs!$B:$B,INT((ROW()-1)/7)*57+MOD(ROW()-1,7)+50),"")</f>
        <v/>
      </c>
    </row>
    <row r="1748" spans="1:1" x14ac:dyDescent="0.25">
      <c r="A1748" t="str" cm="1">
        <f t="array" ref="A1748">IF(INDEX(CUEs!$A:$A,INT((ROW()-1)/7)*57+MOD(ROW()-1,7)+50)&lt;&gt;"","set "&amp;INDEX(CUEs!$A:$A,INT((ROW()-1)/7)*57+MOD(ROW()-1,7)+50)&amp;"=/ s "&amp;INDEX(CUEs!$B:$B,INT((ROW()-1)/7)*57+MOD(ROW()-1,7)+50),"")</f>
        <v/>
      </c>
    </row>
    <row r="1749" spans="1:1" x14ac:dyDescent="0.25">
      <c r="A1749" t="str" cm="1">
        <f t="array" ref="A1749">IF(INDEX(CUEs!$A:$A,INT((ROW()-1)/7)*57+MOD(ROW()-1,7)+50)&lt;&gt;"","set "&amp;INDEX(CUEs!$A:$A,INT((ROW()-1)/7)*57+MOD(ROW()-1,7)+50)&amp;"=/ s "&amp;INDEX(CUEs!$B:$B,INT((ROW()-1)/7)*57+MOD(ROW()-1,7)+50),"")</f>
        <v/>
      </c>
    </row>
    <row r="1750" spans="1:1" x14ac:dyDescent="0.25">
      <c r="A1750" t="str" cm="1">
        <f t="array" ref="A1750">IF(INDEX(CUEs!$A:$A,INT((ROW()-1)/7)*57+MOD(ROW()-1,7)+50)&lt;&gt;"","set "&amp;INDEX(CUEs!$A:$A,INT((ROW()-1)/7)*57+MOD(ROW()-1,7)+50)&amp;"=/ s "&amp;INDEX(CUEs!$B:$B,INT((ROW()-1)/7)*57+MOD(ROW()-1,7)+50),"")</f>
        <v/>
      </c>
    </row>
    <row r="1751" spans="1:1" x14ac:dyDescent="0.25">
      <c r="A1751" t="str" cm="1">
        <f t="array" ref="A1751">IF(INDEX(CUEs!$A:$A,INT((ROW()-1)/7)*57+MOD(ROW()-1,7)+50)&lt;&gt;"","set "&amp;INDEX(CUEs!$A:$A,INT((ROW()-1)/7)*57+MOD(ROW()-1,7)+50)&amp;"=/ s "&amp;INDEX(CUEs!$B:$B,INT((ROW()-1)/7)*57+MOD(ROW()-1,7)+50),"")</f>
        <v/>
      </c>
    </row>
    <row r="1752" spans="1:1" x14ac:dyDescent="0.25">
      <c r="A1752" t="str" cm="1">
        <f t="array" ref="A1752">IF(INDEX(CUEs!$A:$A,INT((ROW()-1)/7)*57+MOD(ROW()-1,7)+50)&lt;&gt;"","set "&amp;INDEX(CUEs!$A:$A,INT((ROW()-1)/7)*57+MOD(ROW()-1,7)+50)&amp;"=/ s "&amp;INDEX(CUEs!$B:$B,INT((ROW()-1)/7)*57+MOD(ROW()-1,7)+50),"")</f>
        <v/>
      </c>
    </row>
    <row r="1753" spans="1:1" x14ac:dyDescent="0.25">
      <c r="A1753" t="str" cm="1">
        <f t="array" ref="A1753">IF(INDEX(CUEs!$A:$A,INT((ROW()-1)/7)*57+MOD(ROW()-1,7)+50)&lt;&gt;"","set "&amp;INDEX(CUEs!$A:$A,INT((ROW()-1)/7)*57+MOD(ROW()-1,7)+50)&amp;"=/ s "&amp;INDEX(CUEs!$B:$B,INT((ROW()-1)/7)*57+MOD(ROW()-1,7)+50),"")</f>
        <v/>
      </c>
    </row>
    <row r="1754" spans="1:1" x14ac:dyDescent="0.25">
      <c r="A1754" t="str" cm="1">
        <f t="array" ref="A1754">IF(INDEX(CUEs!$A:$A,INT((ROW()-1)/7)*57+MOD(ROW()-1,7)+50)&lt;&gt;"","set "&amp;INDEX(CUEs!$A:$A,INT((ROW()-1)/7)*57+MOD(ROW()-1,7)+50)&amp;"=/ s "&amp;INDEX(CUEs!$B:$B,INT((ROW()-1)/7)*57+MOD(ROW()-1,7)+50),"")</f>
        <v/>
      </c>
    </row>
    <row r="1755" spans="1:1" x14ac:dyDescent="0.25">
      <c r="A1755" t="str" cm="1">
        <f t="array" ref="A1755">IF(INDEX(CUEs!$A:$A,INT((ROW()-1)/7)*57+MOD(ROW()-1,7)+50)&lt;&gt;"","set "&amp;INDEX(CUEs!$A:$A,INT((ROW()-1)/7)*57+MOD(ROW()-1,7)+50)&amp;"=/ s "&amp;INDEX(CUEs!$B:$B,INT((ROW()-1)/7)*57+MOD(ROW()-1,7)+50),"")</f>
        <v/>
      </c>
    </row>
    <row r="1756" spans="1:1" x14ac:dyDescent="0.25">
      <c r="A1756" t="str" cm="1">
        <f t="array" ref="A1756">IF(INDEX(CUEs!$A:$A,INT((ROW()-1)/7)*57+MOD(ROW()-1,7)+50)&lt;&gt;"","set "&amp;INDEX(CUEs!$A:$A,INT((ROW()-1)/7)*57+MOD(ROW()-1,7)+50)&amp;"=/ s "&amp;INDEX(CUEs!$B:$B,INT((ROW()-1)/7)*57+MOD(ROW()-1,7)+50),"")</f>
        <v/>
      </c>
    </row>
    <row r="1757" spans="1:1" x14ac:dyDescent="0.25">
      <c r="A1757" t="str" cm="1">
        <f t="array" ref="A1757">IF(INDEX(CUEs!$A:$A,INT((ROW()-1)/7)*57+MOD(ROW()-1,7)+50)&lt;&gt;"","set "&amp;INDEX(CUEs!$A:$A,INT((ROW()-1)/7)*57+MOD(ROW()-1,7)+50)&amp;"=/ s "&amp;INDEX(CUEs!$B:$B,INT((ROW()-1)/7)*57+MOD(ROW()-1,7)+50),"")</f>
        <v/>
      </c>
    </row>
    <row r="1758" spans="1:1" x14ac:dyDescent="0.25">
      <c r="A1758" t="str" cm="1">
        <f t="array" ref="A1758">IF(INDEX(CUEs!$A:$A,INT((ROW()-1)/7)*57+MOD(ROW()-1,7)+50)&lt;&gt;"","set "&amp;INDEX(CUEs!$A:$A,INT((ROW()-1)/7)*57+MOD(ROW()-1,7)+50)&amp;"=/ s "&amp;INDEX(CUEs!$B:$B,INT((ROW()-1)/7)*57+MOD(ROW()-1,7)+50),"")</f>
        <v/>
      </c>
    </row>
    <row r="1759" spans="1:1" x14ac:dyDescent="0.25">
      <c r="A1759" t="str" cm="1">
        <f t="array" ref="A1759">IF(INDEX(CUEs!$A:$A,INT((ROW()-1)/7)*57+MOD(ROW()-1,7)+50)&lt;&gt;"","set "&amp;INDEX(CUEs!$A:$A,INT((ROW()-1)/7)*57+MOD(ROW()-1,7)+50)&amp;"=/ s "&amp;INDEX(CUEs!$B:$B,INT((ROW()-1)/7)*57+MOD(ROW()-1,7)+50),"")</f>
        <v/>
      </c>
    </row>
    <row r="1760" spans="1:1" x14ac:dyDescent="0.25">
      <c r="A1760" t="str" cm="1">
        <f t="array" ref="A1760">IF(INDEX(CUEs!$A:$A,INT((ROW()-1)/7)*57+MOD(ROW()-1,7)+50)&lt;&gt;"","set "&amp;INDEX(CUEs!$A:$A,INT((ROW()-1)/7)*57+MOD(ROW()-1,7)+50)&amp;"=/ s "&amp;INDEX(CUEs!$B:$B,INT((ROW()-1)/7)*57+MOD(ROW()-1,7)+50),"")</f>
        <v/>
      </c>
    </row>
    <row r="1761" spans="1:1" x14ac:dyDescent="0.25">
      <c r="A1761" t="str" cm="1">
        <f t="array" ref="A1761">IF(INDEX(CUEs!$A:$A,INT((ROW()-1)/7)*57+MOD(ROW()-1,7)+50)&lt;&gt;"","set "&amp;INDEX(CUEs!$A:$A,INT((ROW()-1)/7)*57+MOD(ROW()-1,7)+50)&amp;"=/ s "&amp;INDEX(CUEs!$B:$B,INT((ROW()-1)/7)*57+MOD(ROW()-1,7)+50),"")</f>
        <v/>
      </c>
    </row>
    <row r="1762" spans="1:1" x14ac:dyDescent="0.25">
      <c r="A1762" t="str" cm="1">
        <f t="array" ref="A1762">IF(INDEX(CUEs!$A:$A,INT((ROW()-1)/7)*57+MOD(ROW()-1,7)+50)&lt;&gt;"","set "&amp;INDEX(CUEs!$A:$A,INT((ROW()-1)/7)*57+MOD(ROW()-1,7)+50)&amp;"=/ s "&amp;INDEX(CUEs!$B:$B,INT((ROW()-1)/7)*57+MOD(ROW()-1,7)+50),"")</f>
        <v/>
      </c>
    </row>
    <row r="1763" spans="1:1" x14ac:dyDescent="0.25">
      <c r="A1763" t="str" cm="1">
        <f t="array" ref="A1763">IF(INDEX(CUEs!$A:$A,INT((ROW()-1)/7)*57+MOD(ROW()-1,7)+50)&lt;&gt;"","set "&amp;INDEX(CUEs!$A:$A,INT((ROW()-1)/7)*57+MOD(ROW()-1,7)+50)&amp;"=/ s "&amp;INDEX(CUEs!$B:$B,INT((ROW()-1)/7)*57+MOD(ROW()-1,7)+50),"")</f>
        <v/>
      </c>
    </row>
    <row r="1764" spans="1:1" x14ac:dyDescent="0.25">
      <c r="A1764" t="str" cm="1">
        <f t="array" ref="A1764">IF(INDEX(CUEs!$A:$A,INT((ROW()-1)/7)*57+MOD(ROW()-1,7)+50)&lt;&gt;"","set "&amp;INDEX(CUEs!$A:$A,INT((ROW()-1)/7)*57+MOD(ROW()-1,7)+50)&amp;"=/ s "&amp;INDEX(CUEs!$B:$B,INT((ROW()-1)/7)*57+MOD(ROW()-1,7)+50),"")</f>
        <v/>
      </c>
    </row>
    <row r="1765" spans="1:1" x14ac:dyDescent="0.25">
      <c r="A1765" t="str" cm="1">
        <f t="array" ref="A1765">IF(INDEX(CUEs!$A:$A,INT((ROW()-1)/7)*57+MOD(ROW()-1,7)+50)&lt;&gt;"","set "&amp;INDEX(CUEs!$A:$A,INT((ROW()-1)/7)*57+MOD(ROW()-1,7)+50)&amp;"=/ s "&amp;INDEX(CUEs!$B:$B,INT((ROW()-1)/7)*57+MOD(ROW()-1,7)+50),"")</f>
        <v/>
      </c>
    </row>
    <row r="1766" spans="1:1" x14ac:dyDescent="0.25">
      <c r="A1766" t="str" cm="1">
        <f t="array" ref="A1766">IF(INDEX(CUEs!$A:$A,INT((ROW()-1)/7)*57+MOD(ROW()-1,7)+50)&lt;&gt;"","set "&amp;INDEX(CUEs!$A:$A,INT((ROW()-1)/7)*57+MOD(ROW()-1,7)+50)&amp;"=/ s "&amp;INDEX(CUEs!$B:$B,INT((ROW()-1)/7)*57+MOD(ROW()-1,7)+50),"")</f>
        <v/>
      </c>
    </row>
    <row r="1767" spans="1:1" x14ac:dyDescent="0.25">
      <c r="A1767" t="str" cm="1">
        <f t="array" ref="A1767">IF(INDEX(CUEs!$A:$A,INT((ROW()-1)/7)*57+MOD(ROW()-1,7)+50)&lt;&gt;"","set "&amp;INDEX(CUEs!$A:$A,INT((ROW()-1)/7)*57+MOD(ROW()-1,7)+50)&amp;"=/ s "&amp;INDEX(CUEs!$B:$B,INT((ROW()-1)/7)*57+MOD(ROW()-1,7)+50),"")</f>
        <v/>
      </c>
    </row>
    <row r="1768" spans="1:1" x14ac:dyDescent="0.25">
      <c r="A1768" t="str" cm="1">
        <f t="array" ref="A1768">IF(INDEX(CUEs!$A:$A,INT((ROW()-1)/7)*57+MOD(ROW()-1,7)+50)&lt;&gt;"","set "&amp;INDEX(CUEs!$A:$A,INT((ROW()-1)/7)*57+MOD(ROW()-1,7)+50)&amp;"=/ s "&amp;INDEX(CUEs!$B:$B,INT((ROW()-1)/7)*57+MOD(ROW()-1,7)+50),"")</f>
        <v/>
      </c>
    </row>
    <row r="1769" spans="1:1" x14ac:dyDescent="0.25">
      <c r="A1769" t="str" cm="1">
        <f t="array" ref="A1769">IF(INDEX(CUEs!$A:$A,INT((ROW()-1)/7)*57+MOD(ROW()-1,7)+50)&lt;&gt;"","set "&amp;INDEX(CUEs!$A:$A,INT((ROW()-1)/7)*57+MOD(ROW()-1,7)+50)&amp;"=/ s "&amp;INDEX(CUEs!$B:$B,INT((ROW()-1)/7)*57+MOD(ROW()-1,7)+50),"")</f>
        <v/>
      </c>
    </row>
    <row r="1770" spans="1:1" x14ac:dyDescent="0.25">
      <c r="A1770" t="str" cm="1">
        <f t="array" ref="A1770">IF(INDEX(CUEs!$A:$A,INT((ROW()-1)/7)*57+MOD(ROW()-1,7)+50)&lt;&gt;"","set "&amp;INDEX(CUEs!$A:$A,INT((ROW()-1)/7)*57+MOD(ROW()-1,7)+50)&amp;"=/ s "&amp;INDEX(CUEs!$B:$B,INT((ROW()-1)/7)*57+MOD(ROW()-1,7)+50),"")</f>
        <v/>
      </c>
    </row>
    <row r="1771" spans="1:1" x14ac:dyDescent="0.25">
      <c r="A1771" t="str" cm="1">
        <f t="array" ref="A1771">IF(INDEX(CUEs!$A:$A,INT((ROW()-1)/7)*57+MOD(ROW()-1,7)+50)&lt;&gt;"","set "&amp;INDEX(CUEs!$A:$A,INT((ROW()-1)/7)*57+MOD(ROW()-1,7)+50)&amp;"=/ s "&amp;INDEX(CUEs!$B:$B,INT((ROW()-1)/7)*57+MOD(ROW()-1,7)+50),"")</f>
        <v/>
      </c>
    </row>
    <row r="1772" spans="1:1" x14ac:dyDescent="0.25">
      <c r="A1772" t="str" cm="1">
        <f t="array" ref="A1772">IF(INDEX(CUEs!$A:$A,INT((ROW()-1)/7)*57+MOD(ROW()-1,7)+50)&lt;&gt;"","set "&amp;INDEX(CUEs!$A:$A,INT((ROW()-1)/7)*57+MOD(ROW()-1,7)+50)&amp;"=/ s "&amp;INDEX(CUEs!$B:$B,INT((ROW()-1)/7)*57+MOD(ROW()-1,7)+50),"")</f>
        <v/>
      </c>
    </row>
    <row r="1773" spans="1:1" x14ac:dyDescent="0.25">
      <c r="A1773" t="str" cm="1">
        <f t="array" ref="A1773">IF(INDEX(CUEs!$A:$A,INT((ROW()-1)/7)*57+MOD(ROW()-1,7)+50)&lt;&gt;"","set "&amp;INDEX(CUEs!$A:$A,INT((ROW()-1)/7)*57+MOD(ROW()-1,7)+50)&amp;"=/ s "&amp;INDEX(CUEs!$B:$B,INT((ROW()-1)/7)*57+MOD(ROW()-1,7)+50),"")</f>
        <v/>
      </c>
    </row>
    <row r="1774" spans="1:1" x14ac:dyDescent="0.25">
      <c r="A1774" t="str" cm="1">
        <f t="array" ref="A1774">IF(INDEX(CUEs!$A:$A,INT((ROW()-1)/7)*57+MOD(ROW()-1,7)+50)&lt;&gt;"","set "&amp;INDEX(CUEs!$A:$A,INT((ROW()-1)/7)*57+MOD(ROW()-1,7)+50)&amp;"=/ s "&amp;INDEX(CUEs!$B:$B,INT((ROW()-1)/7)*57+MOD(ROW()-1,7)+50),"")</f>
        <v/>
      </c>
    </row>
    <row r="1775" spans="1:1" x14ac:dyDescent="0.25">
      <c r="A1775" t="str" cm="1">
        <f t="array" ref="A1775">IF(INDEX(CUEs!$A:$A,INT((ROW()-1)/7)*57+MOD(ROW()-1,7)+50)&lt;&gt;"","set "&amp;INDEX(CUEs!$A:$A,INT((ROW()-1)/7)*57+MOD(ROW()-1,7)+50)&amp;"=/ s "&amp;INDEX(CUEs!$B:$B,INT((ROW()-1)/7)*57+MOD(ROW()-1,7)+50),"")</f>
        <v/>
      </c>
    </row>
    <row r="1776" spans="1:1" x14ac:dyDescent="0.25">
      <c r="A1776" t="str" cm="1">
        <f t="array" ref="A1776">IF(INDEX(CUEs!$A:$A,INT((ROW()-1)/7)*57+MOD(ROW()-1,7)+50)&lt;&gt;"","set "&amp;INDEX(CUEs!$A:$A,INT((ROW()-1)/7)*57+MOD(ROW()-1,7)+50)&amp;"=/ s "&amp;INDEX(CUEs!$B:$B,INT((ROW()-1)/7)*57+MOD(ROW()-1,7)+50),"")</f>
        <v/>
      </c>
    </row>
    <row r="1777" spans="1:1" x14ac:dyDescent="0.25">
      <c r="A1777" t="str" cm="1">
        <f t="array" ref="A1777">IF(INDEX(CUEs!$A:$A,INT((ROW()-1)/7)*57+MOD(ROW()-1,7)+50)&lt;&gt;"","set "&amp;INDEX(CUEs!$A:$A,INT((ROW()-1)/7)*57+MOD(ROW()-1,7)+50)&amp;"=/ s "&amp;INDEX(CUEs!$B:$B,INT((ROW()-1)/7)*57+MOD(ROW()-1,7)+50),"")</f>
        <v/>
      </c>
    </row>
    <row r="1778" spans="1:1" x14ac:dyDescent="0.25">
      <c r="A1778" t="str" cm="1">
        <f t="array" ref="A1778">IF(INDEX(CUEs!$A:$A,INT((ROW()-1)/7)*57+MOD(ROW()-1,7)+50)&lt;&gt;"","set "&amp;INDEX(CUEs!$A:$A,INT((ROW()-1)/7)*57+MOD(ROW()-1,7)+50)&amp;"=/ s "&amp;INDEX(CUEs!$B:$B,INT((ROW()-1)/7)*57+MOD(ROW()-1,7)+50),"")</f>
        <v/>
      </c>
    </row>
    <row r="1779" spans="1:1" x14ac:dyDescent="0.25">
      <c r="A1779" t="str" cm="1">
        <f t="array" ref="A1779">IF(INDEX(CUEs!$A:$A,INT((ROW()-1)/7)*57+MOD(ROW()-1,7)+50)&lt;&gt;"","set "&amp;INDEX(CUEs!$A:$A,INT((ROW()-1)/7)*57+MOD(ROW()-1,7)+50)&amp;"=/ s "&amp;INDEX(CUEs!$B:$B,INT((ROW()-1)/7)*57+MOD(ROW()-1,7)+50),"")</f>
        <v/>
      </c>
    </row>
    <row r="1780" spans="1:1" x14ac:dyDescent="0.25">
      <c r="A1780" t="str" cm="1">
        <f t="array" ref="A1780">IF(INDEX(CUEs!$A:$A,INT((ROW()-1)/7)*57+MOD(ROW()-1,7)+50)&lt;&gt;"","set "&amp;INDEX(CUEs!$A:$A,INT((ROW()-1)/7)*57+MOD(ROW()-1,7)+50)&amp;"=/ s "&amp;INDEX(CUEs!$B:$B,INT((ROW()-1)/7)*57+MOD(ROW()-1,7)+50),"")</f>
        <v/>
      </c>
    </row>
    <row r="1781" spans="1:1" x14ac:dyDescent="0.25">
      <c r="A1781" t="str" cm="1">
        <f t="array" ref="A1781">IF(INDEX(CUEs!$A:$A,INT((ROW()-1)/7)*57+MOD(ROW()-1,7)+50)&lt;&gt;"","set "&amp;INDEX(CUEs!$A:$A,INT((ROW()-1)/7)*57+MOD(ROW()-1,7)+50)&amp;"=/ s "&amp;INDEX(CUEs!$B:$B,INT((ROW()-1)/7)*57+MOD(ROW()-1,7)+50),"")</f>
        <v/>
      </c>
    </row>
    <row r="1782" spans="1:1" x14ac:dyDescent="0.25">
      <c r="A1782" t="str" cm="1">
        <f t="array" ref="A1782">IF(INDEX(CUEs!$A:$A,INT((ROW()-1)/7)*57+MOD(ROW()-1,7)+50)&lt;&gt;"","set "&amp;INDEX(CUEs!$A:$A,INT((ROW()-1)/7)*57+MOD(ROW()-1,7)+50)&amp;"=/ s "&amp;INDEX(CUEs!$B:$B,INT((ROW()-1)/7)*57+MOD(ROW()-1,7)+50),"")</f>
        <v/>
      </c>
    </row>
    <row r="1783" spans="1:1" x14ac:dyDescent="0.25">
      <c r="A1783" t="str" cm="1">
        <f t="array" ref="A1783">IF(INDEX(CUEs!$A:$A,INT((ROW()-1)/7)*57+MOD(ROW()-1,7)+50)&lt;&gt;"","set "&amp;INDEX(CUEs!$A:$A,INT((ROW()-1)/7)*57+MOD(ROW()-1,7)+50)&amp;"=/ s "&amp;INDEX(CUEs!$B:$B,INT((ROW()-1)/7)*57+MOD(ROW()-1,7)+50),"")</f>
        <v/>
      </c>
    </row>
    <row r="1784" spans="1:1" x14ac:dyDescent="0.25">
      <c r="A1784" t="str" cm="1">
        <f t="array" ref="A1784">IF(INDEX(CUEs!$A:$A,INT((ROW()-1)/7)*57+MOD(ROW()-1,7)+50)&lt;&gt;"","set "&amp;INDEX(CUEs!$A:$A,INT((ROW()-1)/7)*57+MOD(ROW()-1,7)+50)&amp;"=/ s "&amp;INDEX(CUEs!$B:$B,INT((ROW()-1)/7)*57+MOD(ROW()-1,7)+50),"")</f>
        <v/>
      </c>
    </row>
    <row r="1785" spans="1:1" x14ac:dyDescent="0.25">
      <c r="A1785" t="str" cm="1">
        <f t="array" ref="A1785">IF(INDEX(CUEs!$A:$A,INT((ROW()-1)/7)*57+MOD(ROW()-1,7)+50)&lt;&gt;"","set "&amp;INDEX(CUEs!$A:$A,INT((ROW()-1)/7)*57+MOD(ROW()-1,7)+50)&amp;"=/ s "&amp;INDEX(CUEs!$B:$B,INT((ROW()-1)/7)*57+MOD(ROW()-1,7)+50),"")</f>
        <v/>
      </c>
    </row>
    <row r="1786" spans="1:1" x14ac:dyDescent="0.25">
      <c r="A1786" t="str" cm="1">
        <f t="array" ref="A1786">IF(INDEX(CUEs!$A:$A,INT((ROW()-1)/7)*57+MOD(ROW()-1,7)+50)&lt;&gt;"","set "&amp;INDEX(CUEs!$A:$A,INT((ROW()-1)/7)*57+MOD(ROW()-1,7)+50)&amp;"=/ s "&amp;INDEX(CUEs!$B:$B,INT((ROW()-1)/7)*57+MOD(ROW()-1,7)+50),"")</f>
        <v/>
      </c>
    </row>
    <row r="1787" spans="1:1" x14ac:dyDescent="0.25">
      <c r="A1787" t="str" cm="1">
        <f t="array" ref="A1787">IF(INDEX(CUEs!$A:$A,INT((ROW()-1)/7)*57+MOD(ROW()-1,7)+50)&lt;&gt;"","set "&amp;INDEX(CUEs!$A:$A,INT((ROW()-1)/7)*57+MOD(ROW()-1,7)+50)&amp;"=/ s "&amp;INDEX(CUEs!$B:$B,INT((ROW()-1)/7)*57+MOD(ROW()-1,7)+50),"")</f>
        <v/>
      </c>
    </row>
    <row r="1788" spans="1:1" x14ac:dyDescent="0.25">
      <c r="A1788" t="str" cm="1">
        <f t="array" ref="A1788">IF(INDEX(CUEs!$A:$A,INT((ROW()-1)/7)*57+MOD(ROW()-1,7)+50)&lt;&gt;"","set "&amp;INDEX(CUEs!$A:$A,INT((ROW()-1)/7)*57+MOD(ROW()-1,7)+50)&amp;"=/ s "&amp;INDEX(CUEs!$B:$B,INT((ROW()-1)/7)*57+MOD(ROW()-1,7)+50),"")</f>
        <v/>
      </c>
    </row>
    <row r="1789" spans="1:1" x14ac:dyDescent="0.25">
      <c r="A1789" t="str" cm="1">
        <f t="array" ref="A1789">IF(INDEX(CUEs!$A:$A,INT((ROW()-1)/7)*57+MOD(ROW()-1,7)+50)&lt;&gt;"","set "&amp;INDEX(CUEs!$A:$A,INT((ROW()-1)/7)*57+MOD(ROW()-1,7)+50)&amp;"=/ s "&amp;INDEX(CUEs!$B:$B,INT((ROW()-1)/7)*57+MOD(ROW()-1,7)+50),"")</f>
        <v/>
      </c>
    </row>
    <row r="1790" spans="1:1" x14ac:dyDescent="0.25">
      <c r="A1790" t="str" cm="1">
        <f t="array" ref="A1790">IF(INDEX(CUEs!$A:$A,INT((ROW()-1)/7)*57+MOD(ROW()-1,7)+50)&lt;&gt;"","set "&amp;INDEX(CUEs!$A:$A,INT((ROW()-1)/7)*57+MOD(ROW()-1,7)+50)&amp;"=/ s "&amp;INDEX(CUEs!$B:$B,INT((ROW()-1)/7)*57+MOD(ROW()-1,7)+50),"")</f>
        <v/>
      </c>
    </row>
    <row r="1791" spans="1:1" x14ac:dyDescent="0.25">
      <c r="A1791" t="str" cm="1">
        <f t="array" ref="A1791">IF(INDEX(CUEs!$A:$A,INT((ROW()-1)/7)*57+MOD(ROW()-1,7)+50)&lt;&gt;"","set "&amp;INDEX(CUEs!$A:$A,INT((ROW()-1)/7)*57+MOD(ROW()-1,7)+50)&amp;"=/ s "&amp;INDEX(CUEs!$B:$B,INT((ROW()-1)/7)*57+MOD(ROW()-1,7)+50),"")</f>
        <v/>
      </c>
    </row>
    <row r="1792" spans="1:1" x14ac:dyDescent="0.25">
      <c r="A1792" t="str" cm="1">
        <f t="array" ref="A1792">IF(INDEX(CUEs!$A:$A,INT((ROW()-1)/7)*57+MOD(ROW()-1,7)+50)&lt;&gt;"","set "&amp;INDEX(CUEs!$A:$A,INT((ROW()-1)/7)*57+MOD(ROW()-1,7)+50)&amp;"=/ s "&amp;INDEX(CUEs!$B:$B,INT((ROW()-1)/7)*57+MOD(ROW()-1,7)+50),"")</f>
        <v/>
      </c>
    </row>
    <row r="1793" spans="1:1" x14ac:dyDescent="0.25">
      <c r="A1793" t="str" cm="1">
        <f t="array" ref="A1793">IF(INDEX(CUEs!$A:$A,INT((ROW()-1)/7)*57+MOD(ROW()-1,7)+50)&lt;&gt;"","set "&amp;INDEX(CUEs!$A:$A,INT((ROW()-1)/7)*57+MOD(ROW()-1,7)+50)&amp;"=/ s "&amp;INDEX(CUEs!$B:$B,INT((ROW()-1)/7)*57+MOD(ROW()-1,7)+50),"")</f>
        <v/>
      </c>
    </row>
    <row r="1794" spans="1:1" x14ac:dyDescent="0.25">
      <c r="A1794" t="str" cm="1">
        <f t="array" ref="A1794">IF(INDEX(CUEs!$A:$A,INT((ROW()-1)/7)*57+MOD(ROW()-1,7)+50)&lt;&gt;"","set "&amp;INDEX(CUEs!$A:$A,INT((ROW()-1)/7)*57+MOD(ROW()-1,7)+50)&amp;"=/ s "&amp;INDEX(CUEs!$B:$B,INT((ROW()-1)/7)*57+MOD(ROW()-1,7)+50),"")</f>
        <v/>
      </c>
    </row>
    <row r="1795" spans="1:1" x14ac:dyDescent="0.25">
      <c r="A1795" t="str" cm="1">
        <f t="array" ref="A1795">IF(INDEX(CUEs!$A:$A,INT((ROW()-1)/7)*57+MOD(ROW()-1,7)+50)&lt;&gt;"","set "&amp;INDEX(CUEs!$A:$A,INT((ROW()-1)/7)*57+MOD(ROW()-1,7)+50)&amp;"=/ s "&amp;INDEX(CUEs!$B:$B,INT((ROW()-1)/7)*57+MOD(ROW()-1,7)+50),"")</f>
        <v/>
      </c>
    </row>
    <row r="1796" spans="1:1" x14ac:dyDescent="0.25">
      <c r="A1796" t="str" cm="1">
        <f t="array" ref="A1796">IF(INDEX(CUEs!$A:$A,INT((ROW()-1)/7)*57+MOD(ROW()-1,7)+50)&lt;&gt;"","set "&amp;INDEX(CUEs!$A:$A,INT((ROW()-1)/7)*57+MOD(ROW()-1,7)+50)&amp;"=/ s "&amp;INDEX(CUEs!$B:$B,INT((ROW()-1)/7)*57+MOD(ROW()-1,7)+50),"")</f>
        <v/>
      </c>
    </row>
    <row r="1797" spans="1:1" x14ac:dyDescent="0.25">
      <c r="A1797" t="str" cm="1">
        <f t="array" ref="A1797">IF(INDEX(CUEs!$A:$A,INT((ROW()-1)/7)*57+MOD(ROW()-1,7)+50)&lt;&gt;"","set "&amp;INDEX(CUEs!$A:$A,INT((ROW()-1)/7)*57+MOD(ROW()-1,7)+50)&amp;"=/ s "&amp;INDEX(CUEs!$B:$B,INT((ROW()-1)/7)*57+MOD(ROW()-1,7)+50),"")</f>
        <v/>
      </c>
    </row>
    <row r="1798" spans="1:1" x14ac:dyDescent="0.25">
      <c r="A1798" t="str" cm="1">
        <f t="array" ref="A1798">IF(INDEX(CUEs!$A:$A,INT((ROW()-1)/7)*57+MOD(ROW()-1,7)+50)&lt;&gt;"","set "&amp;INDEX(CUEs!$A:$A,INT((ROW()-1)/7)*57+MOD(ROW()-1,7)+50)&amp;"=/ s "&amp;INDEX(CUEs!$B:$B,INT((ROW()-1)/7)*57+MOD(ROW()-1,7)+50),"")</f>
        <v/>
      </c>
    </row>
    <row r="1799" spans="1:1" x14ac:dyDescent="0.25">
      <c r="A1799" t="str" cm="1">
        <f t="array" ref="A1799">IF(INDEX(CUEs!$A:$A,INT((ROW()-1)/7)*57+MOD(ROW()-1,7)+50)&lt;&gt;"","set "&amp;INDEX(CUEs!$A:$A,INT((ROW()-1)/7)*57+MOD(ROW()-1,7)+50)&amp;"=/ s "&amp;INDEX(CUEs!$B:$B,INT((ROW()-1)/7)*57+MOD(ROW()-1,7)+50),"")</f>
        <v/>
      </c>
    </row>
    <row r="1800" spans="1:1" x14ac:dyDescent="0.25">
      <c r="A1800" t="str" cm="1">
        <f t="array" ref="A1800">IF(INDEX(CUEs!$A:$A,INT((ROW()-1)/7)*57+MOD(ROW()-1,7)+50)&lt;&gt;"","set "&amp;INDEX(CUEs!$A:$A,INT((ROW()-1)/7)*57+MOD(ROW()-1,7)+50)&amp;"=/ s "&amp;INDEX(CUEs!$B:$B,INT((ROW()-1)/7)*57+MOD(ROW()-1,7)+50),"")</f>
        <v/>
      </c>
    </row>
    <row r="1801" spans="1:1" x14ac:dyDescent="0.25">
      <c r="A1801" t="str" cm="1">
        <f t="array" ref="A1801">IF(INDEX(CUEs!$A:$A,INT((ROW()-1)/7)*57+MOD(ROW()-1,7)+50)&lt;&gt;"","set "&amp;INDEX(CUEs!$A:$A,INT((ROW()-1)/7)*57+MOD(ROW()-1,7)+50)&amp;"=/ s "&amp;INDEX(CUEs!$B:$B,INT((ROW()-1)/7)*57+MOD(ROW()-1,7)+50),"")</f>
        <v/>
      </c>
    </row>
    <row r="1802" spans="1:1" x14ac:dyDescent="0.25">
      <c r="A1802" t="str" cm="1">
        <f t="array" ref="A1802">IF(INDEX(CUEs!$A:$A,INT((ROW()-1)/7)*57+MOD(ROW()-1,7)+50)&lt;&gt;"","set "&amp;INDEX(CUEs!$A:$A,INT((ROW()-1)/7)*57+MOD(ROW()-1,7)+50)&amp;"=/ s "&amp;INDEX(CUEs!$B:$B,INT((ROW()-1)/7)*57+MOD(ROW()-1,7)+50),"")</f>
        <v/>
      </c>
    </row>
    <row r="1803" spans="1:1" x14ac:dyDescent="0.25">
      <c r="A1803" t="str" cm="1">
        <f t="array" ref="A1803">IF(INDEX(CUEs!$A:$A,INT((ROW()-1)/7)*57+MOD(ROW()-1,7)+50)&lt;&gt;"","set "&amp;INDEX(CUEs!$A:$A,INT((ROW()-1)/7)*57+MOD(ROW()-1,7)+50)&amp;"=/ s "&amp;INDEX(CUEs!$B:$B,INT((ROW()-1)/7)*57+MOD(ROW()-1,7)+50),"")</f>
        <v/>
      </c>
    </row>
    <row r="1804" spans="1:1" x14ac:dyDescent="0.25">
      <c r="A1804" t="str" cm="1">
        <f t="array" ref="A1804">IF(INDEX(CUEs!$A:$A,INT((ROW()-1)/7)*57+MOD(ROW()-1,7)+50)&lt;&gt;"","set "&amp;INDEX(CUEs!$A:$A,INT((ROW()-1)/7)*57+MOD(ROW()-1,7)+50)&amp;"=/ s "&amp;INDEX(CUEs!$B:$B,INT((ROW()-1)/7)*57+MOD(ROW()-1,7)+50),"")</f>
        <v/>
      </c>
    </row>
    <row r="1805" spans="1:1" x14ac:dyDescent="0.25">
      <c r="A1805" t="str" cm="1">
        <f t="array" ref="A1805">IF(INDEX(CUEs!$A:$A,INT((ROW()-1)/7)*57+MOD(ROW()-1,7)+50)&lt;&gt;"","set "&amp;INDEX(CUEs!$A:$A,INT((ROW()-1)/7)*57+MOD(ROW()-1,7)+50)&amp;"=/ s "&amp;INDEX(CUEs!$B:$B,INT((ROW()-1)/7)*57+MOD(ROW()-1,7)+50),"")</f>
        <v/>
      </c>
    </row>
    <row r="1806" spans="1:1" x14ac:dyDescent="0.25">
      <c r="A1806" t="str" cm="1">
        <f t="array" ref="A1806">IF(INDEX(CUEs!$A:$A,INT((ROW()-1)/7)*57+MOD(ROW()-1,7)+50)&lt;&gt;"","set "&amp;INDEX(CUEs!$A:$A,INT((ROW()-1)/7)*57+MOD(ROW()-1,7)+50)&amp;"=/ s "&amp;INDEX(CUEs!$B:$B,INT((ROW()-1)/7)*57+MOD(ROW()-1,7)+50),"")</f>
        <v/>
      </c>
    </row>
    <row r="1807" spans="1:1" x14ac:dyDescent="0.25">
      <c r="A1807" t="str" cm="1">
        <f t="array" ref="A1807">IF(INDEX(CUEs!$A:$A,INT((ROW()-1)/7)*57+MOD(ROW()-1,7)+50)&lt;&gt;"","set "&amp;INDEX(CUEs!$A:$A,INT((ROW()-1)/7)*57+MOD(ROW()-1,7)+50)&amp;"=/ s "&amp;INDEX(CUEs!$B:$B,INT((ROW()-1)/7)*57+MOD(ROW()-1,7)+50),"")</f>
        <v/>
      </c>
    </row>
    <row r="1808" spans="1:1" x14ac:dyDescent="0.25">
      <c r="A1808" t="str" cm="1">
        <f t="array" ref="A1808">IF(INDEX(CUEs!$A:$A,INT((ROW()-1)/7)*57+MOD(ROW()-1,7)+50)&lt;&gt;"","set "&amp;INDEX(CUEs!$A:$A,INT((ROW()-1)/7)*57+MOD(ROW()-1,7)+50)&amp;"=/ s "&amp;INDEX(CUEs!$B:$B,INT((ROW()-1)/7)*57+MOD(ROW()-1,7)+50),"")</f>
        <v/>
      </c>
    </row>
    <row r="1809" spans="1:1" x14ac:dyDescent="0.25">
      <c r="A1809" t="str" cm="1">
        <f t="array" ref="A1809">IF(INDEX(CUEs!$A:$A,INT((ROW()-1)/7)*57+MOD(ROW()-1,7)+50)&lt;&gt;"","set "&amp;INDEX(CUEs!$A:$A,INT((ROW()-1)/7)*57+MOD(ROW()-1,7)+50)&amp;"=/ s "&amp;INDEX(CUEs!$B:$B,INT((ROW()-1)/7)*57+MOD(ROW()-1,7)+50),"")</f>
        <v/>
      </c>
    </row>
    <row r="1810" spans="1:1" x14ac:dyDescent="0.25">
      <c r="A1810" t="str" cm="1">
        <f t="array" ref="A1810">IF(INDEX(CUEs!$A:$A,INT((ROW()-1)/7)*57+MOD(ROW()-1,7)+50)&lt;&gt;"","set "&amp;INDEX(CUEs!$A:$A,INT((ROW()-1)/7)*57+MOD(ROW()-1,7)+50)&amp;"=/ s "&amp;INDEX(CUEs!$B:$B,INT((ROW()-1)/7)*57+MOD(ROW()-1,7)+50),"")</f>
        <v/>
      </c>
    </row>
    <row r="1811" spans="1:1" x14ac:dyDescent="0.25">
      <c r="A1811" t="str" cm="1">
        <f t="array" ref="A1811">IF(INDEX(CUEs!$A:$A,INT((ROW()-1)/7)*57+MOD(ROW()-1,7)+50)&lt;&gt;"","set "&amp;INDEX(CUEs!$A:$A,INT((ROW()-1)/7)*57+MOD(ROW()-1,7)+50)&amp;"=/ s "&amp;INDEX(CUEs!$B:$B,INT((ROW()-1)/7)*57+MOD(ROW()-1,7)+50),"")</f>
        <v/>
      </c>
    </row>
    <row r="1812" spans="1:1" x14ac:dyDescent="0.25">
      <c r="A1812" t="str" cm="1">
        <f t="array" ref="A1812">IF(INDEX(CUEs!$A:$A,INT((ROW()-1)/7)*57+MOD(ROW()-1,7)+50)&lt;&gt;"","set "&amp;INDEX(CUEs!$A:$A,INT((ROW()-1)/7)*57+MOD(ROW()-1,7)+50)&amp;"=/ s "&amp;INDEX(CUEs!$B:$B,INT((ROW()-1)/7)*57+MOD(ROW()-1,7)+50),"")</f>
        <v/>
      </c>
    </row>
    <row r="1813" spans="1:1" x14ac:dyDescent="0.25">
      <c r="A1813" t="str" cm="1">
        <f t="array" ref="A1813">IF(INDEX(CUEs!$A:$A,INT((ROW()-1)/7)*57+MOD(ROW()-1,7)+50)&lt;&gt;"","set "&amp;INDEX(CUEs!$A:$A,INT((ROW()-1)/7)*57+MOD(ROW()-1,7)+50)&amp;"=/ s "&amp;INDEX(CUEs!$B:$B,INT((ROW()-1)/7)*57+MOD(ROW()-1,7)+50),"")</f>
        <v/>
      </c>
    </row>
    <row r="1814" spans="1:1" x14ac:dyDescent="0.25">
      <c r="A1814" t="str" cm="1">
        <f t="array" ref="A1814">IF(INDEX(CUEs!$A:$A,INT((ROW()-1)/7)*57+MOD(ROW()-1,7)+50)&lt;&gt;"","set "&amp;INDEX(CUEs!$A:$A,INT((ROW()-1)/7)*57+MOD(ROW()-1,7)+50)&amp;"=/ s "&amp;INDEX(CUEs!$B:$B,INT((ROW()-1)/7)*57+MOD(ROW()-1,7)+50),"")</f>
        <v/>
      </c>
    </row>
    <row r="1815" spans="1:1" x14ac:dyDescent="0.25">
      <c r="A1815" t="str" cm="1">
        <f t="array" ref="A1815">IF(INDEX(CUEs!$A:$A,INT((ROW()-1)/7)*57+MOD(ROW()-1,7)+50)&lt;&gt;"","set "&amp;INDEX(CUEs!$A:$A,INT((ROW()-1)/7)*57+MOD(ROW()-1,7)+50)&amp;"=/ s "&amp;INDEX(CUEs!$B:$B,INT((ROW()-1)/7)*57+MOD(ROW()-1,7)+50),"")</f>
        <v/>
      </c>
    </row>
    <row r="1816" spans="1:1" x14ac:dyDescent="0.25">
      <c r="A1816" t="str" cm="1">
        <f t="array" ref="A1816">IF(INDEX(CUEs!$A:$A,INT((ROW()-1)/7)*57+MOD(ROW()-1,7)+50)&lt;&gt;"","set "&amp;INDEX(CUEs!$A:$A,INT((ROW()-1)/7)*57+MOD(ROW()-1,7)+50)&amp;"=/ s "&amp;INDEX(CUEs!$B:$B,INT((ROW()-1)/7)*57+MOD(ROW()-1,7)+50),"")</f>
        <v/>
      </c>
    </row>
    <row r="1817" spans="1:1" x14ac:dyDescent="0.25">
      <c r="A1817" t="str" cm="1">
        <f t="array" ref="A1817">IF(INDEX(CUEs!$A:$A,INT((ROW()-1)/7)*57+MOD(ROW()-1,7)+50)&lt;&gt;"","set "&amp;INDEX(CUEs!$A:$A,INT((ROW()-1)/7)*57+MOD(ROW()-1,7)+50)&amp;"=/ s "&amp;INDEX(CUEs!$B:$B,INT((ROW()-1)/7)*57+MOD(ROW()-1,7)+50),"")</f>
        <v/>
      </c>
    </row>
    <row r="1818" spans="1:1" x14ac:dyDescent="0.25">
      <c r="A1818" t="str" cm="1">
        <f t="array" ref="A1818">IF(INDEX(CUEs!$A:$A,INT((ROW()-1)/7)*57+MOD(ROW()-1,7)+50)&lt;&gt;"","set "&amp;INDEX(CUEs!$A:$A,INT((ROW()-1)/7)*57+MOD(ROW()-1,7)+50)&amp;"=/ s "&amp;INDEX(CUEs!$B:$B,INT((ROW()-1)/7)*57+MOD(ROW()-1,7)+50),"")</f>
        <v/>
      </c>
    </row>
    <row r="1819" spans="1:1" x14ac:dyDescent="0.25">
      <c r="A1819" t="str" cm="1">
        <f t="array" ref="A1819">IF(INDEX(CUEs!$A:$A,INT((ROW()-1)/7)*57+MOD(ROW()-1,7)+50)&lt;&gt;"","set "&amp;INDEX(CUEs!$A:$A,INT((ROW()-1)/7)*57+MOD(ROW()-1,7)+50)&amp;"=/ s "&amp;INDEX(CUEs!$B:$B,INT((ROW()-1)/7)*57+MOD(ROW()-1,7)+50),"")</f>
        <v/>
      </c>
    </row>
    <row r="1820" spans="1:1" x14ac:dyDescent="0.25">
      <c r="A1820" t="str" cm="1">
        <f t="array" ref="A1820">IF(INDEX(CUEs!$A:$A,INT((ROW()-1)/7)*57+MOD(ROW()-1,7)+50)&lt;&gt;"","set "&amp;INDEX(CUEs!$A:$A,INT((ROW()-1)/7)*57+MOD(ROW()-1,7)+50)&amp;"=/ s "&amp;INDEX(CUEs!$B:$B,INT((ROW()-1)/7)*57+MOD(ROW()-1,7)+50),"")</f>
        <v/>
      </c>
    </row>
    <row r="1821" spans="1:1" x14ac:dyDescent="0.25">
      <c r="A1821" t="str" cm="1">
        <f t="array" ref="A1821">IF(INDEX(CUEs!$A:$A,INT((ROW()-1)/7)*57+MOD(ROW()-1,7)+50)&lt;&gt;"","set "&amp;INDEX(CUEs!$A:$A,INT((ROW()-1)/7)*57+MOD(ROW()-1,7)+50)&amp;"=/ s "&amp;INDEX(CUEs!$B:$B,INT((ROW()-1)/7)*57+MOD(ROW()-1,7)+50),"")</f>
        <v/>
      </c>
    </row>
    <row r="1822" spans="1:1" x14ac:dyDescent="0.25">
      <c r="A1822" t="str" cm="1">
        <f t="array" ref="A1822">IF(INDEX(CUEs!$A:$A,INT((ROW()-1)/7)*57+MOD(ROW()-1,7)+50)&lt;&gt;"","set "&amp;INDEX(CUEs!$A:$A,INT((ROW()-1)/7)*57+MOD(ROW()-1,7)+50)&amp;"=/ s "&amp;INDEX(CUEs!$B:$B,INT((ROW()-1)/7)*57+MOD(ROW()-1,7)+50),"")</f>
        <v/>
      </c>
    </row>
    <row r="1823" spans="1:1" x14ac:dyDescent="0.25">
      <c r="A1823" t="str" cm="1">
        <f t="array" ref="A1823">IF(INDEX(CUEs!$A:$A,INT((ROW()-1)/7)*57+MOD(ROW()-1,7)+50)&lt;&gt;"","set "&amp;INDEX(CUEs!$A:$A,INT((ROW()-1)/7)*57+MOD(ROW()-1,7)+50)&amp;"=/ s "&amp;INDEX(CUEs!$B:$B,INT((ROW()-1)/7)*57+MOD(ROW()-1,7)+50),"")</f>
        <v/>
      </c>
    </row>
    <row r="1824" spans="1:1" x14ac:dyDescent="0.25">
      <c r="A1824" t="str" cm="1">
        <f t="array" ref="A1824">IF(INDEX(CUEs!$A:$A,INT((ROW()-1)/7)*57+MOD(ROW()-1,7)+50)&lt;&gt;"","set "&amp;INDEX(CUEs!$A:$A,INT((ROW()-1)/7)*57+MOD(ROW()-1,7)+50)&amp;"=/ s "&amp;INDEX(CUEs!$B:$B,INT((ROW()-1)/7)*57+MOD(ROW()-1,7)+50),"")</f>
        <v/>
      </c>
    </row>
    <row r="1825" spans="1:1" x14ac:dyDescent="0.25">
      <c r="A1825" t="str" cm="1">
        <f t="array" ref="A1825">IF(INDEX(CUEs!$A:$A,INT((ROW()-1)/7)*57+MOD(ROW()-1,7)+50)&lt;&gt;"","set "&amp;INDEX(CUEs!$A:$A,INT((ROW()-1)/7)*57+MOD(ROW()-1,7)+50)&amp;"=/ s "&amp;INDEX(CUEs!$B:$B,INT((ROW()-1)/7)*57+MOD(ROW()-1,7)+50),"")</f>
        <v/>
      </c>
    </row>
    <row r="1826" spans="1:1" x14ac:dyDescent="0.25">
      <c r="A1826" t="str" cm="1">
        <f t="array" ref="A1826">IF(INDEX(CUEs!$A:$A,INT((ROW()-1)/7)*57+MOD(ROW()-1,7)+50)&lt;&gt;"","set "&amp;INDEX(CUEs!$A:$A,INT((ROW()-1)/7)*57+MOD(ROW()-1,7)+50)&amp;"=/ s "&amp;INDEX(CUEs!$B:$B,INT((ROW()-1)/7)*57+MOD(ROW()-1,7)+50),"")</f>
        <v/>
      </c>
    </row>
    <row r="1827" spans="1:1" x14ac:dyDescent="0.25">
      <c r="A1827" t="str" cm="1">
        <f t="array" ref="A1827">IF(INDEX(CUEs!$A:$A,INT((ROW()-1)/7)*57+MOD(ROW()-1,7)+50)&lt;&gt;"","set "&amp;INDEX(CUEs!$A:$A,INT((ROW()-1)/7)*57+MOD(ROW()-1,7)+50)&amp;"=/ s "&amp;INDEX(CUEs!$B:$B,INT((ROW()-1)/7)*57+MOD(ROW()-1,7)+50),"")</f>
        <v/>
      </c>
    </row>
    <row r="1828" spans="1:1" x14ac:dyDescent="0.25">
      <c r="A1828" t="str" cm="1">
        <f t="array" ref="A1828">IF(INDEX(CUEs!$A:$A,INT((ROW()-1)/7)*57+MOD(ROW()-1,7)+50)&lt;&gt;"","set "&amp;INDEX(CUEs!$A:$A,INT((ROW()-1)/7)*57+MOD(ROW()-1,7)+50)&amp;"=/ s "&amp;INDEX(CUEs!$B:$B,INT((ROW()-1)/7)*57+MOD(ROW()-1,7)+50),"")</f>
        <v/>
      </c>
    </row>
    <row r="1829" spans="1:1" x14ac:dyDescent="0.25">
      <c r="A1829" t="str" cm="1">
        <f t="array" ref="A1829">IF(INDEX(CUEs!$A:$A,INT((ROW()-1)/7)*57+MOD(ROW()-1,7)+50)&lt;&gt;"","set "&amp;INDEX(CUEs!$A:$A,INT((ROW()-1)/7)*57+MOD(ROW()-1,7)+50)&amp;"=/ s "&amp;INDEX(CUEs!$B:$B,INT((ROW()-1)/7)*57+MOD(ROW()-1,7)+50),"")</f>
        <v/>
      </c>
    </row>
    <row r="1830" spans="1:1" x14ac:dyDescent="0.25">
      <c r="A1830" t="str" cm="1">
        <f t="array" ref="A1830">IF(INDEX(CUEs!$A:$A,INT((ROW()-1)/7)*57+MOD(ROW()-1,7)+50)&lt;&gt;"","set "&amp;INDEX(CUEs!$A:$A,INT((ROW()-1)/7)*57+MOD(ROW()-1,7)+50)&amp;"=/ s "&amp;INDEX(CUEs!$B:$B,INT((ROW()-1)/7)*57+MOD(ROW()-1,7)+50),"")</f>
        <v/>
      </c>
    </row>
    <row r="1831" spans="1:1" x14ac:dyDescent="0.25">
      <c r="A1831" t="str" cm="1">
        <f t="array" ref="A1831">IF(INDEX(CUEs!$A:$A,INT((ROW()-1)/7)*57+MOD(ROW()-1,7)+50)&lt;&gt;"","set "&amp;INDEX(CUEs!$A:$A,INT((ROW()-1)/7)*57+MOD(ROW()-1,7)+50)&amp;"=/ s "&amp;INDEX(CUEs!$B:$B,INT((ROW()-1)/7)*57+MOD(ROW()-1,7)+50),"")</f>
        <v/>
      </c>
    </row>
    <row r="1832" spans="1:1" x14ac:dyDescent="0.25">
      <c r="A1832" t="str" cm="1">
        <f t="array" ref="A1832">IF(INDEX(CUEs!$A:$A,INT((ROW()-1)/7)*57+MOD(ROW()-1,7)+50)&lt;&gt;"","set "&amp;INDEX(CUEs!$A:$A,INT((ROW()-1)/7)*57+MOD(ROW()-1,7)+50)&amp;"=/ s "&amp;INDEX(CUEs!$B:$B,INT((ROW()-1)/7)*57+MOD(ROW()-1,7)+50),"")</f>
        <v/>
      </c>
    </row>
    <row r="1833" spans="1:1" x14ac:dyDescent="0.25">
      <c r="A1833" t="str" cm="1">
        <f t="array" ref="A1833">IF(INDEX(CUEs!$A:$A,INT((ROW()-1)/7)*57+MOD(ROW()-1,7)+50)&lt;&gt;"","set "&amp;INDEX(CUEs!$A:$A,INT((ROW()-1)/7)*57+MOD(ROW()-1,7)+50)&amp;"=/ s "&amp;INDEX(CUEs!$B:$B,INT((ROW()-1)/7)*57+MOD(ROW()-1,7)+50),"")</f>
        <v/>
      </c>
    </row>
    <row r="1834" spans="1:1" x14ac:dyDescent="0.25">
      <c r="A1834" t="str" cm="1">
        <f t="array" ref="A1834">IF(INDEX(CUEs!$A:$A,INT((ROW()-1)/7)*57+MOD(ROW()-1,7)+50)&lt;&gt;"","set "&amp;INDEX(CUEs!$A:$A,INT((ROW()-1)/7)*57+MOD(ROW()-1,7)+50)&amp;"=/ s "&amp;INDEX(CUEs!$B:$B,INT((ROW()-1)/7)*57+MOD(ROW()-1,7)+50),"")</f>
        <v/>
      </c>
    </row>
    <row r="1835" spans="1:1" x14ac:dyDescent="0.25">
      <c r="A1835" t="str" cm="1">
        <f t="array" ref="A1835">IF(INDEX(CUEs!$A:$A,INT((ROW()-1)/7)*57+MOD(ROW()-1,7)+50)&lt;&gt;"","set "&amp;INDEX(CUEs!$A:$A,INT((ROW()-1)/7)*57+MOD(ROW()-1,7)+50)&amp;"=/ s "&amp;INDEX(CUEs!$B:$B,INT((ROW()-1)/7)*57+MOD(ROW()-1,7)+50),"")</f>
        <v/>
      </c>
    </row>
    <row r="1836" spans="1:1" x14ac:dyDescent="0.25">
      <c r="A1836" t="str" cm="1">
        <f t="array" ref="A1836">IF(INDEX(CUEs!$A:$A,INT((ROW()-1)/7)*57+MOD(ROW()-1,7)+50)&lt;&gt;"","set "&amp;INDEX(CUEs!$A:$A,INT((ROW()-1)/7)*57+MOD(ROW()-1,7)+50)&amp;"=/ s "&amp;INDEX(CUEs!$B:$B,INT((ROW()-1)/7)*57+MOD(ROW()-1,7)+50),"")</f>
        <v/>
      </c>
    </row>
    <row r="1837" spans="1:1" x14ac:dyDescent="0.25">
      <c r="A1837" t="str" cm="1">
        <f t="array" ref="A1837">IF(INDEX(CUEs!$A:$A,INT((ROW()-1)/7)*57+MOD(ROW()-1,7)+50)&lt;&gt;"","set "&amp;INDEX(CUEs!$A:$A,INT((ROW()-1)/7)*57+MOD(ROW()-1,7)+50)&amp;"=/ s "&amp;INDEX(CUEs!$B:$B,INT((ROW()-1)/7)*57+MOD(ROW()-1,7)+50),"")</f>
        <v/>
      </c>
    </row>
    <row r="1838" spans="1:1" x14ac:dyDescent="0.25">
      <c r="A1838" t="str" cm="1">
        <f t="array" ref="A1838">IF(INDEX(CUEs!$A:$A,INT((ROW()-1)/7)*57+MOD(ROW()-1,7)+50)&lt;&gt;"","set "&amp;INDEX(CUEs!$A:$A,INT((ROW()-1)/7)*57+MOD(ROW()-1,7)+50)&amp;"=/ s "&amp;INDEX(CUEs!$B:$B,INT((ROW()-1)/7)*57+MOD(ROW()-1,7)+50),"")</f>
        <v/>
      </c>
    </row>
    <row r="1839" spans="1:1" x14ac:dyDescent="0.25">
      <c r="A1839" t="str" cm="1">
        <f t="array" ref="A1839">IF(INDEX(CUEs!$A:$A,INT((ROW()-1)/7)*57+MOD(ROW()-1,7)+50)&lt;&gt;"","set "&amp;INDEX(CUEs!$A:$A,INT((ROW()-1)/7)*57+MOD(ROW()-1,7)+50)&amp;"=/ s "&amp;INDEX(CUEs!$B:$B,INT((ROW()-1)/7)*57+MOD(ROW()-1,7)+50),"")</f>
        <v/>
      </c>
    </row>
    <row r="1840" spans="1:1" x14ac:dyDescent="0.25">
      <c r="A1840" t="str" cm="1">
        <f t="array" ref="A1840">IF(INDEX(CUEs!$A:$A,INT((ROW()-1)/7)*57+MOD(ROW()-1,7)+50)&lt;&gt;"","set "&amp;INDEX(CUEs!$A:$A,INT((ROW()-1)/7)*57+MOD(ROW()-1,7)+50)&amp;"=/ s "&amp;INDEX(CUEs!$B:$B,INT((ROW()-1)/7)*57+MOD(ROW()-1,7)+50),"")</f>
        <v/>
      </c>
    </row>
    <row r="1841" spans="1:1" x14ac:dyDescent="0.25">
      <c r="A1841" t="str" cm="1">
        <f t="array" ref="A1841">IF(INDEX(CUEs!$A:$A,INT((ROW()-1)/7)*57+MOD(ROW()-1,7)+50)&lt;&gt;"","set "&amp;INDEX(CUEs!$A:$A,INT((ROW()-1)/7)*57+MOD(ROW()-1,7)+50)&amp;"=/ s "&amp;INDEX(CUEs!$B:$B,INT((ROW()-1)/7)*57+MOD(ROW()-1,7)+50),"")</f>
        <v/>
      </c>
    </row>
    <row r="1842" spans="1:1" x14ac:dyDescent="0.25">
      <c r="A1842" t="str" cm="1">
        <f t="array" ref="A1842">IF(INDEX(CUEs!$A:$A,INT((ROW()-1)/7)*57+MOD(ROW()-1,7)+50)&lt;&gt;"","set "&amp;INDEX(CUEs!$A:$A,INT((ROW()-1)/7)*57+MOD(ROW()-1,7)+50)&amp;"=/ s "&amp;INDEX(CUEs!$B:$B,INT((ROW()-1)/7)*57+MOD(ROW()-1,7)+50),"")</f>
        <v/>
      </c>
    </row>
    <row r="1843" spans="1:1" x14ac:dyDescent="0.25">
      <c r="A1843" t="str" cm="1">
        <f t="array" ref="A1843">IF(INDEX(CUEs!$A:$A,INT((ROW()-1)/7)*57+MOD(ROW()-1,7)+50)&lt;&gt;"","set "&amp;INDEX(CUEs!$A:$A,INT((ROW()-1)/7)*57+MOD(ROW()-1,7)+50)&amp;"=/ s "&amp;INDEX(CUEs!$B:$B,INT((ROW()-1)/7)*57+MOD(ROW()-1,7)+50),"")</f>
        <v/>
      </c>
    </row>
    <row r="1844" spans="1:1" x14ac:dyDescent="0.25">
      <c r="A1844" t="str" cm="1">
        <f t="array" ref="A1844">IF(INDEX(CUEs!$A:$A,INT((ROW()-1)/7)*57+MOD(ROW()-1,7)+50)&lt;&gt;"","set "&amp;INDEX(CUEs!$A:$A,INT((ROW()-1)/7)*57+MOD(ROW()-1,7)+50)&amp;"=/ s "&amp;INDEX(CUEs!$B:$B,INT((ROW()-1)/7)*57+MOD(ROW()-1,7)+50),"")</f>
        <v/>
      </c>
    </row>
    <row r="1845" spans="1:1" x14ac:dyDescent="0.25">
      <c r="A1845" t="str" cm="1">
        <f t="array" ref="A1845">IF(INDEX(CUEs!$A:$A,INT((ROW()-1)/7)*57+MOD(ROW()-1,7)+50)&lt;&gt;"","set "&amp;INDEX(CUEs!$A:$A,INT((ROW()-1)/7)*57+MOD(ROW()-1,7)+50)&amp;"=/ s "&amp;INDEX(CUEs!$B:$B,INT((ROW()-1)/7)*57+MOD(ROW()-1,7)+50),"")</f>
        <v/>
      </c>
    </row>
    <row r="1846" spans="1:1" x14ac:dyDescent="0.25">
      <c r="A1846" t="str" cm="1">
        <f t="array" ref="A1846">IF(INDEX(CUEs!$A:$A,INT((ROW()-1)/7)*57+MOD(ROW()-1,7)+50)&lt;&gt;"","set "&amp;INDEX(CUEs!$A:$A,INT((ROW()-1)/7)*57+MOD(ROW()-1,7)+50)&amp;"=/ s "&amp;INDEX(CUEs!$B:$B,INT((ROW()-1)/7)*57+MOD(ROW()-1,7)+50),"")</f>
        <v/>
      </c>
    </row>
    <row r="1847" spans="1:1" x14ac:dyDescent="0.25">
      <c r="A1847" t="str" cm="1">
        <f t="array" ref="A1847">IF(INDEX(CUEs!$A:$A,INT((ROW()-1)/7)*57+MOD(ROW()-1,7)+50)&lt;&gt;"","set "&amp;INDEX(CUEs!$A:$A,INT((ROW()-1)/7)*57+MOD(ROW()-1,7)+50)&amp;"=/ s "&amp;INDEX(CUEs!$B:$B,INT((ROW()-1)/7)*57+MOD(ROW()-1,7)+50),"")</f>
        <v/>
      </c>
    </row>
    <row r="1848" spans="1:1" x14ac:dyDescent="0.25">
      <c r="A1848" t="str" cm="1">
        <f t="array" ref="A1848">IF(INDEX(CUEs!$A:$A,INT((ROW()-1)/7)*57+MOD(ROW()-1,7)+50)&lt;&gt;"","set "&amp;INDEX(CUEs!$A:$A,INT((ROW()-1)/7)*57+MOD(ROW()-1,7)+50)&amp;"=/ s "&amp;INDEX(CUEs!$B:$B,INT((ROW()-1)/7)*57+MOD(ROW()-1,7)+50),"")</f>
        <v/>
      </c>
    </row>
    <row r="1849" spans="1:1" x14ac:dyDescent="0.25">
      <c r="A1849" t="str" cm="1">
        <f t="array" ref="A1849">IF(INDEX(CUEs!$A:$A,INT((ROW()-1)/7)*57+MOD(ROW()-1,7)+50)&lt;&gt;"","set "&amp;INDEX(CUEs!$A:$A,INT((ROW()-1)/7)*57+MOD(ROW()-1,7)+50)&amp;"=/ s "&amp;INDEX(CUEs!$B:$B,INT((ROW()-1)/7)*57+MOD(ROW()-1,7)+50),"")</f>
        <v/>
      </c>
    </row>
    <row r="1850" spans="1:1" x14ac:dyDescent="0.25">
      <c r="A1850" t="str" cm="1">
        <f t="array" ref="A1850">IF(INDEX(CUEs!$A:$A,INT((ROW()-1)/7)*57+MOD(ROW()-1,7)+50)&lt;&gt;"","set "&amp;INDEX(CUEs!$A:$A,INT((ROW()-1)/7)*57+MOD(ROW()-1,7)+50)&amp;"=/ s "&amp;INDEX(CUEs!$B:$B,INT((ROW()-1)/7)*57+MOD(ROW()-1,7)+50),"")</f>
        <v/>
      </c>
    </row>
    <row r="1851" spans="1:1" x14ac:dyDescent="0.25">
      <c r="A1851" t="str" cm="1">
        <f t="array" ref="A1851">IF(INDEX(CUEs!$A:$A,INT((ROW()-1)/7)*57+MOD(ROW()-1,7)+50)&lt;&gt;"","set "&amp;INDEX(CUEs!$A:$A,INT((ROW()-1)/7)*57+MOD(ROW()-1,7)+50)&amp;"=/ s "&amp;INDEX(CUEs!$B:$B,INT((ROW()-1)/7)*57+MOD(ROW()-1,7)+50),"")</f>
        <v/>
      </c>
    </row>
    <row r="1852" spans="1:1" x14ac:dyDescent="0.25">
      <c r="A1852" t="str" cm="1">
        <f t="array" ref="A1852">IF(INDEX(CUEs!$A:$A,INT((ROW()-1)/7)*57+MOD(ROW()-1,7)+50)&lt;&gt;"","set "&amp;INDEX(CUEs!$A:$A,INT((ROW()-1)/7)*57+MOD(ROW()-1,7)+50)&amp;"=/ s "&amp;INDEX(CUEs!$B:$B,INT((ROW()-1)/7)*57+MOD(ROW()-1,7)+50),"")</f>
        <v/>
      </c>
    </row>
    <row r="1853" spans="1:1" x14ac:dyDescent="0.25">
      <c r="A1853" t="str" cm="1">
        <f t="array" ref="A1853">IF(INDEX(CUEs!$A:$A,INT((ROW()-1)/7)*57+MOD(ROW()-1,7)+50)&lt;&gt;"","set "&amp;INDEX(CUEs!$A:$A,INT((ROW()-1)/7)*57+MOD(ROW()-1,7)+50)&amp;"=/ s "&amp;INDEX(CUEs!$B:$B,INT((ROW()-1)/7)*57+MOD(ROW()-1,7)+50),"")</f>
        <v/>
      </c>
    </row>
    <row r="1854" spans="1:1" x14ac:dyDescent="0.25">
      <c r="A1854" t="str" cm="1">
        <f t="array" ref="A1854">IF(INDEX(CUEs!$A:$A,INT((ROW()-1)/7)*57+MOD(ROW()-1,7)+50)&lt;&gt;"","set "&amp;INDEX(CUEs!$A:$A,INT((ROW()-1)/7)*57+MOD(ROW()-1,7)+50)&amp;"=/ s "&amp;INDEX(CUEs!$B:$B,INT((ROW()-1)/7)*57+MOD(ROW()-1,7)+50),"")</f>
        <v/>
      </c>
    </row>
    <row r="1855" spans="1:1" x14ac:dyDescent="0.25">
      <c r="A1855" t="str" cm="1">
        <f t="array" ref="A1855">IF(INDEX(CUEs!$A:$A,INT((ROW()-1)/7)*57+MOD(ROW()-1,7)+50)&lt;&gt;"","set "&amp;INDEX(CUEs!$A:$A,INT((ROW()-1)/7)*57+MOD(ROW()-1,7)+50)&amp;"=/ s "&amp;INDEX(CUEs!$B:$B,INT((ROW()-1)/7)*57+MOD(ROW()-1,7)+50),"")</f>
        <v/>
      </c>
    </row>
    <row r="1856" spans="1:1" x14ac:dyDescent="0.25">
      <c r="A1856" t="str" cm="1">
        <f t="array" ref="A1856">IF(INDEX(CUEs!$A:$A,INT((ROW()-1)/7)*57+MOD(ROW()-1,7)+50)&lt;&gt;"","set "&amp;INDEX(CUEs!$A:$A,INT((ROW()-1)/7)*57+MOD(ROW()-1,7)+50)&amp;"=/ s "&amp;INDEX(CUEs!$B:$B,INT((ROW()-1)/7)*57+MOD(ROW()-1,7)+50),"")</f>
        <v/>
      </c>
    </row>
    <row r="1857" spans="1:1" x14ac:dyDescent="0.25">
      <c r="A1857" t="str" cm="1">
        <f t="array" ref="A1857">IF(INDEX(CUEs!$A:$A,INT((ROW()-1)/7)*57+MOD(ROW()-1,7)+50)&lt;&gt;"","set "&amp;INDEX(CUEs!$A:$A,INT((ROW()-1)/7)*57+MOD(ROW()-1,7)+50)&amp;"=/ s "&amp;INDEX(CUEs!$B:$B,INT((ROW()-1)/7)*57+MOD(ROW()-1,7)+50),"")</f>
        <v/>
      </c>
    </row>
    <row r="1858" spans="1:1" x14ac:dyDescent="0.25">
      <c r="A1858" t="str" cm="1">
        <f t="array" ref="A1858">IF(INDEX(CUEs!$A:$A,INT((ROW()-1)/7)*57+MOD(ROW()-1,7)+50)&lt;&gt;"","set "&amp;INDEX(CUEs!$A:$A,INT((ROW()-1)/7)*57+MOD(ROW()-1,7)+50)&amp;"=/ s "&amp;INDEX(CUEs!$B:$B,INT((ROW()-1)/7)*57+MOD(ROW()-1,7)+50),"")</f>
        <v/>
      </c>
    </row>
    <row r="1859" spans="1:1" x14ac:dyDescent="0.25">
      <c r="A1859" t="str" cm="1">
        <f t="array" ref="A1859">IF(INDEX(CUEs!$A:$A,INT((ROW()-1)/7)*57+MOD(ROW()-1,7)+50)&lt;&gt;"","set "&amp;INDEX(CUEs!$A:$A,INT((ROW()-1)/7)*57+MOD(ROW()-1,7)+50)&amp;"=/ s "&amp;INDEX(CUEs!$B:$B,INT((ROW()-1)/7)*57+MOD(ROW()-1,7)+50),"")</f>
        <v/>
      </c>
    </row>
    <row r="1860" spans="1:1" x14ac:dyDescent="0.25">
      <c r="A1860" t="str" cm="1">
        <f t="array" ref="A1860">IF(INDEX(CUEs!$A:$A,INT((ROW()-1)/7)*57+MOD(ROW()-1,7)+50)&lt;&gt;"","set "&amp;INDEX(CUEs!$A:$A,INT((ROW()-1)/7)*57+MOD(ROW()-1,7)+50)&amp;"=/ s "&amp;INDEX(CUEs!$B:$B,INT((ROW()-1)/7)*57+MOD(ROW()-1,7)+50),"")</f>
        <v/>
      </c>
    </row>
    <row r="1861" spans="1:1" x14ac:dyDescent="0.25">
      <c r="A1861" t="str" cm="1">
        <f t="array" ref="A1861">IF(INDEX(CUEs!$A:$A,INT((ROW()-1)/7)*57+MOD(ROW()-1,7)+50)&lt;&gt;"","set "&amp;INDEX(CUEs!$A:$A,INT((ROW()-1)/7)*57+MOD(ROW()-1,7)+50)&amp;"=/ s "&amp;INDEX(CUEs!$B:$B,INT((ROW()-1)/7)*57+MOD(ROW()-1,7)+50),"")</f>
        <v/>
      </c>
    </row>
    <row r="1862" spans="1:1" x14ac:dyDescent="0.25">
      <c r="A1862" t="str" cm="1">
        <f t="array" ref="A1862">IF(INDEX(CUEs!$A:$A,INT((ROW()-1)/7)*57+MOD(ROW()-1,7)+50)&lt;&gt;"","set "&amp;INDEX(CUEs!$A:$A,INT((ROW()-1)/7)*57+MOD(ROW()-1,7)+50)&amp;"=/ s "&amp;INDEX(CUEs!$B:$B,INT((ROW()-1)/7)*57+MOD(ROW()-1,7)+50),"")</f>
        <v/>
      </c>
    </row>
    <row r="1863" spans="1:1" x14ac:dyDescent="0.25">
      <c r="A1863" t="str" cm="1">
        <f t="array" ref="A1863">IF(INDEX(CUEs!$A:$A,INT((ROW()-1)/7)*57+MOD(ROW()-1,7)+50)&lt;&gt;"","set "&amp;INDEX(CUEs!$A:$A,INT((ROW()-1)/7)*57+MOD(ROW()-1,7)+50)&amp;"=/ s "&amp;INDEX(CUEs!$B:$B,INT((ROW()-1)/7)*57+MOD(ROW()-1,7)+50),"")</f>
        <v/>
      </c>
    </row>
    <row r="1864" spans="1:1" x14ac:dyDescent="0.25">
      <c r="A1864" t="str" cm="1">
        <f t="array" ref="A1864">IF(INDEX(CUEs!$A:$A,INT((ROW()-1)/7)*57+MOD(ROW()-1,7)+50)&lt;&gt;"","set "&amp;INDEX(CUEs!$A:$A,INT((ROW()-1)/7)*57+MOD(ROW()-1,7)+50)&amp;"=/ s "&amp;INDEX(CUEs!$B:$B,INT((ROW()-1)/7)*57+MOD(ROW()-1,7)+50),"")</f>
        <v/>
      </c>
    </row>
    <row r="1865" spans="1:1" x14ac:dyDescent="0.25">
      <c r="A1865" t="str" cm="1">
        <f t="array" ref="A1865">IF(INDEX(CUEs!$A:$A,INT((ROW()-1)/7)*57+MOD(ROW()-1,7)+50)&lt;&gt;"","set "&amp;INDEX(CUEs!$A:$A,INT((ROW()-1)/7)*57+MOD(ROW()-1,7)+50)&amp;"=/ s "&amp;INDEX(CUEs!$B:$B,INT((ROW()-1)/7)*57+MOD(ROW()-1,7)+50),"")</f>
        <v/>
      </c>
    </row>
    <row r="1866" spans="1:1" x14ac:dyDescent="0.25">
      <c r="A1866" t="str" cm="1">
        <f t="array" ref="A1866">IF(INDEX(CUEs!$A:$A,INT((ROW()-1)/7)*57+MOD(ROW()-1,7)+50)&lt;&gt;"","set "&amp;INDEX(CUEs!$A:$A,INT((ROW()-1)/7)*57+MOD(ROW()-1,7)+50)&amp;"=/ s "&amp;INDEX(CUEs!$B:$B,INT((ROW()-1)/7)*57+MOD(ROW()-1,7)+50),"")</f>
        <v/>
      </c>
    </row>
    <row r="1867" spans="1:1" x14ac:dyDescent="0.25">
      <c r="A1867" t="str" cm="1">
        <f t="array" ref="A1867">IF(INDEX(CUEs!$A:$A,INT((ROW()-1)/7)*57+MOD(ROW()-1,7)+50)&lt;&gt;"","set "&amp;INDEX(CUEs!$A:$A,INT((ROW()-1)/7)*57+MOD(ROW()-1,7)+50)&amp;"=/ s "&amp;INDEX(CUEs!$B:$B,INT((ROW()-1)/7)*57+MOD(ROW()-1,7)+50),"")</f>
        <v/>
      </c>
    </row>
    <row r="1868" spans="1:1" x14ac:dyDescent="0.25">
      <c r="A1868" t="str" cm="1">
        <f t="array" ref="A1868">IF(INDEX(CUEs!$A:$A,INT((ROW()-1)/7)*57+MOD(ROW()-1,7)+50)&lt;&gt;"","set "&amp;INDEX(CUEs!$A:$A,INT((ROW()-1)/7)*57+MOD(ROW()-1,7)+50)&amp;"=/ s "&amp;INDEX(CUEs!$B:$B,INT((ROW()-1)/7)*57+MOD(ROW()-1,7)+50),"")</f>
        <v/>
      </c>
    </row>
    <row r="1869" spans="1:1" x14ac:dyDescent="0.25">
      <c r="A1869" t="str" cm="1">
        <f t="array" ref="A1869">IF(INDEX(CUEs!$A:$A,INT((ROW()-1)/7)*57+MOD(ROW()-1,7)+50)&lt;&gt;"","set "&amp;INDEX(CUEs!$A:$A,INT((ROW()-1)/7)*57+MOD(ROW()-1,7)+50)&amp;"=/ s "&amp;INDEX(CUEs!$B:$B,INT((ROW()-1)/7)*57+MOD(ROW()-1,7)+50),"")</f>
        <v/>
      </c>
    </row>
    <row r="1870" spans="1:1" x14ac:dyDescent="0.25">
      <c r="A1870" t="str" cm="1">
        <f t="array" ref="A1870">IF(INDEX(CUEs!$A:$A,INT((ROW()-1)/7)*57+MOD(ROW()-1,7)+50)&lt;&gt;"","set "&amp;INDEX(CUEs!$A:$A,INT((ROW()-1)/7)*57+MOD(ROW()-1,7)+50)&amp;"=/ s "&amp;INDEX(CUEs!$B:$B,INT((ROW()-1)/7)*57+MOD(ROW()-1,7)+50),"")</f>
        <v/>
      </c>
    </row>
    <row r="1871" spans="1:1" x14ac:dyDescent="0.25">
      <c r="A1871" t="str" cm="1">
        <f t="array" ref="A1871">IF(INDEX(CUEs!$A:$A,INT((ROW()-1)/7)*57+MOD(ROW()-1,7)+50)&lt;&gt;"","set "&amp;INDEX(CUEs!$A:$A,INT((ROW()-1)/7)*57+MOD(ROW()-1,7)+50)&amp;"=/ s "&amp;INDEX(CUEs!$B:$B,INT((ROW()-1)/7)*57+MOD(ROW()-1,7)+50),"")</f>
        <v/>
      </c>
    </row>
    <row r="1872" spans="1:1" x14ac:dyDescent="0.25">
      <c r="A1872" t="str" cm="1">
        <f t="array" ref="A1872">IF(INDEX(CUEs!$A:$A,INT((ROW()-1)/7)*57+MOD(ROW()-1,7)+50)&lt;&gt;"","set "&amp;INDEX(CUEs!$A:$A,INT((ROW()-1)/7)*57+MOD(ROW()-1,7)+50)&amp;"=/ s "&amp;INDEX(CUEs!$B:$B,INT((ROW()-1)/7)*57+MOD(ROW()-1,7)+50),"")</f>
        <v/>
      </c>
    </row>
    <row r="1873" spans="1:1" x14ac:dyDescent="0.25">
      <c r="A1873" t="str" cm="1">
        <f t="array" ref="A1873">IF(INDEX(CUEs!$A:$A,INT((ROW()-1)/7)*57+MOD(ROW()-1,7)+50)&lt;&gt;"","set "&amp;INDEX(CUEs!$A:$A,INT((ROW()-1)/7)*57+MOD(ROW()-1,7)+50)&amp;"=/ s "&amp;INDEX(CUEs!$B:$B,INT((ROW()-1)/7)*57+MOD(ROW()-1,7)+50),"")</f>
        <v/>
      </c>
    </row>
    <row r="1874" spans="1:1" x14ac:dyDescent="0.25">
      <c r="A1874" t="str" cm="1">
        <f t="array" ref="A1874">IF(INDEX(CUEs!$A:$A,INT((ROW()-1)/7)*57+MOD(ROW()-1,7)+50)&lt;&gt;"","set "&amp;INDEX(CUEs!$A:$A,INT((ROW()-1)/7)*57+MOD(ROW()-1,7)+50)&amp;"=/ s "&amp;INDEX(CUEs!$B:$B,INT((ROW()-1)/7)*57+MOD(ROW()-1,7)+50),"")</f>
        <v/>
      </c>
    </row>
    <row r="1875" spans="1:1" x14ac:dyDescent="0.25">
      <c r="A1875" t="str" cm="1">
        <f t="array" ref="A1875">IF(INDEX(CUEs!$A:$A,INT((ROW()-1)/7)*57+MOD(ROW()-1,7)+50)&lt;&gt;"","set "&amp;INDEX(CUEs!$A:$A,INT((ROW()-1)/7)*57+MOD(ROW()-1,7)+50)&amp;"=/ s "&amp;INDEX(CUEs!$B:$B,INT((ROW()-1)/7)*57+MOD(ROW()-1,7)+50),"")</f>
        <v/>
      </c>
    </row>
    <row r="1876" spans="1:1" x14ac:dyDescent="0.25">
      <c r="A1876" t="str" cm="1">
        <f t="array" ref="A1876">IF(INDEX(CUEs!$A:$A,INT((ROW()-1)/7)*57+MOD(ROW()-1,7)+50)&lt;&gt;"","set "&amp;INDEX(CUEs!$A:$A,INT((ROW()-1)/7)*57+MOD(ROW()-1,7)+50)&amp;"=/ s "&amp;INDEX(CUEs!$B:$B,INT((ROW()-1)/7)*57+MOD(ROW()-1,7)+50),"")</f>
        <v/>
      </c>
    </row>
    <row r="1877" spans="1:1" x14ac:dyDescent="0.25">
      <c r="A1877" t="str" cm="1">
        <f t="array" ref="A1877">IF(INDEX(CUEs!$A:$A,INT((ROW()-1)/7)*57+MOD(ROW()-1,7)+50)&lt;&gt;"","set "&amp;INDEX(CUEs!$A:$A,INT((ROW()-1)/7)*57+MOD(ROW()-1,7)+50)&amp;"=/ s "&amp;INDEX(CUEs!$B:$B,INT((ROW()-1)/7)*57+MOD(ROW()-1,7)+50),"")</f>
        <v/>
      </c>
    </row>
    <row r="1878" spans="1:1" x14ac:dyDescent="0.25">
      <c r="A1878" t="str" cm="1">
        <f t="array" ref="A1878">IF(INDEX(CUEs!$A:$A,INT((ROW()-1)/7)*57+MOD(ROW()-1,7)+50)&lt;&gt;"","set "&amp;INDEX(CUEs!$A:$A,INT((ROW()-1)/7)*57+MOD(ROW()-1,7)+50)&amp;"=/ s "&amp;INDEX(CUEs!$B:$B,INT((ROW()-1)/7)*57+MOD(ROW()-1,7)+50),"")</f>
        <v/>
      </c>
    </row>
    <row r="1879" spans="1:1" x14ac:dyDescent="0.25">
      <c r="A1879" t="str" cm="1">
        <f t="array" ref="A1879">IF(INDEX(CUEs!$A:$A,INT((ROW()-1)/7)*57+MOD(ROW()-1,7)+50)&lt;&gt;"","set "&amp;INDEX(CUEs!$A:$A,INT((ROW()-1)/7)*57+MOD(ROW()-1,7)+50)&amp;"=/ s "&amp;INDEX(CUEs!$B:$B,INT((ROW()-1)/7)*57+MOD(ROW()-1,7)+50),"")</f>
        <v/>
      </c>
    </row>
    <row r="1880" spans="1:1" x14ac:dyDescent="0.25">
      <c r="A1880" t="str" cm="1">
        <f t="array" ref="A1880">IF(INDEX(CUEs!$A:$A,INT((ROW()-1)/7)*57+MOD(ROW()-1,7)+50)&lt;&gt;"","set "&amp;INDEX(CUEs!$A:$A,INT((ROW()-1)/7)*57+MOD(ROW()-1,7)+50)&amp;"=/ s "&amp;INDEX(CUEs!$B:$B,INT((ROW()-1)/7)*57+MOD(ROW()-1,7)+50),"")</f>
        <v/>
      </c>
    </row>
    <row r="1881" spans="1:1" x14ac:dyDescent="0.25">
      <c r="A1881" t="str" cm="1">
        <f t="array" ref="A1881">IF(INDEX(CUEs!$A:$A,INT((ROW()-1)/7)*57+MOD(ROW()-1,7)+50)&lt;&gt;"","set "&amp;INDEX(CUEs!$A:$A,INT((ROW()-1)/7)*57+MOD(ROW()-1,7)+50)&amp;"=/ s "&amp;INDEX(CUEs!$B:$B,INT((ROW()-1)/7)*57+MOD(ROW()-1,7)+50),"")</f>
        <v/>
      </c>
    </row>
    <row r="1882" spans="1:1" x14ac:dyDescent="0.25">
      <c r="A1882" t="str" cm="1">
        <f t="array" ref="A1882">IF(INDEX(CUEs!$A:$A,INT((ROW()-1)/7)*57+MOD(ROW()-1,7)+50)&lt;&gt;"","set "&amp;INDEX(CUEs!$A:$A,INT((ROW()-1)/7)*57+MOD(ROW()-1,7)+50)&amp;"=/ s "&amp;INDEX(CUEs!$B:$B,INT((ROW()-1)/7)*57+MOD(ROW()-1,7)+50),"")</f>
        <v/>
      </c>
    </row>
    <row r="1883" spans="1:1" x14ac:dyDescent="0.25">
      <c r="A1883" t="str" cm="1">
        <f t="array" ref="A1883">IF(INDEX(CUEs!$A:$A,INT((ROW()-1)/7)*57+MOD(ROW()-1,7)+50)&lt;&gt;"","set "&amp;INDEX(CUEs!$A:$A,INT((ROW()-1)/7)*57+MOD(ROW()-1,7)+50)&amp;"=/ s "&amp;INDEX(CUEs!$B:$B,INT((ROW()-1)/7)*57+MOD(ROW()-1,7)+50),"")</f>
        <v/>
      </c>
    </row>
    <row r="1884" spans="1:1" x14ac:dyDescent="0.25">
      <c r="A1884" t="str" cm="1">
        <f t="array" ref="A1884">IF(INDEX(CUEs!$A:$A,INT((ROW()-1)/7)*57+MOD(ROW()-1,7)+50)&lt;&gt;"","set "&amp;INDEX(CUEs!$A:$A,INT((ROW()-1)/7)*57+MOD(ROW()-1,7)+50)&amp;"=/ s "&amp;INDEX(CUEs!$B:$B,INT((ROW()-1)/7)*57+MOD(ROW()-1,7)+50),"")</f>
        <v/>
      </c>
    </row>
    <row r="1885" spans="1:1" x14ac:dyDescent="0.25">
      <c r="A1885" t="str" cm="1">
        <f t="array" ref="A1885">IF(INDEX(CUEs!$A:$A,INT((ROW()-1)/7)*57+MOD(ROW()-1,7)+50)&lt;&gt;"","set "&amp;INDEX(CUEs!$A:$A,INT((ROW()-1)/7)*57+MOD(ROW()-1,7)+50)&amp;"=/ s "&amp;INDEX(CUEs!$B:$B,INT((ROW()-1)/7)*57+MOD(ROW()-1,7)+50),"")</f>
        <v/>
      </c>
    </row>
    <row r="1886" spans="1:1" x14ac:dyDescent="0.25">
      <c r="A1886" t="str" cm="1">
        <f t="array" ref="A1886">IF(INDEX(CUEs!$A:$A,INT((ROW()-1)/7)*57+MOD(ROW()-1,7)+50)&lt;&gt;"","set "&amp;INDEX(CUEs!$A:$A,INT((ROW()-1)/7)*57+MOD(ROW()-1,7)+50)&amp;"=/ s "&amp;INDEX(CUEs!$B:$B,INT((ROW()-1)/7)*57+MOD(ROW()-1,7)+50),"")</f>
        <v/>
      </c>
    </row>
    <row r="1887" spans="1:1" x14ac:dyDescent="0.25">
      <c r="A1887" t="str" cm="1">
        <f t="array" ref="A1887">IF(INDEX(CUEs!$A:$A,INT((ROW()-1)/7)*57+MOD(ROW()-1,7)+50)&lt;&gt;"","set "&amp;INDEX(CUEs!$A:$A,INT((ROW()-1)/7)*57+MOD(ROW()-1,7)+50)&amp;"=/ s "&amp;INDEX(CUEs!$B:$B,INT((ROW()-1)/7)*57+MOD(ROW()-1,7)+50),"")</f>
        <v/>
      </c>
    </row>
    <row r="1888" spans="1:1" x14ac:dyDescent="0.25">
      <c r="A1888" t="str" cm="1">
        <f t="array" ref="A1888">IF(INDEX(CUEs!$A:$A,INT((ROW()-1)/7)*57+MOD(ROW()-1,7)+50)&lt;&gt;"","set "&amp;INDEX(CUEs!$A:$A,INT((ROW()-1)/7)*57+MOD(ROW()-1,7)+50)&amp;"=/ s "&amp;INDEX(CUEs!$B:$B,INT((ROW()-1)/7)*57+MOD(ROW()-1,7)+50),"")</f>
        <v/>
      </c>
    </row>
    <row r="1889" spans="1:1" x14ac:dyDescent="0.25">
      <c r="A1889" t="str" cm="1">
        <f t="array" ref="A1889">IF(INDEX(CUEs!$A:$A,INT((ROW()-1)/7)*57+MOD(ROW()-1,7)+50)&lt;&gt;"","set "&amp;INDEX(CUEs!$A:$A,INT((ROW()-1)/7)*57+MOD(ROW()-1,7)+50)&amp;"=/ s "&amp;INDEX(CUEs!$B:$B,INT((ROW()-1)/7)*57+MOD(ROW()-1,7)+50),"")</f>
        <v/>
      </c>
    </row>
    <row r="1890" spans="1:1" x14ac:dyDescent="0.25">
      <c r="A1890" t="str" cm="1">
        <f t="array" ref="A1890">IF(INDEX(CUEs!$A:$A,INT((ROW()-1)/7)*57+MOD(ROW()-1,7)+50)&lt;&gt;"","set "&amp;INDEX(CUEs!$A:$A,INT((ROW()-1)/7)*57+MOD(ROW()-1,7)+50)&amp;"=/ s "&amp;INDEX(CUEs!$B:$B,INT((ROW()-1)/7)*57+MOD(ROW()-1,7)+50),"")</f>
        <v/>
      </c>
    </row>
    <row r="1891" spans="1:1" x14ac:dyDescent="0.25">
      <c r="A1891" t="str" cm="1">
        <f t="array" ref="A1891">IF(INDEX(CUEs!$A:$A,INT((ROW()-1)/7)*57+MOD(ROW()-1,7)+50)&lt;&gt;"","set "&amp;INDEX(CUEs!$A:$A,INT((ROW()-1)/7)*57+MOD(ROW()-1,7)+50)&amp;"=/ s "&amp;INDEX(CUEs!$B:$B,INT((ROW()-1)/7)*57+MOD(ROW()-1,7)+50),"")</f>
        <v/>
      </c>
    </row>
    <row r="1892" spans="1:1" x14ac:dyDescent="0.25">
      <c r="A1892" t="str" cm="1">
        <f t="array" ref="A1892">IF(INDEX(CUEs!$A:$A,INT((ROW()-1)/7)*57+MOD(ROW()-1,7)+50)&lt;&gt;"","set "&amp;INDEX(CUEs!$A:$A,INT((ROW()-1)/7)*57+MOD(ROW()-1,7)+50)&amp;"=/ s "&amp;INDEX(CUEs!$B:$B,INT((ROW()-1)/7)*57+MOD(ROW()-1,7)+50),"")</f>
        <v/>
      </c>
    </row>
    <row r="1893" spans="1:1" x14ac:dyDescent="0.25">
      <c r="A1893" t="str" cm="1">
        <f t="array" ref="A1893">IF(INDEX(CUEs!$A:$A,INT((ROW()-1)/7)*57+MOD(ROW()-1,7)+50)&lt;&gt;"","set "&amp;INDEX(CUEs!$A:$A,INT((ROW()-1)/7)*57+MOD(ROW()-1,7)+50)&amp;"=/ s "&amp;INDEX(CUEs!$B:$B,INT((ROW()-1)/7)*57+MOD(ROW()-1,7)+50),"")</f>
        <v/>
      </c>
    </row>
    <row r="1894" spans="1:1" x14ac:dyDescent="0.25">
      <c r="A1894" t="str" cm="1">
        <f t="array" ref="A1894">IF(INDEX(CUEs!$A:$A,INT((ROW()-1)/7)*57+MOD(ROW()-1,7)+50)&lt;&gt;"","set "&amp;INDEX(CUEs!$A:$A,INT((ROW()-1)/7)*57+MOD(ROW()-1,7)+50)&amp;"=/ s "&amp;INDEX(CUEs!$B:$B,INT((ROW()-1)/7)*57+MOD(ROW()-1,7)+50),"")</f>
        <v/>
      </c>
    </row>
    <row r="1895" spans="1:1" x14ac:dyDescent="0.25">
      <c r="A1895" t="str" cm="1">
        <f t="array" ref="A1895">IF(INDEX(CUEs!$A:$A,INT((ROW()-1)/7)*57+MOD(ROW()-1,7)+50)&lt;&gt;"","set "&amp;INDEX(CUEs!$A:$A,INT((ROW()-1)/7)*57+MOD(ROW()-1,7)+50)&amp;"=/ s "&amp;INDEX(CUEs!$B:$B,INT((ROW()-1)/7)*57+MOD(ROW()-1,7)+50),"")</f>
        <v/>
      </c>
    </row>
    <row r="1896" spans="1:1" x14ac:dyDescent="0.25">
      <c r="A1896" t="str" cm="1">
        <f t="array" ref="A1896">IF(INDEX(CUEs!$A:$A,INT((ROW()-1)/7)*57+MOD(ROW()-1,7)+50)&lt;&gt;"","set "&amp;INDEX(CUEs!$A:$A,INT((ROW()-1)/7)*57+MOD(ROW()-1,7)+50)&amp;"=/ s "&amp;INDEX(CUEs!$B:$B,INT((ROW()-1)/7)*57+MOD(ROW()-1,7)+50),"")</f>
        <v/>
      </c>
    </row>
    <row r="1897" spans="1:1" x14ac:dyDescent="0.25">
      <c r="A1897" t="str" cm="1">
        <f t="array" ref="A1897">IF(INDEX(CUEs!$A:$A,INT((ROW()-1)/7)*57+MOD(ROW()-1,7)+50)&lt;&gt;"","set "&amp;INDEX(CUEs!$A:$A,INT((ROW()-1)/7)*57+MOD(ROW()-1,7)+50)&amp;"=/ s "&amp;INDEX(CUEs!$B:$B,INT((ROW()-1)/7)*57+MOD(ROW()-1,7)+50),"")</f>
        <v/>
      </c>
    </row>
    <row r="1898" spans="1:1" x14ac:dyDescent="0.25">
      <c r="A1898" t="str" cm="1">
        <f t="array" ref="A1898">IF(INDEX(CUEs!$A:$A,INT((ROW()-1)/7)*57+MOD(ROW()-1,7)+50)&lt;&gt;"","set "&amp;INDEX(CUEs!$A:$A,INT((ROW()-1)/7)*57+MOD(ROW()-1,7)+50)&amp;"=/ s "&amp;INDEX(CUEs!$B:$B,INT((ROW()-1)/7)*57+MOD(ROW()-1,7)+50),"")</f>
        <v/>
      </c>
    </row>
    <row r="1899" spans="1:1" x14ac:dyDescent="0.25">
      <c r="A1899" t="str" cm="1">
        <f t="array" ref="A1899">IF(INDEX(CUEs!$A:$A,INT((ROW()-1)/7)*57+MOD(ROW()-1,7)+50)&lt;&gt;"","set "&amp;INDEX(CUEs!$A:$A,INT((ROW()-1)/7)*57+MOD(ROW()-1,7)+50)&amp;"=/ s "&amp;INDEX(CUEs!$B:$B,INT((ROW()-1)/7)*57+MOD(ROW()-1,7)+50),"")</f>
        <v/>
      </c>
    </row>
    <row r="1900" spans="1:1" x14ac:dyDescent="0.25">
      <c r="A1900" t="str" cm="1">
        <f t="array" ref="A1900">IF(INDEX(CUEs!$A:$A,INT((ROW()-1)/7)*57+MOD(ROW()-1,7)+50)&lt;&gt;"","set "&amp;INDEX(CUEs!$A:$A,INT((ROW()-1)/7)*57+MOD(ROW()-1,7)+50)&amp;"=/ s "&amp;INDEX(CUEs!$B:$B,INT((ROW()-1)/7)*57+MOD(ROW()-1,7)+50),"")</f>
        <v/>
      </c>
    </row>
    <row r="1901" spans="1:1" x14ac:dyDescent="0.25">
      <c r="A1901" t="str" cm="1">
        <f t="array" ref="A1901">IF(INDEX(CUEs!$A:$A,INT((ROW()-1)/7)*57+MOD(ROW()-1,7)+50)&lt;&gt;"","set "&amp;INDEX(CUEs!$A:$A,INT((ROW()-1)/7)*57+MOD(ROW()-1,7)+50)&amp;"=/ s "&amp;INDEX(CUEs!$B:$B,INT((ROW()-1)/7)*57+MOD(ROW()-1,7)+50),"")</f>
        <v/>
      </c>
    </row>
    <row r="1902" spans="1:1" x14ac:dyDescent="0.25">
      <c r="A1902" t="str" cm="1">
        <f t="array" ref="A1902">IF(INDEX(CUEs!$A:$A,INT((ROW()-1)/7)*57+MOD(ROW()-1,7)+50)&lt;&gt;"","set "&amp;INDEX(CUEs!$A:$A,INT((ROW()-1)/7)*57+MOD(ROW()-1,7)+50)&amp;"=/ s "&amp;INDEX(CUEs!$B:$B,INT((ROW()-1)/7)*57+MOD(ROW()-1,7)+50),"")</f>
        <v/>
      </c>
    </row>
    <row r="1903" spans="1:1" x14ac:dyDescent="0.25">
      <c r="A1903" t="str" cm="1">
        <f t="array" ref="A1903">IF(INDEX(CUEs!$A:$A,INT((ROW()-1)/7)*57+MOD(ROW()-1,7)+50)&lt;&gt;"","set "&amp;INDEX(CUEs!$A:$A,INT((ROW()-1)/7)*57+MOD(ROW()-1,7)+50)&amp;"=/ s "&amp;INDEX(CUEs!$B:$B,INT((ROW()-1)/7)*57+MOD(ROW()-1,7)+50),"")</f>
        <v/>
      </c>
    </row>
    <row r="1904" spans="1:1" x14ac:dyDescent="0.25">
      <c r="A1904" t="str" cm="1">
        <f t="array" ref="A1904">IF(INDEX(CUEs!$A:$A,INT((ROW()-1)/7)*57+MOD(ROW()-1,7)+50)&lt;&gt;"","set "&amp;INDEX(CUEs!$A:$A,INT((ROW()-1)/7)*57+MOD(ROW()-1,7)+50)&amp;"=/ s "&amp;INDEX(CUEs!$B:$B,INT((ROW()-1)/7)*57+MOD(ROW()-1,7)+50),"")</f>
        <v/>
      </c>
    </row>
    <row r="1905" spans="1:1" x14ac:dyDescent="0.25">
      <c r="A1905" t="str" cm="1">
        <f t="array" ref="A1905">IF(INDEX(CUEs!$A:$A,INT((ROW()-1)/7)*57+MOD(ROW()-1,7)+50)&lt;&gt;"","set "&amp;INDEX(CUEs!$A:$A,INT((ROW()-1)/7)*57+MOD(ROW()-1,7)+50)&amp;"=/ s "&amp;INDEX(CUEs!$B:$B,INT((ROW()-1)/7)*57+MOD(ROW()-1,7)+50),"")</f>
        <v/>
      </c>
    </row>
    <row r="1906" spans="1:1" x14ac:dyDescent="0.25">
      <c r="A1906" t="str" cm="1">
        <f t="array" ref="A1906">IF(INDEX(CUEs!$A:$A,INT((ROW()-1)/7)*57+MOD(ROW()-1,7)+50)&lt;&gt;"","set "&amp;INDEX(CUEs!$A:$A,INT((ROW()-1)/7)*57+MOD(ROW()-1,7)+50)&amp;"=/ s "&amp;INDEX(CUEs!$B:$B,INT((ROW()-1)/7)*57+MOD(ROW()-1,7)+50),"")</f>
        <v/>
      </c>
    </row>
    <row r="1907" spans="1:1" x14ac:dyDescent="0.25">
      <c r="A1907" t="str" cm="1">
        <f t="array" ref="A1907">IF(INDEX(CUEs!$A:$A,INT((ROW()-1)/7)*57+MOD(ROW()-1,7)+50)&lt;&gt;"","set "&amp;INDEX(CUEs!$A:$A,INT((ROW()-1)/7)*57+MOD(ROW()-1,7)+50)&amp;"=/ s "&amp;INDEX(CUEs!$B:$B,INT((ROW()-1)/7)*57+MOD(ROW()-1,7)+50),"")</f>
        <v/>
      </c>
    </row>
    <row r="1908" spans="1:1" x14ac:dyDescent="0.25">
      <c r="A1908" t="str" cm="1">
        <f t="array" ref="A1908">IF(INDEX(CUEs!$A:$A,INT((ROW()-1)/7)*57+MOD(ROW()-1,7)+50)&lt;&gt;"","set "&amp;INDEX(CUEs!$A:$A,INT((ROW()-1)/7)*57+MOD(ROW()-1,7)+50)&amp;"=/ s "&amp;INDEX(CUEs!$B:$B,INT((ROW()-1)/7)*57+MOD(ROW()-1,7)+50),"")</f>
        <v/>
      </c>
    </row>
    <row r="1909" spans="1:1" x14ac:dyDescent="0.25">
      <c r="A1909" t="str" cm="1">
        <f t="array" ref="A1909">IF(INDEX(CUEs!$A:$A,INT((ROW()-1)/7)*57+MOD(ROW()-1,7)+50)&lt;&gt;"","set "&amp;INDEX(CUEs!$A:$A,INT((ROW()-1)/7)*57+MOD(ROW()-1,7)+50)&amp;"=/ s "&amp;INDEX(CUEs!$B:$B,INT((ROW()-1)/7)*57+MOD(ROW()-1,7)+50),"")</f>
        <v/>
      </c>
    </row>
    <row r="1910" spans="1:1" x14ac:dyDescent="0.25">
      <c r="A1910" t="str" cm="1">
        <f t="array" ref="A1910">IF(INDEX(CUEs!$A:$A,INT((ROW()-1)/7)*57+MOD(ROW()-1,7)+50)&lt;&gt;"","set "&amp;INDEX(CUEs!$A:$A,INT((ROW()-1)/7)*57+MOD(ROW()-1,7)+50)&amp;"=/ s "&amp;INDEX(CUEs!$B:$B,INT((ROW()-1)/7)*57+MOD(ROW()-1,7)+50),"")</f>
        <v/>
      </c>
    </row>
    <row r="1911" spans="1:1" x14ac:dyDescent="0.25">
      <c r="A1911" t="str" cm="1">
        <f t="array" ref="A1911">IF(INDEX(CUEs!$A:$A,INT((ROW()-1)/7)*57+MOD(ROW()-1,7)+50)&lt;&gt;"","set "&amp;INDEX(CUEs!$A:$A,INT((ROW()-1)/7)*57+MOD(ROW()-1,7)+50)&amp;"=/ s "&amp;INDEX(CUEs!$B:$B,INT((ROW()-1)/7)*57+MOD(ROW()-1,7)+50),"")</f>
        <v/>
      </c>
    </row>
    <row r="1912" spans="1:1" x14ac:dyDescent="0.25">
      <c r="A1912" t="str" cm="1">
        <f t="array" ref="A1912">IF(INDEX(CUEs!$A:$A,INT((ROW()-1)/7)*57+MOD(ROW()-1,7)+50)&lt;&gt;"","set "&amp;INDEX(CUEs!$A:$A,INT((ROW()-1)/7)*57+MOD(ROW()-1,7)+50)&amp;"=/ s "&amp;INDEX(CUEs!$B:$B,INT((ROW()-1)/7)*57+MOD(ROW()-1,7)+50),"")</f>
        <v/>
      </c>
    </row>
    <row r="1913" spans="1:1" x14ac:dyDescent="0.25">
      <c r="A1913" t="str" cm="1">
        <f t="array" ref="A1913">IF(INDEX(CUEs!$A:$A,INT((ROW()-1)/7)*57+MOD(ROW()-1,7)+50)&lt;&gt;"","set "&amp;INDEX(CUEs!$A:$A,INT((ROW()-1)/7)*57+MOD(ROW()-1,7)+50)&amp;"=/ s "&amp;INDEX(CUEs!$B:$B,INT((ROW()-1)/7)*57+MOD(ROW()-1,7)+50),"")</f>
        <v/>
      </c>
    </row>
    <row r="1914" spans="1:1" x14ac:dyDescent="0.25">
      <c r="A1914" t="str" cm="1">
        <f t="array" ref="A1914">IF(INDEX(CUEs!$A:$A,INT((ROW()-1)/7)*57+MOD(ROW()-1,7)+50)&lt;&gt;"","set "&amp;INDEX(CUEs!$A:$A,INT((ROW()-1)/7)*57+MOD(ROW()-1,7)+50)&amp;"=/ s "&amp;INDEX(CUEs!$B:$B,INT((ROW()-1)/7)*57+MOD(ROW()-1,7)+50),"")</f>
        <v/>
      </c>
    </row>
    <row r="1915" spans="1:1" x14ac:dyDescent="0.25">
      <c r="A1915" t="str" cm="1">
        <f t="array" ref="A1915">IF(INDEX(CUEs!$A:$A,INT((ROW()-1)/7)*57+MOD(ROW()-1,7)+50)&lt;&gt;"","set "&amp;INDEX(CUEs!$A:$A,INT((ROW()-1)/7)*57+MOD(ROW()-1,7)+50)&amp;"=/ s "&amp;INDEX(CUEs!$B:$B,INT((ROW()-1)/7)*57+MOD(ROW()-1,7)+50),"")</f>
        <v/>
      </c>
    </row>
    <row r="1916" spans="1:1" x14ac:dyDescent="0.25">
      <c r="A1916" t="str" cm="1">
        <f t="array" ref="A1916">IF(INDEX(CUEs!$A:$A,INT((ROW()-1)/7)*57+MOD(ROW()-1,7)+50)&lt;&gt;"","set "&amp;INDEX(CUEs!$A:$A,INT((ROW()-1)/7)*57+MOD(ROW()-1,7)+50)&amp;"=/ s "&amp;INDEX(CUEs!$B:$B,INT((ROW()-1)/7)*57+MOD(ROW()-1,7)+50),"")</f>
        <v/>
      </c>
    </row>
    <row r="1917" spans="1:1" x14ac:dyDescent="0.25">
      <c r="A1917" t="str" cm="1">
        <f t="array" ref="A1917">IF(INDEX(CUEs!$A:$A,INT((ROW()-1)/7)*57+MOD(ROW()-1,7)+50)&lt;&gt;"","set "&amp;INDEX(CUEs!$A:$A,INT((ROW()-1)/7)*57+MOD(ROW()-1,7)+50)&amp;"=/ s "&amp;INDEX(CUEs!$B:$B,INT((ROW()-1)/7)*57+MOD(ROW()-1,7)+50),"")</f>
        <v/>
      </c>
    </row>
    <row r="1918" spans="1:1" x14ac:dyDescent="0.25">
      <c r="A1918" t="str" cm="1">
        <f t="array" ref="A1918">IF(INDEX(CUEs!$A:$A,INT((ROW()-1)/7)*57+MOD(ROW()-1,7)+50)&lt;&gt;"","set "&amp;INDEX(CUEs!$A:$A,INT((ROW()-1)/7)*57+MOD(ROW()-1,7)+50)&amp;"=/ s "&amp;INDEX(CUEs!$B:$B,INT((ROW()-1)/7)*57+MOD(ROW()-1,7)+50),"")</f>
        <v/>
      </c>
    </row>
    <row r="1919" spans="1:1" x14ac:dyDescent="0.25">
      <c r="A1919" t="str" cm="1">
        <f t="array" ref="A1919">IF(INDEX(CUEs!$A:$A,INT((ROW()-1)/7)*57+MOD(ROW()-1,7)+50)&lt;&gt;"","set "&amp;INDEX(CUEs!$A:$A,INT((ROW()-1)/7)*57+MOD(ROW()-1,7)+50)&amp;"=/ s "&amp;INDEX(CUEs!$B:$B,INT((ROW()-1)/7)*57+MOD(ROW()-1,7)+50),"")</f>
        <v/>
      </c>
    </row>
    <row r="1920" spans="1:1" x14ac:dyDescent="0.25">
      <c r="A1920" t="str" cm="1">
        <f t="array" ref="A1920">IF(INDEX(CUEs!$A:$A,INT((ROW()-1)/7)*57+MOD(ROW()-1,7)+50)&lt;&gt;"","set "&amp;INDEX(CUEs!$A:$A,INT((ROW()-1)/7)*57+MOD(ROW()-1,7)+50)&amp;"=/ s "&amp;INDEX(CUEs!$B:$B,INT((ROW()-1)/7)*57+MOD(ROW()-1,7)+50),"")</f>
        <v/>
      </c>
    </row>
    <row r="1921" spans="1:1" x14ac:dyDescent="0.25">
      <c r="A1921" t="str" cm="1">
        <f t="array" ref="A1921">IF(INDEX(CUEs!$A:$A,INT((ROW()-1)/7)*57+MOD(ROW()-1,7)+50)&lt;&gt;"","set "&amp;INDEX(CUEs!$A:$A,INT((ROW()-1)/7)*57+MOD(ROW()-1,7)+50)&amp;"=/ s "&amp;INDEX(CUEs!$B:$B,INT((ROW()-1)/7)*57+MOD(ROW()-1,7)+50),"")</f>
        <v/>
      </c>
    </row>
    <row r="1922" spans="1:1" x14ac:dyDescent="0.25">
      <c r="A1922" t="str" cm="1">
        <f t="array" ref="A1922">IF(INDEX(CUEs!$A:$A,INT((ROW()-1)/7)*57+MOD(ROW()-1,7)+50)&lt;&gt;"","set "&amp;INDEX(CUEs!$A:$A,INT((ROW()-1)/7)*57+MOD(ROW()-1,7)+50)&amp;"=/ s "&amp;INDEX(CUEs!$B:$B,INT((ROW()-1)/7)*57+MOD(ROW()-1,7)+50),"")</f>
        <v/>
      </c>
    </row>
    <row r="1923" spans="1:1" x14ac:dyDescent="0.25">
      <c r="A1923" t="str" cm="1">
        <f t="array" ref="A1923">IF(INDEX(CUEs!$A:$A,INT((ROW()-1)/7)*57+MOD(ROW()-1,7)+50)&lt;&gt;"","set "&amp;INDEX(CUEs!$A:$A,INT((ROW()-1)/7)*57+MOD(ROW()-1,7)+50)&amp;"=/ s "&amp;INDEX(CUEs!$B:$B,INT((ROW()-1)/7)*57+MOD(ROW()-1,7)+50),"")</f>
        <v/>
      </c>
    </row>
    <row r="1924" spans="1:1" x14ac:dyDescent="0.25">
      <c r="A1924" t="str" cm="1">
        <f t="array" ref="A1924">IF(INDEX(CUEs!$A:$A,INT((ROW()-1)/7)*57+MOD(ROW()-1,7)+50)&lt;&gt;"","set "&amp;INDEX(CUEs!$A:$A,INT((ROW()-1)/7)*57+MOD(ROW()-1,7)+50)&amp;"=/ s "&amp;INDEX(CUEs!$B:$B,INT((ROW()-1)/7)*57+MOD(ROW()-1,7)+50),"")</f>
        <v/>
      </c>
    </row>
    <row r="1925" spans="1:1" x14ac:dyDescent="0.25">
      <c r="A1925" t="str" cm="1">
        <f t="array" ref="A1925">IF(INDEX(CUEs!$A:$A,INT((ROW()-1)/7)*57+MOD(ROW()-1,7)+50)&lt;&gt;"","set "&amp;INDEX(CUEs!$A:$A,INT((ROW()-1)/7)*57+MOD(ROW()-1,7)+50)&amp;"=/ s "&amp;INDEX(CUEs!$B:$B,INT((ROW()-1)/7)*57+MOD(ROW()-1,7)+50),"")</f>
        <v/>
      </c>
    </row>
    <row r="1926" spans="1:1" x14ac:dyDescent="0.25">
      <c r="A1926" t="str" cm="1">
        <f t="array" ref="A1926">IF(INDEX(CUEs!$A:$A,INT((ROW()-1)/7)*57+MOD(ROW()-1,7)+50)&lt;&gt;"","set "&amp;INDEX(CUEs!$A:$A,INT((ROW()-1)/7)*57+MOD(ROW()-1,7)+50)&amp;"=/ s "&amp;INDEX(CUEs!$B:$B,INT((ROW()-1)/7)*57+MOD(ROW()-1,7)+50),"")</f>
        <v/>
      </c>
    </row>
    <row r="1927" spans="1:1" x14ac:dyDescent="0.25">
      <c r="A1927" t="str" cm="1">
        <f t="array" ref="A1927">IF(INDEX(CUEs!$A:$A,INT((ROW()-1)/7)*57+MOD(ROW()-1,7)+50)&lt;&gt;"","set "&amp;INDEX(CUEs!$A:$A,INT((ROW()-1)/7)*57+MOD(ROW()-1,7)+50)&amp;"=/ s "&amp;INDEX(CUEs!$B:$B,INT((ROW()-1)/7)*57+MOD(ROW()-1,7)+50),"")</f>
        <v/>
      </c>
    </row>
    <row r="1928" spans="1:1" x14ac:dyDescent="0.25">
      <c r="A1928" t="str" cm="1">
        <f t="array" ref="A1928">IF(INDEX(CUEs!$A:$A,INT((ROW()-1)/7)*57+MOD(ROW()-1,7)+50)&lt;&gt;"","set "&amp;INDEX(CUEs!$A:$A,INT((ROW()-1)/7)*57+MOD(ROW()-1,7)+50)&amp;"=/ s "&amp;INDEX(CUEs!$B:$B,INT((ROW()-1)/7)*57+MOD(ROW()-1,7)+50),"")</f>
        <v/>
      </c>
    </row>
    <row r="1929" spans="1:1" x14ac:dyDescent="0.25">
      <c r="A1929" t="str" cm="1">
        <f t="array" ref="A1929">IF(INDEX(CUEs!$A:$A,INT((ROW()-1)/7)*57+MOD(ROW()-1,7)+50)&lt;&gt;"","set "&amp;INDEX(CUEs!$A:$A,INT((ROW()-1)/7)*57+MOD(ROW()-1,7)+50)&amp;"=/ s "&amp;INDEX(CUEs!$B:$B,INT((ROW()-1)/7)*57+MOD(ROW()-1,7)+50),"")</f>
        <v/>
      </c>
    </row>
    <row r="1930" spans="1:1" x14ac:dyDescent="0.25">
      <c r="A1930" t="str" cm="1">
        <f t="array" ref="A1930">IF(INDEX(CUEs!$A:$A,INT((ROW()-1)/7)*57+MOD(ROW()-1,7)+50)&lt;&gt;"","set "&amp;INDEX(CUEs!$A:$A,INT((ROW()-1)/7)*57+MOD(ROW()-1,7)+50)&amp;"=/ s "&amp;INDEX(CUEs!$B:$B,INT((ROW()-1)/7)*57+MOD(ROW()-1,7)+50),"")</f>
        <v/>
      </c>
    </row>
    <row r="1931" spans="1:1" x14ac:dyDescent="0.25">
      <c r="A1931" t="str" cm="1">
        <f t="array" ref="A1931">IF(INDEX(CUEs!$A:$A,INT((ROW()-1)/7)*57+MOD(ROW()-1,7)+50)&lt;&gt;"","set "&amp;INDEX(CUEs!$A:$A,INT((ROW()-1)/7)*57+MOD(ROW()-1,7)+50)&amp;"=/ s "&amp;INDEX(CUEs!$B:$B,INT((ROW()-1)/7)*57+MOD(ROW()-1,7)+50),"")</f>
        <v/>
      </c>
    </row>
    <row r="1932" spans="1:1" x14ac:dyDescent="0.25">
      <c r="A1932" t="str" cm="1">
        <f t="array" ref="A1932">IF(INDEX(CUEs!$A:$A,INT((ROW()-1)/7)*57+MOD(ROW()-1,7)+50)&lt;&gt;"","set "&amp;INDEX(CUEs!$A:$A,INT((ROW()-1)/7)*57+MOD(ROW()-1,7)+50)&amp;"=/ s "&amp;INDEX(CUEs!$B:$B,INT((ROW()-1)/7)*57+MOD(ROW()-1,7)+50),"")</f>
        <v/>
      </c>
    </row>
    <row r="1933" spans="1:1" x14ac:dyDescent="0.25">
      <c r="A1933" t="str" cm="1">
        <f t="array" ref="A1933">IF(INDEX(CUEs!$A:$A,INT((ROW()-1)/7)*57+MOD(ROW()-1,7)+50)&lt;&gt;"","set "&amp;INDEX(CUEs!$A:$A,INT((ROW()-1)/7)*57+MOD(ROW()-1,7)+50)&amp;"=/ s "&amp;INDEX(CUEs!$B:$B,INT((ROW()-1)/7)*57+MOD(ROW()-1,7)+50),"")</f>
        <v/>
      </c>
    </row>
    <row r="1934" spans="1:1" x14ac:dyDescent="0.25">
      <c r="A1934" t="str" cm="1">
        <f t="array" ref="A1934">IF(INDEX(CUEs!$A:$A,INT((ROW()-1)/7)*57+MOD(ROW()-1,7)+50)&lt;&gt;"","set "&amp;INDEX(CUEs!$A:$A,INT((ROW()-1)/7)*57+MOD(ROW()-1,7)+50)&amp;"=/ s "&amp;INDEX(CUEs!$B:$B,INT((ROW()-1)/7)*57+MOD(ROW()-1,7)+50),"")</f>
        <v/>
      </c>
    </row>
    <row r="1935" spans="1:1" x14ac:dyDescent="0.25">
      <c r="A1935" t="str" cm="1">
        <f t="array" ref="A1935">IF(INDEX(CUEs!$A:$A,INT((ROW()-1)/7)*57+MOD(ROW()-1,7)+50)&lt;&gt;"","set "&amp;INDEX(CUEs!$A:$A,INT((ROW()-1)/7)*57+MOD(ROW()-1,7)+50)&amp;"=/ s "&amp;INDEX(CUEs!$B:$B,INT((ROW()-1)/7)*57+MOD(ROW()-1,7)+50),"")</f>
        <v/>
      </c>
    </row>
    <row r="1936" spans="1:1" x14ac:dyDescent="0.25">
      <c r="A1936" t="str" cm="1">
        <f t="array" ref="A1936">IF(INDEX(CUEs!$A:$A,INT((ROW()-1)/7)*57+MOD(ROW()-1,7)+50)&lt;&gt;"","set "&amp;INDEX(CUEs!$A:$A,INT((ROW()-1)/7)*57+MOD(ROW()-1,7)+50)&amp;"=/ s "&amp;INDEX(CUEs!$B:$B,INT((ROW()-1)/7)*57+MOD(ROW()-1,7)+50),"")</f>
        <v/>
      </c>
    </row>
    <row r="1937" spans="1:1" x14ac:dyDescent="0.25">
      <c r="A1937" t="str" cm="1">
        <f t="array" ref="A1937">IF(INDEX(CUEs!$A:$A,INT((ROW()-1)/7)*57+MOD(ROW()-1,7)+50)&lt;&gt;"","set "&amp;INDEX(CUEs!$A:$A,INT((ROW()-1)/7)*57+MOD(ROW()-1,7)+50)&amp;"=/ s "&amp;INDEX(CUEs!$B:$B,INT((ROW()-1)/7)*57+MOD(ROW()-1,7)+50),"")</f>
        <v/>
      </c>
    </row>
    <row r="1938" spans="1:1" x14ac:dyDescent="0.25">
      <c r="A1938" t="str" cm="1">
        <f t="array" ref="A1938">IF(INDEX(CUEs!$A:$A,INT((ROW()-1)/7)*57+MOD(ROW()-1,7)+50)&lt;&gt;"","set "&amp;INDEX(CUEs!$A:$A,INT((ROW()-1)/7)*57+MOD(ROW()-1,7)+50)&amp;"=/ s "&amp;INDEX(CUEs!$B:$B,INT((ROW()-1)/7)*57+MOD(ROW()-1,7)+50),"")</f>
        <v/>
      </c>
    </row>
    <row r="1939" spans="1:1" x14ac:dyDescent="0.25">
      <c r="A1939" t="str" cm="1">
        <f t="array" ref="A1939">IF(INDEX(CUEs!$A:$A,INT((ROW()-1)/7)*57+MOD(ROW()-1,7)+50)&lt;&gt;"","set "&amp;INDEX(CUEs!$A:$A,INT((ROW()-1)/7)*57+MOD(ROW()-1,7)+50)&amp;"=/ s "&amp;INDEX(CUEs!$B:$B,INT((ROW()-1)/7)*57+MOD(ROW()-1,7)+50),"")</f>
        <v/>
      </c>
    </row>
    <row r="1940" spans="1:1" x14ac:dyDescent="0.25">
      <c r="A1940" t="str" cm="1">
        <f t="array" ref="A1940">IF(INDEX(CUEs!$A:$A,INT((ROW()-1)/7)*57+MOD(ROW()-1,7)+50)&lt;&gt;"","set "&amp;INDEX(CUEs!$A:$A,INT((ROW()-1)/7)*57+MOD(ROW()-1,7)+50)&amp;"=/ s "&amp;INDEX(CUEs!$B:$B,INT((ROW()-1)/7)*57+MOD(ROW()-1,7)+50),"")</f>
        <v/>
      </c>
    </row>
    <row r="1941" spans="1:1" x14ac:dyDescent="0.25">
      <c r="A1941" t="str" cm="1">
        <f t="array" ref="A1941">IF(INDEX(CUEs!$A:$A,INT((ROW()-1)/7)*57+MOD(ROW()-1,7)+50)&lt;&gt;"","set "&amp;INDEX(CUEs!$A:$A,INT((ROW()-1)/7)*57+MOD(ROW()-1,7)+50)&amp;"=/ s "&amp;INDEX(CUEs!$B:$B,INT((ROW()-1)/7)*57+MOD(ROW()-1,7)+50),"")</f>
        <v/>
      </c>
    </row>
    <row r="1942" spans="1:1" x14ac:dyDescent="0.25">
      <c r="A1942" t="str" cm="1">
        <f t="array" ref="A1942">IF(INDEX(CUEs!$A:$A,INT((ROW()-1)/7)*57+MOD(ROW()-1,7)+50)&lt;&gt;"","set "&amp;INDEX(CUEs!$A:$A,INT((ROW()-1)/7)*57+MOD(ROW()-1,7)+50)&amp;"=/ s "&amp;INDEX(CUEs!$B:$B,INT((ROW()-1)/7)*57+MOD(ROW()-1,7)+50),"")</f>
        <v/>
      </c>
    </row>
    <row r="1943" spans="1:1" x14ac:dyDescent="0.25">
      <c r="A1943" t="str" cm="1">
        <f t="array" ref="A1943">IF(INDEX(CUEs!$A:$A,INT((ROW()-1)/7)*57+MOD(ROW()-1,7)+50)&lt;&gt;"","set "&amp;INDEX(CUEs!$A:$A,INT((ROW()-1)/7)*57+MOD(ROW()-1,7)+50)&amp;"=/ s "&amp;INDEX(CUEs!$B:$B,INT((ROW()-1)/7)*57+MOD(ROW()-1,7)+50),"")</f>
        <v/>
      </c>
    </row>
    <row r="1944" spans="1:1" x14ac:dyDescent="0.25">
      <c r="A1944" t="str" cm="1">
        <f t="array" ref="A1944">IF(INDEX(CUEs!$A:$A,INT((ROW()-1)/7)*57+MOD(ROW()-1,7)+50)&lt;&gt;"","set "&amp;INDEX(CUEs!$A:$A,INT((ROW()-1)/7)*57+MOD(ROW()-1,7)+50)&amp;"=/ s "&amp;INDEX(CUEs!$B:$B,INT((ROW()-1)/7)*57+MOD(ROW()-1,7)+50),"")</f>
        <v/>
      </c>
    </row>
    <row r="1945" spans="1:1" x14ac:dyDescent="0.25">
      <c r="A1945" t="str" cm="1">
        <f t="array" ref="A1945">IF(INDEX(CUEs!$A:$A,INT((ROW()-1)/7)*57+MOD(ROW()-1,7)+50)&lt;&gt;"","set "&amp;INDEX(CUEs!$A:$A,INT((ROW()-1)/7)*57+MOD(ROW()-1,7)+50)&amp;"=/ s "&amp;INDEX(CUEs!$B:$B,INT((ROW()-1)/7)*57+MOD(ROW()-1,7)+50),"")</f>
        <v/>
      </c>
    </row>
    <row r="1946" spans="1:1" x14ac:dyDescent="0.25">
      <c r="A1946" t="str" cm="1">
        <f t="array" ref="A1946">IF(INDEX(CUEs!$A:$A,INT((ROW()-1)/7)*57+MOD(ROW()-1,7)+50)&lt;&gt;"","set "&amp;INDEX(CUEs!$A:$A,INT((ROW()-1)/7)*57+MOD(ROW()-1,7)+50)&amp;"=/ s "&amp;INDEX(CUEs!$B:$B,INT((ROW()-1)/7)*57+MOD(ROW()-1,7)+50),"")</f>
        <v/>
      </c>
    </row>
    <row r="1947" spans="1:1" x14ac:dyDescent="0.25">
      <c r="A1947" t="str" cm="1">
        <f t="array" ref="A1947">IF(INDEX(CUEs!$A:$A,INT((ROW()-1)/7)*57+MOD(ROW()-1,7)+50)&lt;&gt;"","set "&amp;INDEX(CUEs!$A:$A,INT((ROW()-1)/7)*57+MOD(ROW()-1,7)+50)&amp;"=/ s "&amp;INDEX(CUEs!$B:$B,INT((ROW()-1)/7)*57+MOD(ROW()-1,7)+50),"")</f>
        <v/>
      </c>
    </row>
    <row r="1948" spans="1:1" x14ac:dyDescent="0.25">
      <c r="A1948" t="str" cm="1">
        <f t="array" ref="A1948">IF(INDEX(CUEs!$A:$A,INT((ROW()-1)/7)*57+MOD(ROW()-1,7)+50)&lt;&gt;"","set "&amp;INDEX(CUEs!$A:$A,INT((ROW()-1)/7)*57+MOD(ROW()-1,7)+50)&amp;"=/ s "&amp;INDEX(CUEs!$B:$B,INT((ROW()-1)/7)*57+MOD(ROW()-1,7)+50),"")</f>
        <v/>
      </c>
    </row>
    <row r="1949" spans="1:1" x14ac:dyDescent="0.25">
      <c r="A1949" t="str" cm="1">
        <f t="array" ref="A1949">IF(INDEX(CUEs!$A:$A,INT((ROW()-1)/7)*57+MOD(ROW()-1,7)+50)&lt;&gt;"","set "&amp;INDEX(CUEs!$A:$A,INT((ROW()-1)/7)*57+MOD(ROW()-1,7)+50)&amp;"=/ s "&amp;INDEX(CUEs!$B:$B,INT((ROW()-1)/7)*57+MOD(ROW()-1,7)+50),"")</f>
        <v/>
      </c>
    </row>
    <row r="1950" spans="1:1" x14ac:dyDescent="0.25">
      <c r="A1950" t="str" cm="1">
        <f t="array" ref="A1950">IF(INDEX(CUEs!$A:$A,INT((ROW()-1)/7)*57+MOD(ROW()-1,7)+50)&lt;&gt;"","set "&amp;INDEX(CUEs!$A:$A,INT((ROW()-1)/7)*57+MOD(ROW()-1,7)+50)&amp;"=/ s "&amp;INDEX(CUEs!$B:$B,INT((ROW()-1)/7)*57+MOD(ROW()-1,7)+50),"")</f>
        <v/>
      </c>
    </row>
    <row r="1951" spans="1:1" x14ac:dyDescent="0.25">
      <c r="A1951" t="str" cm="1">
        <f t="array" ref="A1951">IF(INDEX(CUEs!$A:$A,INT((ROW()-1)/7)*57+MOD(ROW()-1,7)+50)&lt;&gt;"","set "&amp;INDEX(CUEs!$A:$A,INT((ROW()-1)/7)*57+MOD(ROW()-1,7)+50)&amp;"=/ s "&amp;INDEX(CUEs!$B:$B,INT((ROW()-1)/7)*57+MOD(ROW()-1,7)+50),"")</f>
        <v/>
      </c>
    </row>
    <row r="1952" spans="1:1" x14ac:dyDescent="0.25">
      <c r="A1952" t="str" cm="1">
        <f t="array" ref="A1952">IF(INDEX(CUEs!$A:$A,INT((ROW()-1)/7)*57+MOD(ROW()-1,7)+50)&lt;&gt;"","set "&amp;INDEX(CUEs!$A:$A,INT((ROW()-1)/7)*57+MOD(ROW()-1,7)+50)&amp;"=/ s "&amp;INDEX(CUEs!$B:$B,INT((ROW()-1)/7)*57+MOD(ROW()-1,7)+50),"")</f>
        <v/>
      </c>
    </row>
    <row r="1953" spans="1:1" x14ac:dyDescent="0.25">
      <c r="A1953" t="str" cm="1">
        <f t="array" ref="A1953">IF(INDEX(CUEs!$A:$A,INT((ROW()-1)/7)*57+MOD(ROW()-1,7)+50)&lt;&gt;"","set "&amp;INDEX(CUEs!$A:$A,INT((ROW()-1)/7)*57+MOD(ROW()-1,7)+50)&amp;"=/ s "&amp;INDEX(CUEs!$B:$B,INT((ROW()-1)/7)*57+MOD(ROW()-1,7)+50),"")</f>
        <v/>
      </c>
    </row>
    <row r="1954" spans="1:1" x14ac:dyDescent="0.25">
      <c r="A1954" t="str" cm="1">
        <f t="array" ref="A1954">IF(INDEX(CUEs!$A:$A,INT((ROW()-1)/7)*57+MOD(ROW()-1,7)+50)&lt;&gt;"","set "&amp;INDEX(CUEs!$A:$A,INT((ROW()-1)/7)*57+MOD(ROW()-1,7)+50)&amp;"=/ s "&amp;INDEX(CUEs!$B:$B,INT((ROW()-1)/7)*57+MOD(ROW()-1,7)+50),"")</f>
        <v/>
      </c>
    </row>
    <row r="1955" spans="1:1" x14ac:dyDescent="0.25">
      <c r="A1955" t="str" cm="1">
        <f t="array" ref="A1955">IF(INDEX(CUEs!$A:$A,INT((ROW()-1)/7)*57+MOD(ROW()-1,7)+50)&lt;&gt;"","set "&amp;INDEX(CUEs!$A:$A,INT((ROW()-1)/7)*57+MOD(ROW()-1,7)+50)&amp;"=/ s "&amp;INDEX(CUEs!$B:$B,INT((ROW()-1)/7)*57+MOD(ROW()-1,7)+50),"")</f>
        <v/>
      </c>
    </row>
    <row r="1956" spans="1:1" x14ac:dyDescent="0.25">
      <c r="A1956" t="str" cm="1">
        <f t="array" ref="A1956">IF(INDEX(CUEs!$A:$A,INT((ROW()-1)/7)*57+MOD(ROW()-1,7)+50)&lt;&gt;"","set "&amp;INDEX(CUEs!$A:$A,INT((ROW()-1)/7)*57+MOD(ROW()-1,7)+50)&amp;"=/ s "&amp;INDEX(CUEs!$B:$B,INT((ROW()-1)/7)*57+MOD(ROW()-1,7)+50),"")</f>
        <v/>
      </c>
    </row>
    <row r="1957" spans="1:1" x14ac:dyDescent="0.25">
      <c r="A1957" t="str" cm="1">
        <f t="array" ref="A1957">IF(INDEX(CUEs!$A:$A,INT((ROW()-1)/7)*57+MOD(ROW()-1,7)+50)&lt;&gt;"","set "&amp;INDEX(CUEs!$A:$A,INT((ROW()-1)/7)*57+MOD(ROW()-1,7)+50)&amp;"=/ s "&amp;INDEX(CUEs!$B:$B,INT((ROW()-1)/7)*57+MOD(ROW()-1,7)+50),"")</f>
        <v/>
      </c>
    </row>
    <row r="1958" spans="1:1" x14ac:dyDescent="0.25">
      <c r="A1958" t="str" cm="1">
        <f t="array" ref="A1958">IF(INDEX(CUEs!$A:$A,INT((ROW()-1)/7)*57+MOD(ROW()-1,7)+50)&lt;&gt;"","set "&amp;INDEX(CUEs!$A:$A,INT((ROW()-1)/7)*57+MOD(ROW()-1,7)+50)&amp;"=/ s "&amp;INDEX(CUEs!$B:$B,INT((ROW()-1)/7)*57+MOD(ROW()-1,7)+50),"")</f>
        <v/>
      </c>
    </row>
    <row r="1959" spans="1:1" x14ac:dyDescent="0.25">
      <c r="A1959" t="str" cm="1">
        <f t="array" ref="A1959">IF(INDEX(CUEs!$A:$A,INT((ROW()-1)/7)*57+MOD(ROW()-1,7)+50)&lt;&gt;"","set "&amp;INDEX(CUEs!$A:$A,INT((ROW()-1)/7)*57+MOD(ROW()-1,7)+50)&amp;"=/ s "&amp;INDEX(CUEs!$B:$B,INT((ROW()-1)/7)*57+MOD(ROW()-1,7)+50),"")</f>
        <v/>
      </c>
    </row>
    <row r="1960" spans="1:1" x14ac:dyDescent="0.25">
      <c r="A1960" t="str" cm="1">
        <f t="array" ref="A1960">IF(INDEX(CUEs!$A:$A,INT((ROW()-1)/7)*57+MOD(ROW()-1,7)+50)&lt;&gt;"","set "&amp;INDEX(CUEs!$A:$A,INT((ROW()-1)/7)*57+MOD(ROW()-1,7)+50)&amp;"=/ s "&amp;INDEX(CUEs!$B:$B,INT((ROW()-1)/7)*57+MOD(ROW()-1,7)+50),"")</f>
        <v/>
      </c>
    </row>
    <row r="1961" spans="1:1" x14ac:dyDescent="0.25">
      <c r="A1961" t="str" cm="1">
        <f t="array" ref="A1961">IF(INDEX(CUEs!$A:$A,INT((ROW()-1)/7)*57+MOD(ROW()-1,7)+50)&lt;&gt;"","set "&amp;INDEX(CUEs!$A:$A,INT((ROW()-1)/7)*57+MOD(ROW()-1,7)+50)&amp;"=/ s "&amp;INDEX(CUEs!$B:$B,INT((ROW()-1)/7)*57+MOD(ROW()-1,7)+50),"")</f>
        <v/>
      </c>
    </row>
    <row r="1962" spans="1:1" x14ac:dyDescent="0.25">
      <c r="A1962" t="str" cm="1">
        <f t="array" ref="A1962">IF(INDEX(CUEs!$A:$A,INT((ROW()-1)/7)*57+MOD(ROW()-1,7)+50)&lt;&gt;"","set "&amp;INDEX(CUEs!$A:$A,INT((ROW()-1)/7)*57+MOD(ROW()-1,7)+50)&amp;"=/ s "&amp;INDEX(CUEs!$B:$B,INT((ROW()-1)/7)*57+MOD(ROW()-1,7)+50),"")</f>
        <v/>
      </c>
    </row>
    <row r="1963" spans="1:1" x14ac:dyDescent="0.25">
      <c r="A1963" t="str" cm="1">
        <f t="array" ref="A1963">IF(INDEX(CUEs!$A:$A,INT((ROW()-1)/7)*57+MOD(ROW()-1,7)+50)&lt;&gt;"","set "&amp;INDEX(CUEs!$A:$A,INT((ROW()-1)/7)*57+MOD(ROW()-1,7)+50)&amp;"=/ s "&amp;INDEX(CUEs!$B:$B,INT((ROW()-1)/7)*57+MOD(ROW()-1,7)+50),"")</f>
        <v/>
      </c>
    </row>
    <row r="1964" spans="1:1" x14ac:dyDescent="0.25">
      <c r="A1964" t="str" cm="1">
        <f t="array" ref="A1964">IF(INDEX(CUEs!$A:$A,INT((ROW()-1)/7)*57+MOD(ROW()-1,7)+50)&lt;&gt;"","set "&amp;INDEX(CUEs!$A:$A,INT((ROW()-1)/7)*57+MOD(ROW()-1,7)+50)&amp;"=/ s "&amp;INDEX(CUEs!$B:$B,INT((ROW()-1)/7)*57+MOD(ROW()-1,7)+50),"")</f>
        <v/>
      </c>
    </row>
    <row r="1965" spans="1:1" x14ac:dyDescent="0.25">
      <c r="A1965" t="str" cm="1">
        <f t="array" ref="A1965">IF(INDEX(CUEs!$A:$A,INT((ROW()-1)/7)*57+MOD(ROW()-1,7)+50)&lt;&gt;"","set "&amp;INDEX(CUEs!$A:$A,INT((ROW()-1)/7)*57+MOD(ROW()-1,7)+50)&amp;"=/ s "&amp;INDEX(CUEs!$B:$B,INT((ROW()-1)/7)*57+MOD(ROW()-1,7)+50),"")</f>
        <v/>
      </c>
    </row>
    <row r="1966" spans="1:1" x14ac:dyDescent="0.25">
      <c r="A1966" t="str" cm="1">
        <f t="array" ref="A1966">IF(INDEX(CUEs!$A:$A,INT((ROW()-1)/7)*57+MOD(ROW()-1,7)+50)&lt;&gt;"","set "&amp;INDEX(CUEs!$A:$A,INT((ROW()-1)/7)*57+MOD(ROW()-1,7)+50)&amp;"=/ s "&amp;INDEX(CUEs!$B:$B,INT((ROW()-1)/7)*57+MOD(ROW()-1,7)+50),"")</f>
        <v/>
      </c>
    </row>
    <row r="1967" spans="1:1" x14ac:dyDescent="0.25">
      <c r="A1967" t="str" cm="1">
        <f t="array" ref="A1967">IF(INDEX(CUEs!$A:$A,INT((ROW()-1)/7)*57+MOD(ROW()-1,7)+50)&lt;&gt;"","set "&amp;INDEX(CUEs!$A:$A,INT((ROW()-1)/7)*57+MOD(ROW()-1,7)+50)&amp;"=/ s "&amp;INDEX(CUEs!$B:$B,INT((ROW()-1)/7)*57+MOD(ROW()-1,7)+50),"")</f>
        <v/>
      </c>
    </row>
    <row r="1968" spans="1:1" x14ac:dyDescent="0.25">
      <c r="A1968" t="str" cm="1">
        <f t="array" ref="A1968">IF(INDEX(CUEs!$A:$A,INT((ROW()-1)/7)*57+MOD(ROW()-1,7)+50)&lt;&gt;"","set "&amp;INDEX(CUEs!$A:$A,INT((ROW()-1)/7)*57+MOD(ROW()-1,7)+50)&amp;"=/ s "&amp;INDEX(CUEs!$B:$B,INT((ROW()-1)/7)*57+MOD(ROW()-1,7)+50),"")</f>
        <v/>
      </c>
    </row>
    <row r="1969" spans="1:1" x14ac:dyDescent="0.25">
      <c r="A1969" t="str" cm="1">
        <f t="array" ref="A1969">IF(INDEX(CUEs!$A:$A,INT((ROW()-1)/7)*57+MOD(ROW()-1,7)+50)&lt;&gt;"","set "&amp;INDEX(CUEs!$A:$A,INT((ROW()-1)/7)*57+MOD(ROW()-1,7)+50)&amp;"=/ s "&amp;INDEX(CUEs!$B:$B,INT((ROW()-1)/7)*57+MOD(ROW()-1,7)+50),"")</f>
        <v/>
      </c>
    </row>
    <row r="1970" spans="1:1" x14ac:dyDescent="0.25">
      <c r="A1970" t="str" cm="1">
        <f t="array" ref="A1970">IF(INDEX(CUEs!$A:$A,INT((ROW()-1)/7)*57+MOD(ROW()-1,7)+50)&lt;&gt;"","set "&amp;INDEX(CUEs!$A:$A,INT((ROW()-1)/7)*57+MOD(ROW()-1,7)+50)&amp;"=/ s "&amp;INDEX(CUEs!$B:$B,INT((ROW()-1)/7)*57+MOD(ROW()-1,7)+50),"")</f>
        <v/>
      </c>
    </row>
    <row r="1971" spans="1:1" x14ac:dyDescent="0.25">
      <c r="A1971" t="str" cm="1">
        <f t="array" ref="A1971">IF(INDEX(CUEs!$A:$A,INT((ROW()-1)/7)*57+MOD(ROW()-1,7)+50)&lt;&gt;"","set "&amp;INDEX(CUEs!$A:$A,INT((ROW()-1)/7)*57+MOD(ROW()-1,7)+50)&amp;"=/ s "&amp;INDEX(CUEs!$B:$B,INT((ROW()-1)/7)*57+MOD(ROW()-1,7)+50),"")</f>
        <v/>
      </c>
    </row>
    <row r="1972" spans="1:1" x14ac:dyDescent="0.25">
      <c r="A1972" t="str" cm="1">
        <f t="array" ref="A1972">IF(INDEX(CUEs!$A:$A,INT((ROW()-1)/7)*57+MOD(ROW()-1,7)+50)&lt;&gt;"","set "&amp;INDEX(CUEs!$A:$A,INT((ROW()-1)/7)*57+MOD(ROW()-1,7)+50)&amp;"=/ s "&amp;INDEX(CUEs!$B:$B,INT((ROW()-1)/7)*57+MOD(ROW()-1,7)+50),"")</f>
        <v/>
      </c>
    </row>
    <row r="1973" spans="1:1" x14ac:dyDescent="0.25">
      <c r="A1973" t="str" cm="1">
        <f t="array" ref="A1973">IF(INDEX(CUEs!$A:$A,INT((ROW()-1)/7)*57+MOD(ROW()-1,7)+50)&lt;&gt;"","set "&amp;INDEX(CUEs!$A:$A,INT((ROW()-1)/7)*57+MOD(ROW()-1,7)+50)&amp;"=/ s "&amp;INDEX(CUEs!$B:$B,INT((ROW()-1)/7)*57+MOD(ROW()-1,7)+50),"")</f>
        <v/>
      </c>
    </row>
    <row r="1974" spans="1:1" x14ac:dyDescent="0.25">
      <c r="A1974" t="str" cm="1">
        <f t="array" ref="A1974">IF(INDEX(CUEs!$A:$A,INT((ROW()-1)/7)*57+MOD(ROW()-1,7)+50)&lt;&gt;"","set "&amp;INDEX(CUEs!$A:$A,INT((ROW()-1)/7)*57+MOD(ROW()-1,7)+50)&amp;"=/ s "&amp;INDEX(CUEs!$B:$B,INT((ROW()-1)/7)*57+MOD(ROW()-1,7)+50),"")</f>
        <v/>
      </c>
    </row>
    <row r="1975" spans="1:1" x14ac:dyDescent="0.25">
      <c r="A1975" t="str" cm="1">
        <f t="array" ref="A1975">IF(INDEX(CUEs!$A:$A,INT((ROW()-1)/7)*57+MOD(ROW()-1,7)+50)&lt;&gt;"","set "&amp;INDEX(CUEs!$A:$A,INT((ROW()-1)/7)*57+MOD(ROW()-1,7)+50)&amp;"=/ s "&amp;INDEX(CUEs!$B:$B,INT((ROW()-1)/7)*57+MOD(ROW()-1,7)+50),"")</f>
        <v/>
      </c>
    </row>
    <row r="1976" spans="1:1" x14ac:dyDescent="0.25">
      <c r="A1976" t="str" cm="1">
        <f t="array" ref="A1976">IF(INDEX(CUEs!$A:$A,INT((ROW()-1)/7)*57+MOD(ROW()-1,7)+50)&lt;&gt;"","set "&amp;INDEX(CUEs!$A:$A,INT((ROW()-1)/7)*57+MOD(ROW()-1,7)+50)&amp;"=/ s "&amp;INDEX(CUEs!$B:$B,INT((ROW()-1)/7)*57+MOD(ROW()-1,7)+50),"")</f>
        <v/>
      </c>
    </row>
    <row r="1977" spans="1:1" x14ac:dyDescent="0.25">
      <c r="A1977" t="str" cm="1">
        <f t="array" ref="A1977">IF(INDEX(CUEs!$A:$A,INT((ROW()-1)/7)*57+MOD(ROW()-1,7)+50)&lt;&gt;"","set "&amp;INDEX(CUEs!$A:$A,INT((ROW()-1)/7)*57+MOD(ROW()-1,7)+50)&amp;"=/ s "&amp;INDEX(CUEs!$B:$B,INT((ROW()-1)/7)*57+MOD(ROW()-1,7)+50),"")</f>
        <v/>
      </c>
    </row>
    <row r="1978" spans="1:1" x14ac:dyDescent="0.25">
      <c r="A1978" t="str" cm="1">
        <f t="array" ref="A1978">IF(INDEX(CUEs!$A:$A,INT((ROW()-1)/7)*57+MOD(ROW()-1,7)+50)&lt;&gt;"","set "&amp;INDEX(CUEs!$A:$A,INT((ROW()-1)/7)*57+MOD(ROW()-1,7)+50)&amp;"=/ s "&amp;INDEX(CUEs!$B:$B,INT((ROW()-1)/7)*57+MOD(ROW()-1,7)+50),"")</f>
        <v/>
      </c>
    </row>
    <row r="1979" spans="1:1" x14ac:dyDescent="0.25">
      <c r="A1979" t="str" cm="1">
        <f t="array" ref="A1979">IF(INDEX(CUEs!$A:$A,INT((ROW()-1)/7)*57+MOD(ROW()-1,7)+50)&lt;&gt;"","set "&amp;INDEX(CUEs!$A:$A,INT((ROW()-1)/7)*57+MOD(ROW()-1,7)+50)&amp;"=/ s "&amp;INDEX(CUEs!$B:$B,INT((ROW()-1)/7)*57+MOD(ROW()-1,7)+50),"")</f>
        <v/>
      </c>
    </row>
    <row r="1980" spans="1:1" x14ac:dyDescent="0.25">
      <c r="A1980" t="str" cm="1">
        <f t="array" ref="A1980">IF(INDEX(CUEs!$A:$A,INT((ROW()-1)/7)*57+MOD(ROW()-1,7)+50)&lt;&gt;"","set "&amp;INDEX(CUEs!$A:$A,INT((ROW()-1)/7)*57+MOD(ROW()-1,7)+50)&amp;"=/ s "&amp;INDEX(CUEs!$B:$B,INT((ROW()-1)/7)*57+MOD(ROW()-1,7)+50),"")</f>
        <v/>
      </c>
    </row>
    <row r="1981" spans="1:1" x14ac:dyDescent="0.25">
      <c r="A1981" t="str" cm="1">
        <f t="array" ref="A1981">IF(INDEX(CUEs!$A:$A,INT((ROW()-1)/7)*57+MOD(ROW()-1,7)+50)&lt;&gt;"","set "&amp;INDEX(CUEs!$A:$A,INT((ROW()-1)/7)*57+MOD(ROW()-1,7)+50)&amp;"=/ s "&amp;INDEX(CUEs!$B:$B,INT((ROW()-1)/7)*57+MOD(ROW()-1,7)+50),"")</f>
        <v/>
      </c>
    </row>
    <row r="1982" spans="1:1" x14ac:dyDescent="0.25">
      <c r="A1982" t="str" cm="1">
        <f t="array" ref="A1982">IF(INDEX(CUEs!$A:$A,INT((ROW()-1)/7)*57+MOD(ROW()-1,7)+50)&lt;&gt;"","set "&amp;INDEX(CUEs!$A:$A,INT((ROW()-1)/7)*57+MOD(ROW()-1,7)+50)&amp;"=/ s "&amp;INDEX(CUEs!$B:$B,INT((ROW()-1)/7)*57+MOD(ROW()-1,7)+50),"")</f>
        <v/>
      </c>
    </row>
    <row r="1983" spans="1:1" x14ac:dyDescent="0.25">
      <c r="A1983" t="str" cm="1">
        <f t="array" ref="A1983">IF(INDEX(CUEs!$A:$A,INT((ROW()-1)/7)*57+MOD(ROW()-1,7)+50)&lt;&gt;"","set "&amp;INDEX(CUEs!$A:$A,INT((ROW()-1)/7)*57+MOD(ROW()-1,7)+50)&amp;"=/ s "&amp;INDEX(CUEs!$B:$B,INT((ROW()-1)/7)*57+MOD(ROW()-1,7)+50),"")</f>
        <v/>
      </c>
    </row>
    <row r="1984" spans="1:1" x14ac:dyDescent="0.25">
      <c r="A1984" t="str" cm="1">
        <f t="array" ref="A1984">IF(INDEX(CUEs!$A:$A,INT((ROW()-1)/7)*57+MOD(ROW()-1,7)+50)&lt;&gt;"","set "&amp;INDEX(CUEs!$A:$A,INT((ROW()-1)/7)*57+MOD(ROW()-1,7)+50)&amp;"=/ s "&amp;INDEX(CUEs!$B:$B,INT((ROW()-1)/7)*57+MOD(ROW()-1,7)+50),"")</f>
        <v/>
      </c>
    </row>
    <row r="1985" spans="1:1" x14ac:dyDescent="0.25">
      <c r="A1985" t="str" cm="1">
        <f t="array" ref="A1985">IF(INDEX(CUEs!$A:$A,INT((ROW()-1)/7)*57+MOD(ROW()-1,7)+50)&lt;&gt;"","set "&amp;INDEX(CUEs!$A:$A,INT((ROW()-1)/7)*57+MOD(ROW()-1,7)+50)&amp;"=/ s "&amp;INDEX(CUEs!$B:$B,INT((ROW()-1)/7)*57+MOD(ROW()-1,7)+50),"")</f>
        <v/>
      </c>
    </row>
    <row r="1986" spans="1:1" x14ac:dyDescent="0.25">
      <c r="A1986" t="str" cm="1">
        <f t="array" ref="A1986">IF(INDEX(CUEs!$A:$A,INT((ROW()-1)/7)*57+MOD(ROW()-1,7)+50)&lt;&gt;"","set "&amp;INDEX(CUEs!$A:$A,INT((ROW()-1)/7)*57+MOD(ROW()-1,7)+50)&amp;"=/ s "&amp;INDEX(CUEs!$B:$B,INT((ROW()-1)/7)*57+MOD(ROW()-1,7)+50),"")</f>
        <v/>
      </c>
    </row>
    <row r="1987" spans="1:1" x14ac:dyDescent="0.25">
      <c r="A1987" t="str" cm="1">
        <f t="array" ref="A1987">IF(INDEX(CUEs!$A:$A,INT((ROW()-1)/7)*57+MOD(ROW()-1,7)+50)&lt;&gt;"","set "&amp;INDEX(CUEs!$A:$A,INT((ROW()-1)/7)*57+MOD(ROW()-1,7)+50)&amp;"=/ s "&amp;INDEX(CUEs!$B:$B,INT((ROW()-1)/7)*57+MOD(ROW()-1,7)+50),"")</f>
        <v/>
      </c>
    </row>
    <row r="1988" spans="1:1" x14ac:dyDescent="0.25">
      <c r="A1988" t="str" cm="1">
        <f t="array" ref="A1988">IF(INDEX(CUEs!$A:$A,INT((ROW()-1)/7)*57+MOD(ROW()-1,7)+50)&lt;&gt;"","set "&amp;INDEX(CUEs!$A:$A,INT((ROW()-1)/7)*57+MOD(ROW()-1,7)+50)&amp;"=/ s "&amp;INDEX(CUEs!$B:$B,INT((ROW()-1)/7)*57+MOD(ROW()-1,7)+50),"")</f>
        <v/>
      </c>
    </row>
    <row r="1989" spans="1:1" x14ac:dyDescent="0.25">
      <c r="A1989" t="str" cm="1">
        <f t="array" ref="A1989">IF(INDEX(CUEs!$A:$A,INT((ROW()-1)/7)*57+MOD(ROW()-1,7)+50)&lt;&gt;"","set "&amp;INDEX(CUEs!$A:$A,INT((ROW()-1)/7)*57+MOD(ROW()-1,7)+50)&amp;"=/ s "&amp;INDEX(CUEs!$B:$B,INT((ROW()-1)/7)*57+MOD(ROW()-1,7)+50),"")</f>
        <v/>
      </c>
    </row>
    <row r="1990" spans="1:1" x14ac:dyDescent="0.25">
      <c r="A1990" t="str" cm="1">
        <f t="array" ref="A1990">IF(INDEX(CUEs!$A:$A,INT((ROW()-1)/7)*57+MOD(ROW()-1,7)+50)&lt;&gt;"","set "&amp;INDEX(CUEs!$A:$A,INT((ROW()-1)/7)*57+MOD(ROW()-1,7)+50)&amp;"=/ s "&amp;INDEX(CUEs!$B:$B,INT((ROW()-1)/7)*57+MOD(ROW()-1,7)+50),"")</f>
        <v/>
      </c>
    </row>
    <row r="1991" spans="1:1" x14ac:dyDescent="0.25">
      <c r="A1991" t="str" cm="1">
        <f t="array" ref="A1991">IF(INDEX(CUEs!$A:$A,INT((ROW()-1)/7)*57+MOD(ROW()-1,7)+50)&lt;&gt;"","set "&amp;INDEX(CUEs!$A:$A,INT((ROW()-1)/7)*57+MOD(ROW()-1,7)+50)&amp;"=/ s "&amp;INDEX(CUEs!$B:$B,INT((ROW()-1)/7)*57+MOD(ROW()-1,7)+50),"")</f>
        <v/>
      </c>
    </row>
    <row r="1992" spans="1:1" x14ac:dyDescent="0.25">
      <c r="A1992" t="str" cm="1">
        <f t="array" ref="A1992">IF(INDEX(CUEs!$A:$A,INT((ROW()-1)/7)*57+MOD(ROW()-1,7)+50)&lt;&gt;"","set "&amp;INDEX(CUEs!$A:$A,INT((ROW()-1)/7)*57+MOD(ROW()-1,7)+50)&amp;"=/ s "&amp;INDEX(CUEs!$B:$B,INT((ROW()-1)/7)*57+MOD(ROW()-1,7)+50),"")</f>
        <v/>
      </c>
    </row>
    <row r="1993" spans="1:1" x14ac:dyDescent="0.25">
      <c r="A1993" t="str" cm="1">
        <f t="array" ref="A1993">IF(INDEX(CUEs!$A:$A,INT((ROW()-1)/7)*57+MOD(ROW()-1,7)+50)&lt;&gt;"","set "&amp;INDEX(CUEs!$A:$A,INT((ROW()-1)/7)*57+MOD(ROW()-1,7)+50)&amp;"=/ s "&amp;INDEX(CUEs!$B:$B,INT((ROW()-1)/7)*57+MOD(ROW()-1,7)+50),"")</f>
        <v/>
      </c>
    </row>
    <row r="1994" spans="1:1" x14ac:dyDescent="0.25">
      <c r="A1994" t="str" cm="1">
        <f t="array" ref="A1994">IF(INDEX(CUEs!$A:$A,INT((ROW()-1)/7)*57+MOD(ROW()-1,7)+50)&lt;&gt;"","set "&amp;INDEX(CUEs!$A:$A,INT((ROW()-1)/7)*57+MOD(ROW()-1,7)+50)&amp;"=/ s "&amp;INDEX(CUEs!$B:$B,INT((ROW()-1)/7)*57+MOD(ROW()-1,7)+50),"")</f>
        <v/>
      </c>
    </row>
    <row r="1995" spans="1:1" x14ac:dyDescent="0.25">
      <c r="A1995" t="str" cm="1">
        <f t="array" ref="A1995">IF(INDEX(CUEs!$A:$A,INT((ROW()-1)/7)*57+MOD(ROW()-1,7)+50)&lt;&gt;"","set "&amp;INDEX(CUEs!$A:$A,INT((ROW()-1)/7)*57+MOD(ROW()-1,7)+50)&amp;"=/ s "&amp;INDEX(CUEs!$B:$B,INT((ROW()-1)/7)*57+MOD(ROW()-1,7)+50),"")</f>
        <v/>
      </c>
    </row>
    <row r="1996" spans="1:1" x14ac:dyDescent="0.25">
      <c r="A1996" t="str" cm="1">
        <f t="array" ref="A1996">IF(INDEX(CUEs!$A:$A,INT((ROW()-1)/7)*57+MOD(ROW()-1,7)+50)&lt;&gt;"","set "&amp;INDEX(CUEs!$A:$A,INT((ROW()-1)/7)*57+MOD(ROW()-1,7)+50)&amp;"=/ s "&amp;INDEX(CUEs!$B:$B,INT((ROW()-1)/7)*57+MOD(ROW()-1,7)+50),"")</f>
        <v/>
      </c>
    </row>
    <row r="1997" spans="1:1" x14ac:dyDescent="0.25">
      <c r="A1997" t="str" cm="1">
        <f t="array" ref="A1997">IF(INDEX(CUEs!$A:$A,INT((ROW()-1)/7)*57+MOD(ROW()-1,7)+50)&lt;&gt;"","set "&amp;INDEX(CUEs!$A:$A,INT((ROW()-1)/7)*57+MOD(ROW()-1,7)+50)&amp;"=/ s "&amp;INDEX(CUEs!$B:$B,INT((ROW()-1)/7)*57+MOD(ROW()-1,7)+50),"")</f>
        <v/>
      </c>
    </row>
    <row r="1998" spans="1:1" x14ac:dyDescent="0.25">
      <c r="A1998" t="str" cm="1">
        <f t="array" ref="A1998">IF(INDEX(CUEs!$A:$A,INT((ROW()-1)/7)*57+MOD(ROW()-1,7)+50)&lt;&gt;"","set "&amp;INDEX(CUEs!$A:$A,INT((ROW()-1)/7)*57+MOD(ROW()-1,7)+50)&amp;"=/ s "&amp;INDEX(CUEs!$B:$B,INT((ROW()-1)/7)*57+MOD(ROW()-1,7)+50),"")</f>
        <v/>
      </c>
    </row>
    <row r="1999" spans="1:1" x14ac:dyDescent="0.25">
      <c r="A1999" t="str" cm="1">
        <f t="array" ref="A1999">IF(INDEX(CUEs!$A:$A,INT((ROW()-1)/7)*57+MOD(ROW()-1,7)+50)&lt;&gt;"","set "&amp;INDEX(CUEs!$A:$A,INT((ROW()-1)/7)*57+MOD(ROW()-1,7)+50)&amp;"=/ s "&amp;INDEX(CUEs!$B:$B,INT((ROW()-1)/7)*57+MOD(ROW()-1,7)+50),"")</f>
        <v/>
      </c>
    </row>
    <row r="2000" spans="1:1" x14ac:dyDescent="0.25">
      <c r="A2000" t="str" cm="1">
        <f t="array" ref="A2000">IF(INDEX(CUEs!$A:$A,INT((ROW()-1)/7)*57+MOD(ROW()-1,7)+50)&lt;&gt;"","set "&amp;INDEX(CUEs!$A:$A,INT((ROW()-1)/7)*57+MOD(ROW()-1,7)+50)&amp;"=/ s "&amp;INDEX(CUEs!$B:$B,INT((ROW()-1)/7)*57+MOD(ROW()-1,7)+50),"")</f>
        <v/>
      </c>
    </row>
    <row r="2001" spans="1:1" x14ac:dyDescent="0.25">
      <c r="A2001" t="str" cm="1">
        <f t="array" ref="A2001">IF(INDEX(CUEs!$A:$A,INT((ROW()-1)/7)*57+MOD(ROW()-1,7)+50)&lt;&gt;"","set "&amp;INDEX(CUEs!$A:$A,INT((ROW()-1)/7)*57+MOD(ROW()-1,7)+50)&amp;"=/ s "&amp;INDEX(CUEs!$B:$B,INT((ROW()-1)/7)*57+MOD(ROW()-1,7)+50),"")</f>
        <v/>
      </c>
    </row>
    <row r="2002" spans="1:1" x14ac:dyDescent="0.25">
      <c r="A2002" t="str" cm="1">
        <f t="array" ref="A2002">IF(INDEX(CUEs!$A:$A,INT((ROW()-1)/7)*57+MOD(ROW()-1,7)+50)&lt;&gt;"","set "&amp;INDEX(CUEs!$A:$A,INT((ROW()-1)/7)*57+MOD(ROW()-1,7)+50)&amp;"=/ s "&amp;INDEX(CUEs!$B:$B,INT((ROW()-1)/7)*57+MOD(ROW()-1,7)+50),"")</f>
        <v/>
      </c>
    </row>
    <row r="2003" spans="1:1" x14ac:dyDescent="0.25">
      <c r="A2003" t="str" cm="1">
        <f t="array" ref="A2003">IF(INDEX(CUEs!$A:$A,INT((ROW()-1)/7)*57+MOD(ROW()-1,7)+50)&lt;&gt;"","set "&amp;INDEX(CUEs!$A:$A,INT((ROW()-1)/7)*57+MOD(ROW()-1,7)+50)&amp;"=/ s "&amp;INDEX(CUEs!$B:$B,INT((ROW()-1)/7)*57+MOD(ROW()-1,7)+50),"")</f>
        <v/>
      </c>
    </row>
    <row r="2004" spans="1:1" x14ac:dyDescent="0.25">
      <c r="A2004" t="str" cm="1">
        <f t="array" ref="A2004">IF(INDEX(CUEs!$A:$A,INT((ROW()-1)/7)*57+MOD(ROW()-1,7)+50)&lt;&gt;"","set "&amp;INDEX(CUEs!$A:$A,INT((ROW()-1)/7)*57+MOD(ROW()-1,7)+50)&amp;"=/ s "&amp;INDEX(CUEs!$B:$B,INT((ROW()-1)/7)*57+MOD(ROW()-1,7)+50),"")</f>
        <v/>
      </c>
    </row>
    <row r="2005" spans="1:1" x14ac:dyDescent="0.25">
      <c r="A2005" t="str" cm="1">
        <f t="array" ref="A2005">IF(INDEX(CUEs!$A:$A,INT((ROW()-1)/7)*57+MOD(ROW()-1,7)+50)&lt;&gt;"","set "&amp;INDEX(CUEs!$A:$A,INT((ROW()-1)/7)*57+MOD(ROW()-1,7)+50)&amp;"=/ s "&amp;INDEX(CUEs!$B:$B,INT((ROW()-1)/7)*57+MOD(ROW()-1,7)+50),"")</f>
        <v/>
      </c>
    </row>
    <row r="2006" spans="1:1" x14ac:dyDescent="0.25">
      <c r="A2006" t="str" cm="1">
        <f t="array" ref="A2006">IF(INDEX(CUEs!$A:$A,INT((ROW()-1)/7)*57+MOD(ROW()-1,7)+50)&lt;&gt;"","set "&amp;INDEX(CUEs!$A:$A,INT((ROW()-1)/7)*57+MOD(ROW()-1,7)+50)&amp;"=/ s "&amp;INDEX(CUEs!$B:$B,INT((ROW()-1)/7)*57+MOD(ROW()-1,7)+50),"")</f>
        <v/>
      </c>
    </row>
    <row r="2007" spans="1:1" x14ac:dyDescent="0.25">
      <c r="A2007" t="str" cm="1">
        <f t="array" ref="A2007">IF(INDEX(CUEs!$A:$A,INT((ROW()-1)/7)*57+MOD(ROW()-1,7)+50)&lt;&gt;"","set "&amp;INDEX(CUEs!$A:$A,INT((ROW()-1)/7)*57+MOD(ROW()-1,7)+50)&amp;"=/ s "&amp;INDEX(CUEs!$B:$B,INT((ROW()-1)/7)*57+MOD(ROW()-1,7)+50),"")</f>
        <v/>
      </c>
    </row>
    <row r="2008" spans="1:1" x14ac:dyDescent="0.25">
      <c r="A2008" t="str" cm="1">
        <f t="array" ref="A2008">IF(INDEX(CUEs!$A:$A,INT((ROW()-1)/7)*57+MOD(ROW()-1,7)+50)&lt;&gt;"","set "&amp;INDEX(CUEs!$A:$A,INT((ROW()-1)/7)*57+MOD(ROW()-1,7)+50)&amp;"=/ s "&amp;INDEX(CUEs!$B:$B,INT((ROW()-1)/7)*57+MOD(ROW()-1,7)+50),"")</f>
        <v/>
      </c>
    </row>
    <row r="2009" spans="1:1" x14ac:dyDescent="0.25">
      <c r="A2009" t="str" cm="1">
        <f t="array" ref="A2009">IF(INDEX(CUEs!$A:$A,INT((ROW()-1)/7)*57+MOD(ROW()-1,7)+50)&lt;&gt;"","set "&amp;INDEX(CUEs!$A:$A,INT((ROW()-1)/7)*57+MOD(ROW()-1,7)+50)&amp;"=/ s "&amp;INDEX(CUEs!$B:$B,INT((ROW()-1)/7)*57+MOD(ROW()-1,7)+50),"")</f>
        <v/>
      </c>
    </row>
    <row r="2010" spans="1:1" x14ac:dyDescent="0.25">
      <c r="A2010" t="str" cm="1">
        <f t="array" ref="A2010">IF(INDEX(CUEs!$A:$A,INT((ROW()-1)/7)*57+MOD(ROW()-1,7)+50)&lt;&gt;"","set "&amp;INDEX(CUEs!$A:$A,INT((ROW()-1)/7)*57+MOD(ROW()-1,7)+50)&amp;"=/ s "&amp;INDEX(CUEs!$B:$B,INT((ROW()-1)/7)*57+MOD(ROW()-1,7)+50),"")</f>
        <v/>
      </c>
    </row>
    <row r="2011" spans="1:1" x14ac:dyDescent="0.25">
      <c r="A2011" t="str" cm="1">
        <f t="array" ref="A2011">IF(INDEX(CUEs!$A:$A,INT((ROW()-1)/7)*57+MOD(ROW()-1,7)+50)&lt;&gt;"","set "&amp;INDEX(CUEs!$A:$A,INT((ROW()-1)/7)*57+MOD(ROW()-1,7)+50)&amp;"=/ s "&amp;INDEX(CUEs!$B:$B,INT((ROW()-1)/7)*57+MOD(ROW()-1,7)+50),"")</f>
        <v/>
      </c>
    </row>
    <row r="2012" spans="1:1" x14ac:dyDescent="0.25">
      <c r="A2012" t="str" cm="1">
        <f t="array" ref="A2012">IF(INDEX(CUEs!$A:$A,INT((ROW()-1)/7)*57+MOD(ROW()-1,7)+50)&lt;&gt;"","set "&amp;INDEX(CUEs!$A:$A,INT((ROW()-1)/7)*57+MOD(ROW()-1,7)+50)&amp;"=/ s "&amp;INDEX(CUEs!$B:$B,INT((ROW()-1)/7)*57+MOD(ROW()-1,7)+50),"")</f>
        <v/>
      </c>
    </row>
    <row r="2013" spans="1:1" x14ac:dyDescent="0.25">
      <c r="A2013" t="str" cm="1">
        <f t="array" ref="A2013">IF(INDEX(CUEs!$A:$A,INT((ROW()-1)/7)*57+MOD(ROW()-1,7)+50)&lt;&gt;"","set "&amp;INDEX(CUEs!$A:$A,INT((ROW()-1)/7)*57+MOD(ROW()-1,7)+50)&amp;"=/ s "&amp;INDEX(CUEs!$B:$B,INT((ROW()-1)/7)*57+MOD(ROW()-1,7)+50),"")</f>
        <v/>
      </c>
    </row>
    <row r="2014" spans="1:1" x14ac:dyDescent="0.25">
      <c r="A2014" t="str" cm="1">
        <f t="array" ref="A2014">IF(INDEX(CUEs!$A:$A,INT((ROW()-1)/7)*57+MOD(ROW()-1,7)+50)&lt;&gt;"","set "&amp;INDEX(CUEs!$A:$A,INT((ROW()-1)/7)*57+MOD(ROW()-1,7)+50)&amp;"=/ s "&amp;INDEX(CUEs!$B:$B,INT((ROW()-1)/7)*57+MOD(ROW()-1,7)+50),"")</f>
        <v/>
      </c>
    </row>
    <row r="2015" spans="1:1" x14ac:dyDescent="0.25">
      <c r="A2015" t="str" cm="1">
        <f t="array" ref="A2015">IF(INDEX(CUEs!$A:$A,INT((ROW()-1)/7)*57+MOD(ROW()-1,7)+50)&lt;&gt;"","set "&amp;INDEX(CUEs!$A:$A,INT((ROW()-1)/7)*57+MOD(ROW()-1,7)+50)&amp;"=/ s "&amp;INDEX(CUEs!$B:$B,INT((ROW()-1)/7)*57+MOD(ROW()-1,7)+50),"")</f>
        <v/>
      </c>
    </row>
    <row r="2016" spans="1:1" x14ac:dyDescent="0.25">
      <c r="A2016" t="str" cm="1">
        <f t="array" ref="A2016">IF(INDEX(CUEs!$A:$A,INT((ROW()-1)/7)*57+MOD(ROW()-1,7)+50)&lt;&gt;"","set "&amp;INDEX(CUEs!$A:$A,INT((ROW()-1)/7)*57+MOD(ROW()-1,7)+50)&amp;"=/ s "&amp;INDEX(CUEs!$B:$B,INT((ROW()-1)/7)*57+MOD(ROW()-1,7)+50),"")</f>
        <v/>
      </c>
    </row>
    <row r="2017" spans="1:1" x14ac:dyDescent="0.25">
      <c r="A2017" t="str" cm="1">
        <f t="array" ref="A2017">IF(INDEX(CUEs!$A:$A,INT((ROW()-1)/7)*57+MOD(ROW()-1,7)+50)&lt;&gt;"","set "&amp;INDEX(CUEs!$A:$A,INT((ROW()-1)/7)*57+MOD(ROW()-1,7)+50)&amp;"=/ s "&amp;INDEX(CUEs!$B:$B,INT((ROW()-1)/7)*57+MOD(ROW()-1,7)+50),"")</f>
        <v/>
      </c>
    </row>
    <row r="2018" spans="1:1" x14ac:dyDescent="0.25">
      <c r="A2018" t="str" cm="1">
        <f t="array" ref="A2018">IF(INDEX(CUEs!$A:$A,INT((ROW()-1)/7)*57+MOD(ROW()-1,7)+50)&lt;&gt;"","set "&amp;INDEX(CUEs!$A:$A,INT((ROW()-1)/7)*57+MOD(ROW()-1,7)+50)&amp;"=/ s "&amp;INDEX(CUEs!$B:$B,INT((ROW()-1)/7)*57+MOD(ROW()-1,7)+50),"")</f>
        <v/>
      </c>
    </row>
    <row r="2019" spans="1:1" x14ac:dyDescent="0.25">
      <c r="A2019" t="str" cm="1">
        <f t="array" ref="A2019">IF(INDEX(CUEs!$A:$A,INT((ROW()-1)/7)*57+MOD(ROW()-1,7)+50)&lt;&gt;"","set "&amp;INDEX(CUEs!$A:$A,INT((ROW()-1)/7)*57+MOD(ROW()-1,7)+50)&amp;"=/ s "&amp;INDEX(CUEs!$B:$B,INT((ROW()-1)/7)*57+MOD(ROW()-1,7)+50),"")</f>
        <v/>
      </c>
    </row>
    <row r="2020" spans="1:1" x14ac:dyDescent="0.25">
      <c r="A2020" t="str" cm="1">
        <f t="array" ref="A2020">IF(INDEX(CUEs!$A:$A,INT((ROW()-1)/7)*57+MOD(ROW()-1,7)+50)&lt;&gt;"","set "&amp;INDEX(CUEs!$A:$A,INT((ROW()-1)/7)*57+MOD(ROW()-1,7)+50)&amp;"=/ s "&amp;INDEX(CUEs!$B:$B,INT((ROW()-1)/7)*57+MOD(ROW()-1,7)+50),"")</f>
        <v/>
      </c>
    </row>
    <row r="2021" spans="1:1" x14ac:dyDescent="0.25">
      <c r="A2021" t="str" cm="1">
        <f t="array" ref="A2021">IF(INDEX(CUEs!$A:$A,INT((ROW()-1)/7)*57+MOD(ROW()-1,7)+50)&lt;&gt;"","set "&amp;INDEX(CUEs!$A:$A,INT((ROW()-1)/7)*57+MOD(ROW()-1,7)+50)&amp;"=/ s "&amp;INDEX(CUEs!$B:$B,INT((ROW()-1)/7)*57+MOD(ROW()-1,7)+50),"")</f>
        <v/>
      </c>
    </row>
    <row r="2022" spans="1:1" x14ac:dyDescent="0.25">
      <c r="A2022" t="str" cm="1">
        <f t="array" ref="A2022">IF(INDEX(CUEs!$A:$A,INT((ROW()-1)/7)*57+MOD(ROW()-1,7)+50)&lt;&gt;"","set "&amp;INDEX(CUEs!$A:$A,INT((ROW()-1)/7)*57+MOD(ROW()-1,7)+50)&amp;"=/ s "&amp;INDEX(CUEs!$B:$B,INT((ROW()-1)/7)*57+MOD(ROW()-1,7)+50),"")</f>
        <v/>
      </c>
    </row>
    <row r="2023" spans="1:1" x14ac:dyDescent="0.25">
      <c r="A2023" t="str" cm="1">
        <f t="array" ref="A2023">IF(INDEX(CUEs!$A:$A,INT((ROW()-1)/7)*57+MOD(ROW()-1,7)+50)&lt;&gt;"","set "&amp;INDEX(CUEs!$A:$A,INT((ROW()-1)/7)*57+MOD(ROW()-1,7)+50)&amp;"=/ s "&amp;INDEX(CUEs!$B:$B,INT((ROW()-1)/7)*57+MOD(ROW()-1,7)+50),"")</f>
        <v/>
      </c>
    </row>
    <row r="2024" spans="1:1" x14ac:dyDescent="0.25">
      <c r="A2024" t="str" cm="1">
        <f t="array" ref="A2024">IF(INDEX(CUEs!$A:$A,INT((ROW()-1)/7)*57+MOD(ROW()-1,7)+50)&lt;&gt;"","set "&amp;INDEX(CUEs!$A:$A,INT((ROW()-1)/7)*57+MOD(ROW()-1,7)+50)&amp;"=/ s "&amp;INDEX(CUEs!$B:$B,INT((ROW()-1)/7)*57+MOD(ROW()-1,7)+50),"")</f>
        <v/>
      </c>
    </row>
    <row r="2025" spans="1:1" x14ac:dyDescent="0.25">
      <c r="A2025" t="str" cm="1">
        <f t="array" ref="A2025">IF(INDEX(CUEs!$A:$A,INT((ROW()-1)/7)*57+MOD(ROW()-1,7)+50)&lt;&gt;"","set "&amp;INDEX(CUEs!$A:$A,INT((ROW()-1)/7)*57+MOD(ROW()-1,7)+50)&amp;"=/ s "&amp;INDEX(CUEs!$B:$B,INT((ROW()-1)/7)*57+MOD(ROW()-1,7)+50),"")</f>
        <v/>
      </c>
    </row>
    <row r="2026" spans="1:1" x14ac:dyDescent="0.25">
      <c r="A2026" t="str" cm="1">
        <f t="array" ref="A2026">IF(INDEX(CUEs!$A:$A,INT((ROW()-1)/7)*57+MOD(ROW()-1,7)+50)&lt;&gt;"","set "&amp;INDEX(CUEs!$A:$A,INT((ROW()-1)/7)*57+MOD(ROW()-1,7)+50)&amp;"=/ s "&amp;INDEX(CUEs!$B:$B,INT((ROW()-1)/7)*57+MOD(ROW()-1,7)+50),"")</f>
        <v/>
      </c>
    </row>
    <row r="2027" spans="1:1" x14ac:dyDescent="0.25">
      <c r="A2027" t="str" cm="1">
        <f t="array" ref="A2027">IF(INDEX(CUEs!$A:$A,INT((ROW()-1)/7)*57+MOD(ROW()-1,7)+50)&lt;&gt;"","set "&amp;INDEX(CUEs!$A:$A,INT((ROW()-1)/7)*57+MOD(ROW()-1,7)+50)&amp;"=/ s "&amp;INDEX(CUEs!$B:$B,INT((ROW()-1)/7)*57+MOD(ROW()-1,7)+50),"")</f>
        <v/>
      </c>
    </row>
    <row r="2028" spans="1:1" x14ac:dyDescent="0.25">
      <c r="A2028" t="str" cm="1">
        <f t="array" ref="A2028">IF(INDEX(CUEs!$A:$A,INT((ROW()-1)/7)*57+MOD(ROW()-1,7)+50)&lt;&gt;"","set "&amp;INDEX(CUEs!$A:$A,INT((ROW()-1)/7)*57+MOD(ROW()-1,7)+50)&amp;"=/ s "&amp;INDEX(CUEs!$B:$B,INT((ROW()-1)/7)*57+MOD(ROW()-1,7)+50),"")</f>
        <v/>
      </c>
    </row>
    <row r="2029" spans="1:1" x14ac:dyDescent="0.25">
      <c r="A2029" t="str" cm="1">
        <f t="array" ref="A2029">IF(INDEX(CUEs!$A:$A,INT((ROW()-1)/7)*57+MOD(ROW()-1,7)+50)&lt;&gt;"","set "&amp;INDEX(CUEs!$A:$A,INT((ROW()-1)/7)*57+MOD(ROW()-1,7)+50)&amp;"=/ s "&amp;INDEX(CUEs!$B:$B,INT((ROW()-1)/7)*57+MOD(ROW()-1,7)+50),"")</f>
        <v/>
      </c>
    </row>
    <row r="2030" spans="1:1" x14ac:dyDescent="0.25">
      <c r="A2030" t="str" cm="1">
        <f t="array" ref="A2030">IF(INDEX(CUEs!$A:$A,INT((ROW()-1)/7)*57+MOD(ROW()-1,7)+50)&lt;&gt;"","set "&amp;INDEX(CUEs!$A:$A,INT((ROW()-1)/7)*57+MOD(ROW()-1,7)+50)&amp;"=/ s "&amp;INDEX(CUEs!$B:$B,INT((ROW()-1)/7)*57+MOD(ROW()-1,7)+50),"")</f>
        <v/>
      </c>
    </row>
    <row r="2031" spans="1:1" x14ac:dyDescent="0.25">
      <c r="A2031" t="str" cm="1">
        <f t="array" ref="A2031">IF(INDEX(CUEs!$A:$A,INT((ROW()-1)/7)*57+MOD(ROW()-1,7)+50)&lt;&gt;"","set "&amp;INDEX(CUEs!$A:$A,INT((ROW()-1)/7)*57+MOD(ROW()-1,7)+50)&amp;"=/ s "&amp;INDEX(CUEs!$B:$B,INT((ROW()-1)/7)*57+MOD(ROW()-1,7)+50),"")</f>
        <v/>
      </c>
    </row>
    <row r="2032" spans="1:1" x14ac:dyDescent="0.25">
      <c r="A2032" t="str" cm="1">
        <f t="array" ref="A2032">IF(INDEX(CUEs!$A:$A,INT((ROW()-1)/7)*57+MOD(ROW()-1,7)+50)&lt;&gt;"","set "&amp;INDEX(CUEs!$A:$A,INT((ROW()-1)/7)*57+MOD(ROW()-1,7)+50)&amp;"=/ s "&amp;INDEX(CUEs!$B:$B,INT((ROW()-1)/7)*57+MOD(ROW()-1,7)+50),"")</f>
        <v/>
      </c>
    </row>
    <row r="2033" spans="1:1" x14ac:dyDescent="0.25">
      <c r="A2033" t="str" cm="1">
        <f t="array" ref="A2033">IF(INDEX(CUEs!$A:$A,INT((ROW()-1)/7)*57+MOD(ROW()-1,7)+50)&lt;&gt;"","set "&amp;INDEX(CUEs!$A:$A,INT((ROW()-1)/7)*57+MOD(ROW()-1,7)+50)&amp;"=/ s "&amp;INDEX(CUEs!$B:$B,INT((ROW()-1)/7)*57+MOD(ROW()-1,7)+50),"")</f>
        <v/>
      </c>
    </row>
    <row r="2034" spans="1:1" x14ac:dyDescent="0.25">
      <c r="A2034" t="str" cm="1">
        <f t="array" ref="A2034">IF(INDEX(CUEs!$A:$A,INT((ROW()-1)/7)*57+MOD(ROW()-1,7)+50)&lt;&gt;"","set "&amp;INDEX(CUEs!$A:$A,INT((ROW()-1)/7)*57+MOD(ROW()-1,7)+50)&amp;"=/ s "&amp;INDEX(CUEs!$B:$B,INT((ROW()-1)/7)*57+MOD(ROW()-1,7)+50),"")</f>
        <v/>
      </c>
    </row>
    <row r="2035" spans="1:1" x14ac:dyDescent="0.25">
      <c r="A2035" t="str" cm="1">
        <f t="array" ref="A2035">IF(INDEX(CUEs!$A:$A,INT((ROW()-1)/7)*57+MOD(ROW()-1,7)+50)&lt;&gt;"","set "&amp;INDEX(CUEs!$A:$A,INT((ROW()-1)/7)*57+MOD(ROW()-1,7)+50)&amp;"=/ s "&amp;INDEX(CUEs!$B:$B,INT((ROW()-1)/7)*57+MOD(ROW()-1,7)+50),"")</f>
        <v/>
      </c>
    </row>
    <row r="2036" spans="1:1" x14ac:dyDescent="0.25">
      <c r="A2036" t="str" cm="1">
        <f t="array" ref="A2036">IF(INDEX(CUEs!$A:$A,INT((ROW()-1)/7)*57+MOD(ROW()-1,7)+50)&lt;&gt;"","set "&amp;INDEX(CUEs!$A:$A,INT((ROW()-1)/7)*57+MOD(ROW()-1,7)+50)&amp;"=/ s "&amp;INDEX(CUEs!$B:$B,INT((ROW()-1)/7)*57+MOD(ROW()-1,7)+50),"")</f>
        <v/>
      </c>
    </row>
    <row r="2037" spans="1:1" x14ac:dyDescent="0.25">
      <c r="A2037" t="str" cm="1">
        <f t="array" ref="A2037">IF(INDEX(CUEs!$A:$A,INT((ROW()-1)/7)*57+MOD(ROW()-1,7)+50)&lt;&gt;"","set "&amp;INDEX(CUEs!$A:$A,INT((ROW()-1)/7)*57+MOD(ROW()-1,7)+50)&amp;"=/ s "&amp;INDEX(CUEs!$B:$B,INT((ROW()-1)/7)*57+MOD(ROW()-1,7)+50),"")</f>
        <v/>
      </c>
    </row>
    <row r="2038" spans="1:1" x14ac:dyDescent="0.25">
      <c r="A2038" t="str" cm="1">
        <f t="array" ref="A2038">IF(INDEX(CUEs!$A:$A,INT((ROW()-1)/7)*57+MOD(ROW()-1,7)+50)&lt;&gt;"","set "&amp;INDEX(CUEs!$A:$A,INT((ROW()-1)/7)*57+MOD(ROW()-1,7)+50)&amp;"=/ s "&amp;INDEX(CUEs!$B:$B,INT((ROW()-1)/7)*57+MOD(ROW()-1,7)+50),"")</f>
        <v/>
      </c>
    </row>
    <row r="2039" spans="1:1" x14ac:dyDescent="0.25">
      <c r="A2039" t="str" cm="1">
        <f t="array" ref="A2039">IF(INDEX(CUEs!$A:$A,INT((ROW()-1)/7)*57+MOD(ROW()-1,7)+50)&lt;&gt;"","set "&amp;INDEX(CUEs!$A:$A,INT((ROW()-1)/7)*57+MOD(ROW()-1,7)+50)&amp;"=/ s "&amp;INDEX(CUEs!$B:$B,INT((ROW()-1)/7)*57+MOD(ROW()-1,7)+50),"")</f>
        <v/>
      </c>
    </row>
    <row r="2040" spans="1:1" x14ac:dyDescent="0.25">
      <c r="A2040" t="str" cm="1">
        <f t="array" ref="A2040">IF(INDEX(CUEs!$A:$A,INT((ROW()-1)/7)*57+MOD(ROW()-1,7)+50)&lt;&gt;"","set "&amp;INDEX(CUEs!$A:$A,INT((ROW()-1)/7)*57+MOD(ROW()-1,7)+50)&amp;"=/ s "&amp;INDEX(CUEs!$B:$B,INT((ROW()-1)/7)*57+MOD(ROW()-1,7)+50),"")</f>
        <v/>
      </c>
    </row>
    <row r="2041" spans="1:1" x14ac:dyDescent="0.25">
      <c r="A2041" t="str" cm="1">
        <f t="array" ref="A2041">IF(INDEX(CUEs!$A:$A,INT((ROW()-1)/7)*57+MOD(ROW()-1,7)+50)&lt;&gt;"","set "&amp;INDEX(CUEs!$A:$A,INT((ROW()-1)/7)*57+MOD(ROW()-1,7)+50)&amp;"=/ s "&amp;INDEX(CUEs!$B:$B,INT((ROW()-1)/7)*57+MOD(ROW()-1,7)+50),"")</f>
        <v/>
      </c>
    </row>
    <row r="2042" spans="1:1" x14ac:dyDescent="0.25">
      <c r="A2042" t="str" cm="1">
        <f t="array" ref="A2042">IF(INDEX(CUEs!$A:$A,INT((ROW()-1)/7)*57+MOD(ROW()-1,7)+50)&lt;&gt;"","set "&amp;INDEX(CUEs!$A:$A,INT((ROW()-1)/7)*57+MOD(ROW()-1,7)+50)&amp;"=/ s "&amp;INDEX(CUEs!$B:$B,INT((ROW()-1)/7)*57+MOD(ROW()-1,7)+50),"")</f>
        <v/>
      </c>
    </row>
    <row r="2043" spans="1:1" x14ac:dyDescent="0.25">
      <c r="A2043" t="str" cm="1">
        <f t="array" ref="A2043">IF(INDEX(CUEs!$A:$A,INT((ROW()-1)/7)*57+MOD(ROW()-1,7)+50)&lt;&gt;"","set "&amp;INDEX(CUEs!$A:$A,INT((ROW()-1)/7)*57+MOD(ROW()-1,7)+50)&amp;"=/ s "&amp;INDEX(CUEs!$B:$B,INT((ROW()-1)/7)*57+MOD(ROW()-1,7)+50),"")</f>
        <v/>
      </c>
    </row>
    <row r="2044" spans="1:1" x14ac:dyDescent="0.25">
      <c r="A2044" t="str" cm="1">
        <f t="array" ref="A2044">IF(INDEX(CUEs!$A:$A,INT((ROW()-1)/7)*57+MOD(ROW()-1,7)+50)&lt;&gt;"","set "&amp;INDEX(CUEs!$A:$A,INT((ROW()-1)/7)*57+MOD(ROW()-1,7)+50)&amp;"=/ s "&amp;INDEX(CUEs!$B:$B,INT((ROW()-1)/7)*57+MOD(ROW()-1,7)+50),"")</f>
        <v/>
      </c>
    </row>
    <row r="2045" spans="1:1" x14ac:dyDescent="0.25">
      <c r="A2045" t="str" cm="1">
        <f t="array" ref="A2045">IF(INDEX(CUEs!$A:$A,INT((ROW()-1)/7)*57+MOD(ROW()-1,7)+50)&lt;&gt;"","set "&amp;INDEX(CUEs!$A:$A,INT((ROW()-1)/7)*57+MOD(ROW()-1,7)+50)&amp;"=/ s "&amp;INDEX(CUEs!$B:$B,INT((ROW()-1)/7)*57+MOD(ROW()-1,7)+50),"")</f>
        <v/>
      </c>
    </row>
    <row r="2046" spans="1:1" x14ac:dyDescent="0.25">
      <c r="A2046" t="str" cm="1">
        <f t="array" ref="A2046">IF(INDEX(CUEs!$A:$A,INT((ROW()-1)/7)*57+MOD(ROW()-1,7)+50)&lt;&gt;"","set "&amp;INDEX(CUEs!$A:$A,INT((ROW()-1)/7)*57+MOD(ROW()-1,7)+50)&amp;"=/ s "&amp;INDEX(CUEs!$B:$B,INT((ROW()-1)/7)*57+MOD(ROW()-1,7)+50),"")</f>
        <v/>
      </c>
    </row>
    <row r="2047" spans="1:1" x14ac:dyDescent="0.25">
      <c r="A2047" t="str" cm="1">
        <f t="array" ref="A2047">IF(INDEX(CUEs!$A:$A,INT((ROW()-1)/7)*57+MOD(ROW()-1,7)+50)&lt;&gt;"","set "&amp;INDEX(CUEs!$A:$A,INT((ROW()-1)/7)*57+MOD(ROW()-1,7)+50)&amp;"=/ s "&amp;INDEX(CUEs!$B:$B,INT((ROW()-1)/7)*57+MOD(ROW()-1,7)+50),"")</f>
        <v/>
      </c>
    </row>
    <row r="2048" spans="1:1" x14ac:dyDescent="0.25">
      <c r="A2048" t="str" cm="1">
        <f t="array" ref="A2048">IF(INDEX(CUEs!$A:$A,INT((ROW()-1)/7)*57+MOD(ROW()-1,7)+50)&lt;&gt;"","set "&amp;INDEX(CUEs!$A:$A,INT((ROW()-1)/7)*57+MOD(ROW()-1,7)+50)&amp;"=/ s "&amp;INDEX(CUEs!$B:$B,INT((ROW()-1)/7)*57+MOD(ROW()-1,7)+50),"")</f>
        <v/>
      </c>
    </row>
    <row r="2049" spans="1:1" x14ac:dyDescent="0.25">
      <c r="A2049" t="str" cm="1">
        <f t="array" ref="A2049">IF(INDEX(CUEs!$A:$A,INT((ROW()-1)/7)*57+MOD(ROW()-1,7)+50)&lt;&gt;"","set "&amp;INDEX(CUEs!$A:$A,INT((ROW()-1)/7)*57+MOD(ROW()-1,7)+50)&amp;"=/ s "&amp;INDEX(CUEs!$B:$B,INT((ROW()-1)/7)*57+MOD(ROW()-1,7)+50),"")</f>
        <v/>
      </c>
    </row>
    <row r="2050" spans="1:1" x14ac:dyDescent="0.25">
      <c r="A2050" t="str" cm="1">
        <f t="array" ref="A2050">IF(INDEX(CUEs!$A:$A,INT((ROW()-1)/7)*57+MOD(ROW()-1,7)+50)&lt;&gt;"","set "&amp;INDEX(CUEs!$A:$A,INT((ROW()-1)/7)*57+MOD(ROW()-1,7)+50)&amp;"=/ s "&amp;INDEX(CUEs!$B:$B,INT((ROW()-1)/7)*57+MOD(ROW()-1,7)+50),"")</f>
        <v/>
      </c>
    </row>
    <row r="2051" spans="1:1" x14ac:dyDescent="0.25">
      <c r="A2051" t="str" cm="1">
        <f t="array" ref="A2051">IF(INDEX(CUEs!$A:$A,INT((ROW()-1)/7)*57+MOD(ROW()-1,7)+50)&lt;&gt;"","set "&amp;INDEX(CUEs!$A:$A,INT((ROW()-1)/7)*57+MOD(ROW()-1,7)+50)&amp;"=/ s "&amp;INDEX(CUEs!$B:$B,INT((ROW()-1)/7)*57+MOD(ROW()-1,7)+50),"")</f>
        <v/>
      </c>
    </row>
    <row r="2052" spans="1:1" x14ac:dyDescent="0.25">
      <c r="A2052" t="str" cm="1">
        <f t="array" ref="A2052">IF(INDEX(CUEs!$A:$A,INT((ROW()-1)/7)*57+MOD(ROW()-1,7)+50)&lt;&gt;"","set "&amp;INDEX(CUEs!$A:$A,INT((ROW()-1)/7)*57+MOD(ROW()-1,7)+50)&amp;"=/ s "&amp;INDEX(CUEs!$B:$B,INT((ROW()-1)/7)*57+MOD(ROW()-1,7)+50),"")</f>
        <v/>
      </c>
    </row>
    <row r="2053" spans="1:1" x14ac:dyDescent="0.25">
      <c r="A2053" t="str" cm="1">
        <f t="array" ref="A2053">IF(INDEX(CUEs!$A:$A,INT((ROW()-1)/7)*57+MOD(ROW()-1,7)+50)&lt;&gt;"","set "&amp;INDEX(CUEs!$A:$A,INT((ROW()-1)/7)*57+MOD(ROW()-1,7)+50)&amp;"=/ s "&amp;INDEX(CUEs!$B:$B,INT((ROW()-1)/7)*57+MOD(ROW()-1,7)+50),"")</f>
        <v/>
      </c>
    </row>
    <row r="2054" spans="1:1" x14ac:dyDescent="0.25">
      <c r="A2054" t="str" cm="1">
        <f t="array" ref="A2054">IF(INDEX(CUEs!$A:$A,INT((ROW()-1)/7)*57+MOD(ROW()-1,7)+50)&lt;&gt;"","set "&amp;INDEX(CUEs!$A:$A,INT((ROW()-1)/7)*57+MOD(ROW()-1,7)+50)&amp;"=/ s "&amp;INDEX(CUEs!$B:$B,INT((ROW()-1)/7)*57+MOD(ROW()-1,7)+50),"")</f>
        <v/>
      </c>
    </row>
    <row r="2055" spans="1:1" x14ac:dyDescent="0.25">
      <c r="A2055" t="str" cm="1">
        <f t="array" ref="A2055">IF(INDEX(CUEs!$A:$A,INT((ROW()-1)/7)*57+MOD(ROW()-1,7)+50)&lt;&gt;"","set "&amp;INDEX(CUEs!$A:$A,INT((ROW()-1)/7)*57+MOD(ROW()-1,7)+50)&amp;"=/ s "&amp;INDEX(CUEs!$B:$B,INT((ROW()-1)/7)*57+MOD(ROW()-1,7)+50),"")</f>
        <v/>
      </c>
    </row>
    <row r="2056" spans="1:1" x14ac:dyDescent="0.25">
      <c r="A2056" t="str" cm="1">
        <f t="array" ref="A2056">IF(INDEX(CUEs!$A:$A,INT((ROW()-1)/7)*57+MOD(ROW()-1,7)+50)&lt;&gt;"","set "&amp;INDEX(CUEs!$A:$A,INT((ROW()-1)/7)*57+MOD(ROW()-1,7)+50)&amp;"=/ s "&amp;INDEX(CUEs!$B:$B,INT((ROW()-1)/7)*57+MOD(ROW()-1,7)+50),"")</f>
        <v/>
      </c>
    </row>
    <row r="2057" spans="1:1" x14ac:dyDescent="0.25">
      <c r="A2057" t="str" cm="1">
        <f t="array" ref="A2057">IF(INDEX(CUEs!$A:$A,INT((ROW()-1)/7)*57+MOD(ROW()-1,7)+50)&lt;&gt;"","set "&amp;INDEX(CUEs!$A:$A,INT((ROW()-1)/7)*57+MOD(ROW()-1,7)+50)&amp;"=/ s "&amp;INDEX(CUEs!$B:$B,INT((ROW()-1)/7)*57+MOD(ROW()-1,7)+50),"")</f>
        <v/>
      </c>
    </row>
    <row r="2058" spans="1:1" x14ac:dyDescent="0.25">
      <c r="A2058" t="str" cm="1">
        <f t="array" ref="A2058">IF(INDEX(CUEs!$A:$A,INT((ROW()-1)/7)*57+MOD(ROW()-1,7)+50)&lt;&gt;"","set "&amp;INDEX(CUEs!$A:$A,INT((ROW()-1)/7)*57+MOD(ROW()-1,7)+50)&amp;"=/ s "&amp;INDEX(CUEs!$B:$B,INT((ROW()-1)/7)*57+MOD(ROW()-1,7)+50),"")</f>
        <v/>
      </c>
    </row>
    <row r="2059" spans="1:1" x14ac:dyDescent="0.25">
      <c r="A2059" t="str" cm="1">
        <f t="array" ref="A2059">IF(INDEX(CUEs!$A:$A,INT((ROW()-1)/7)*57+MOD(ROW()-1,7)+50)&lt;&gt;"","set "&amp;INDEX(CUEs!$A:$A,INT((ROW()-1)/7)*57+MOD(ROW()-1,7)+50)&amp;"=/ s "&amp;INDEX(CUEs!$B:$B,INT((ROW()-1)/7)*57+MOD(ROW()-1,7)+50),"")</f>
        <v/>
      </c>
    </row>
    <row r="2060" spans="1:1" x14ac:dyDescent="0.25">
      <c r="A2060" t="str" cm="1">
        <f t="array" ref="A2060">IF(INDEX(CUEs!$A:$A,INT((ROW()-1)/7)*57+MOD(ROW()-1,7)+50)&lt;&gt;"","set "&amp;INDEX(CUEs!$A:$A,INT((ROW()-1)/7)*57+MOD(ROW()-1,7)+50)&amp;"=/ s "&amp;INDEX(CUEs!$B:$B,INT((ROW()-1)/7)*57+MOD(ROW()-1,7)+50),"")</f>
        <v/>
      </c>
    </row>
    <row r="2061" spans="1:1" x14ac:dyDescent="0.25">
      <c r="A2061" t="str" cm="1">
        <f t="array" ref="A2061">IF(INDEX(CUEs!$A:$A,INT((ROW()-1)/7)*57+MOD(ROW()-1,7)+50)&lt;&gt;"","set "&amp;INDEX(CUEs!$A:$A,INT((ROW()-1)/7)*57+MOD(ROW()-1,7)+50)&amp;"=/ s "&amp;INDEX(CUEs!$B:$B,INT((ROW()-1)/7)*57+MOD(ROW()-1,7)+50),"")</f>
        <v/>
      </c>
    </row>
    <row r="2062" spans="1:1" x14ac:dyDescent="0.25">
      <c r="A2062" t="str" cm="1">
        <f t="array" ref="A2062">IF(INDEX(CUEs!$A:$A,INT((ROW()-1)/7)*57+MOD(ROW()-1,7)+50)&lt;&gt;"","set "&amp;INDEX(CUEs!$A:$A,INT((ROW()-1)/7)*57+MOD(ROW()-1,7)+50)&amp;"=/ s "&amp;INDEX(CUEs!$B:$B,INT((ROW()-1)/7)*57+MOD(ROW()-1,7)+50),"")</f>
        <v/>
      </c>
    </row>
    <row r="2063" spans="1:1" x14ac:dyDescent="0.25">
      <c r="A2063" t="str" cm="1">
        <f t="array" ref="A2063">IF(INDEX(CUEs!$A:$A,INT((ROW()-1)/7)*57+MOD(ROW()-1,7)+50)&lt;&gt;"","set "&amp;INDEX(CUEs!$A:$A,INT((ROW()-1)/7)*57+MOD(ROW()-1,7)+50)&amp;"=/ s "&amp;INDEX(CUEs!$B:$B,INT((ROW()-1)/7)*57+MOD(ROW()-1,7)+50),"")</f>
        <v/>
      </c>
    </row>
    <row r="2064" spans="1:1" x14ac:dyDescent="0.25">
      <c r="A2064" t="str" cm="1">
        <f t="array" ref="A2064">IF(INDEX(CUEs!$A:$A,INT((ROW()-1)/7)*57+MOD(ROW()-1,7)+50)&lt;&gt;"","set "&amp;INDEX(CUEs!$A:$A,INT((ROW()-1)/7)*57+MOD(ROW()-1,7)+50)&amp;"=/ s "&amp;INDEX(CUEs!$B:$B,INT((ROW()-1)/7)*57+MOD(ROW()-1,7)+50),"")</f>
        <v/>
      </c>
    </row>
    <row r="2065" spans="1:1" x14ac:dyDescent="0.25">
      <c r="A2065" t="str" cm="1">
        <f t="array" ref="A2065">IF(INDEX(CUEs!$A:$A,INT((ROW()-1)/7)*57+MOD(ROW()-1,7)+50)&lt;&gt;"","set "&amp;INDEX(CUEs!$A:$A,INT((ROW()-1)/7)*57+MOD(ROW()-1,7)+50)&amp;"=/ s "&amp;INDEX(CUEs!$B:$B,INT((ROW()-1)/7)*57+MOD(ROW()-1,7)+50),"")</f>
        <v/>
      </c>
    </row>
    <row r="2066" spans="1:1" x14ac:dyDescent="0.25">
      <c r="A2066" t="str" cm="1">
        <f t="array" ref="A2066">IF(INDEX(CUEs!$A:$A,INT((ROW()-1)/7)*57+MOD(ROW()-1,7)+50)&lt;&gt;"","set "&amp;INDEX(CUEs!$A:$A,INT((ROW()-1)/7)*57+MOD(ROW()-1,7)+50)&amp;"=/ s "&amp;INDEX(CUEs!$B:$B,INT((ROW()-1)/7)*57+MOD(ROW()-1,7)+50),"")</f>
        <v/>
      </c>
    </row>
    <row r="2067" spans="1:1" x14ac:dyDescent="0.25">
      <c r="A2067" t="str" cm="1">
        <f t="array" ref="A2067">IF(INDEX(CUEs!$A:$A,INT((ROW()-1)/7)*57+MOD(ROW()-1,7)+50)&lt;&gt;"","set "&amp;INDEX(CUEs!$A:$A,INT((ROW()-1)/7)*57+MOD(ROW()-1,7)+50)&amp;"=/ s "&amp;INDEX(CUEs!$B:$B,INT((ROW()-1)/7)*57+MOD(ROW()-1,7)+50),"")</f>
        <v/>
      </c>
    </row>
    <row r="2068" spans="1:1" x14ac:dyDescent="0.25">
      <c r="A2068" t="str" cm="1">
        <f t="array" ref="A2068">IF(INDEX(CUEs!$A:$A,INT((ROW()-1)/7)*57+MOD(ROW()-1,7)+50)&lt;&gt;"","set "&amp;INDEX(CUEs!$A:$A,INT((ROW()-1)/7)*57+MOD(ROW()-1,7)+50)&amp;"=/ s "&amp;INDEX(CUEs!$B:$B,INT((ROW()-1)/7)*57+MOD(ROW()-1,7)+50),"")</f>
        <v/>
      </c>
    </row>
    <row r="2069" spans="1:1" x14ac:dyDescent="0.25">
      <c r="A2069" t="str" cm="1">
        <f t="array" ref="A2069">IF(INDEX(CUEs!$A:$A,INT((ROW()-1)/7)*57+MOD(ROW()-1,7)+50)&lt;&gt;"","set "&amp;INDEX(CUEs!$A:$A,INT((ROW()-1)/7)*57+MOD(ROW()-1,7)+50)&amp;"=/ s "&amp;INDEX(CUEs!$B:$B,INT((ROW()-1)/7)*57+MOD(ROW()-1,7)+50),"")</f>
        <v/>
      </c>
    </row>
    <row r="2070" spans="1:1" x14ac:dyDescent="0.25">
      <c r="A2070" t="str" cm="1">
        <f t="array" ref="A2070">IF(INDEX(CUEs!$A:$A,INT((ROW()-1)/7)*57+MOD(ROW()-1,7)+50)&lt;&gt;"","set "&amp;INDEX(CUEs!$A:$A,INT((ROW()-1)/7)*57+MOD(ROW()-1,7)+50)&amp;"=/ s "&amp;INDEX(CUEs!$B:$B,INT((ROW()-1)/7)*57+MOD(ROW()-1,7)+50),"")</f>
        <v/>
      </c>
    </row>
    <row r="2071" spans="1:1" x14ac:dyDescent="0.25">
      <c r="A2071" t="str" cm="1">
        <f t="array" ref="A2071">IF(INDEX(CUEs!$A:$A,INT((ROW()-1)/7)*57+MOD(ROW()-1,7)+50)&lt;&gt;"","set "&amp;INDEX(CUEs!$A:$A,INT((ROW()-1)/7)*57+MOD(ROW()-1,7)+50)&amp;"=/ s "&amp;INDEX(CUEs!$B:$B,INT((ROW()-1)/7)*57+MOD(ROW()-1,7)+50),"")</f>
        <v/>
      </c>
    </row>
    <row r="2072" spans="1:1" x14ac:dyDescent="0.25">
      <c r="A2072" t="str" cm="1">
        <f t="array" ref="A2072">IF(INDEX(CUEs!$A:$A,INT((ROW()-1)/7)*57+MOD(ROW()-1,7)+50)&lt;&gt;"","set "&amp;INDEX(CUEs!$A:$A,INT((ROW()-1)/7)*57+MOD(ROW()-1,7)+50)&amp;"=/ s "&amp;INDEX(CUEs!$B:$B,INT((ROW()-1)/7)*57+MOD(ROW()-1,7)+50),"")</f>
        <v/>
      </c>
    </row>
    <row r="2073" spans="1:1" x14ac:dyDescent="0.25">
      <c r="A2073" t="str" cm="1">
        <f t="array" ref="A2073">IF(INDEX(CUEs!$A:$A,INT((ROW()-1)/7)*57+MOD(ROW()-1,7)+50)&lt;&gt;"","set "&amp;INDEX(CUEs!$A:$A,INT((ROW()-1)/7)*57+MOD(ROW()-1,7)+50)&amp;"=/ s "&amp;INDEX(CUEs!$B:$B,INT((ROW()-1)/7)*57+MOD(ROW()-1,7)+50),"")</f>
        <v/>
      </c>
    </row>
    <row r="2074" spans="1:1" x14ac:dyDescent="0.25">
      <c r="A2074" t="str" cm="1">
        <f t="array" ref="A2074">IF(INDEX(CUEs!$A:$A,INT((ROW()-1)/7)*57+MOD(ROW()-1,7)+50)&lt;&gt;"","set "&amp;INDEX(CUEs!$A:$A,INT((ROW()-1)/7)*57+MOD(ROW()-1,7)+50)&amp;"=/ s "&amp;INDEX(CUEs!$B:$B,INT((ROW()-1)/7)*57+MOD(ROW()-1,7)+50),"")</f>
        <v/>
      </c>
    </row>
    <row r="2075" spans="1:1" x14ac:dyDescent="0.25">
      <c r="A2075" t="str" cm="1">
        <f t="array" ref="A2075">IF(INDEX(CUEs!$A:$A,INT((ROW()-1)/7)*57+MOD(ROW()-1,7)+50)&lt;&gt;"","set "&amp;INDEX(CUEs!$A:$A,INT((ROW()-1)/7)*57+MOD(ROW()-1,7)+50)&amp;"=/ s "&amp;INDEX(CUEs!$B:$B,INT((ROW()-1)/7)*57+MOD(ROW()-1,7)+50),"")</f>
        <v/>
      </c>
    </row>
    <row r="2076" spans="1:1" x14ac:dyDescent="0.25">
      <c r="A2076" t="str" cm="1">
        <f t="array" ref="A2076">IF(INDEX(CUEs!$A:$A,INT((ROW()-1)/7)*57+MOD(ROW()-1,7)+50)&lt;&gt;"","set "&amp;INDEX(CUEs!$A:$A,INT((ROW()-1)/7)*57+MOD(ROW()-1,7)+50)&amp;"=/ s "&amp;INDEX(CUEs!$B:$B,INT((ROW()-1)/7)*57+MOD(ROW()-1,7)+50),"")</f>
        <v/>
      </c>
    </row>
    <row r="2077" spans="1:1" x14ac:dyDescent="0.25">
      <c r="A2077" t="str" cm="1">
        <f t="array" ref="A2077">IF(INDEX(CUEs!$A:$A,INT((ROW()-1)/7)*57+MOD(ROW()-1,7)+50)&lt;&gt;"","set "&amp;INDEX(CUEs!$A:$A,INT((ROW()-1)/7)*57+MOD(ROW()-1,7)+50)&amp;"=/ s "&amp;INDEX(CUEs!$B:$B,INT((ROW()-1)/7)*57+MOD(ROW()-1,7)+50),"")</f>
        <v/>
      </c>
    </row>
    <row r="2078" spans="1:1" x14ac:dyDescent="0.25">
      <c r="A2078" t="str" cm="1">
        <f t="array" ref="A2078">IF(INDEX(CUEs!$A:$A,INT((ROW()-1)/7)*57+MOD(ROW()-1,7)+50)&lt;&gt;"","set "&amp;INDEX(CUEs!$A:$A,INT((ROW()-1)/7)*57+MOD(ROW()-1,7)+50)&amp;"=/ s "&amp;INDEX(CUEs!$B:$B,INT((ROW()-1)/7)*57+MOD(ROW()-1,7)+50),"")</f>
        <v/>
      </c>
    </row>
    <row r="2079" spans="1:1" x14ac:dyDescent="0.25">
      <c r="A2079" t="str" cm="1">
        <f t="array" ref="A2079">IF(INDEX(CUEs!$A:$A,INT((ROW()-1)/7)*57+MOD(ROW()-1,7)+50)&lt;&gt;"","set "&amp;INDEX(CUEs!$A:$A,INT((ROW()-1)/7)*57+MOD(ROW()-1,7)+50)&amp;"=/ s "&amp;INDEX(CUEs!$B:$B,INT((ROW()-1)/7)*57+MOD(ROW()-1,7)+50),"")</f>
        <v/>
      </c>
    </row>
    <row r="2080" spans="1:1" x14ac:dyDescent="0.25">
      <c r="A2080" t="str" cm="1">
        <f t="array" ref="A2080">IF(INDEX(CUEs!$A:$A,INT((ROW()-1)/7)*57+MOD(ROW()-1,7)+50)&lt;&gt;"","set "&amp;INDEX(CUEs!$A:$A,INT((ROW()-1)/7)*57+MOD(ROW()-1,7)+50)&amp;"=/ s "&amp;INDEX(CUEs!$B:$B,INT((ROW()-1)/7)*57+MOD(ROW()-1,7)+50),"")</f>
        <v/>
      </c>
    </row>
    <row r="2081" spans="1:1" x14ac:dyDescent="0.25">
      <c r="A2081" t="str" cm="1">
        <f t="array" ref="A2081">IF(INDEX(CUEs!$A:$A,INT((ROW()-1)/7)*57+MOD(ROW()-1,7)+50)&lt;&gt;"","set "&amp;INDEX(CUEs!$A:$A,INT((ROW()-1)/7)*57+MOD(ROW()-1,7)+50)&amp;"=/ s "&amp;INDEX(CUEs!$B:$B,INT((ROW()-1)/7)*57+MOD(ROW()-1,7)+50),"")</f>
        <v/>
      </c>
    </row>
    <row r="2082" spans="1:1" x14ac:dyDescent="0.25">
      <c r="A2082" t="str" cm="1">
        <f t="array" ref="A2082">IF(INDEX(CUEs!$A:$A,INT((ROW()-1)/7)*57+MOD(ROW()-1,7)+50)&lt;&gt;"","set "&amp;INDEX(CUEs!$A:$A,INT((ROW()-1)/7)*57+MOD(ROW()-1,7)+50)&amp;"=/ s "&amp;INDEX(CUEs!$B:$B,INT((ROW()-1)/7)*57+MOD(ROW()-1,7)+50),"")</f>
        <v/>
      </c>
    </row>
    <row r="2083" spans="1:1" x14ac:dyDescent="0.25">
      <c r="A2083" t="str" cm="1">
        <f t="array" ref="A2083">IF(INDEX(CUEs!$A:$A,INT((ROW()-1)/7)*57+MOD(ROW()-1,7)+50)&lt;&gt;"","set "&amp;INDEX(CUEs!$A:$A,INT((ROW()-1)/7)*57+MOD(ROW()-1,7)+50)&amp;"=/ s "&amp;INDEX(CUEs!$B:$B,INT((ROW()-1)/7)*57+MOD(ROW()-1,7)+50),"")</f>
        <v/>
      </c>
    </row>
    <row r="2084" spans="1:1" x14ac:dyDescent="0.25">
      <c r="A2084" t="str" cm="1">
        <f t="array" ref="A2084">IF(INDEX(CUEs!$A:$A,INT((ROW()-1)/7)*57+MOD(ROW()-1,7)+50)&lt;&gt;"","set "&amp;INDEX(CUEs!$A:$A,INT((ROW()-1)/7)*57+MOD(ROW()-1,7)+50)&amp;"=/ s "&amp;INDEX(CUEs!$B:$B,INT((ROW()-1)/7)*57+MOD(ROW()-1,7)+50),"")</f>
        <v/>
      </c>
    </row>
    <row r="2085" spans="1:1" x14ac:dyDescent="0.25">
      <c r="A2085" t="str" cm="1">
        <f t="array" ref="A2085">IF(INDEX(CUEs!$A:$A,INT((ROW()-1)/7)*57+MOD(ROW()-1,7)+50)&lt;&gt;"","set "&amp;INDEX(CUEs!$A:$A,INT((ROW()-1)/7)*57+MOD(ROW()-1,7)+50)&amp;"=/ s "&amp;INDEX(CUEs!$B:$B,INT((ROW()-1)/7)*57+MOD(ROW()-1,7)+50),"")</f>
        <v/>
      </c>
    </row>
    <row r="2086" spans="1:1" x14ac:dyDescent="0.25">
      <c r="A2086" t="str" cm="1">
        <f t="array" ref="A2086">IF(INDEX(CUEs!$A:$A,INT((ROW()-1)/7)*57+MOD(ROW()-1,7)+50)&lt;&gt;"","set "&amp;INDEX(CUEs!$A:$A,INT((ROW()-1)/7)*57+MOD(ROW()-1,7)+50)&amp;"=/ s "&amp;INDEX(CUEs!$B:$B,INT((ROW()-1)/7)*57+MOD(ROW()-1,7)+50),"")</f>
        <v/>
      </c>
    </row>
    <row r="2087" spans="1:1" x14ac:dyDescent="0.25">
      <c r="A2087" t="str" cm="1">
        <f t="array" ref="A2087">IF(INDEX(CUEs!$A:$A,INT((ROW()-1)/7)*57+MOD(ROW()-1,7)+50)&lt;&gt;"","set "&amp;INDEX(CUEs!$A:$A,INT((ROW()-1)/7)*57+MOD(ROW()-1,7)+50)&amp;"=/ s "&amp;INDEX(CUEs!$B:$B,INT((ROW()-1)/7)*57+MOD(ROW()-1,7)+50),"")</f>
        <v/>
      </c>
    </row>
    <row r="2088" spans="1:1" x14ac:dyDescent="0.25">
      <c r="A2088" t="str" cm="1">
        <f t="array" ref="A2088">IF(INDEX(CUEs!$A:$A,INT((ROW()-1)/7)*57+MOD(ROW()-1,7)+50)&lt;&gt;"","set "&amp;INDEX(CUEs!$A:$A,INT((ROW()-1)/7)*57+MOD(ROW()-1,7)+50)&amp;"=/ s "&amp;INDEX(CUEs!$B:$B,INT((ROW()-1)/7)*57+MOD(ROW()-1,7)+50),"")</f>
        <v/>
      </c>
    </row>
    <row r="2089" spans="1:1" x14ac:dyDescent="0.25">
      <c r="A2089" t="str" cm="1">
        <f t="array" ref="A2089">IF(INDEX(CUEs!$A:$A,INT((ROW()-1)/7)*57+MOD(ROW()-1,7)+50)&lt;&gt;"","set "&amp;INDEX(CUEs!$A:$A,INT((ROW()-1)/7)*57+MOD(ROW()-1,7)+50)&amp;"=/ s "&amp;INDEX(CUEs!$B:$B,INT((ROW()-1)/7)*57+MOD(ROW()-1,7)+50),"")</f>
        <v/>
      </c>
    </row>
    <row r="2090" spans="1:1" x14ac:dyDescent="0.25">
      <c r="A2090" t="str" cm="1">
        <f t="array" ref="A2090">IF(INDEX(CUEs!$A:$A,INT((ROW()-1)/7)*57+MOD(ROW()-1,7)+50)&lt;&gt;"","set "&amp;INDEX(CUEs!$A:$A,INT((ROW()-1)/7)*57+MOD(ROW()-1,7)+50)&amp;"=/ s "&amp;INDEX(CUEs!$B:$B,INT((ROW()-1)/7)*57+MOD(ROW()-1,7)+50),"")</f>
        <v/>
      </c>
    </row>
    <row r="2091" spans="1:1" x14ac:dyDescent="0.25">
      <c r="A2091" t="str" cm="1">
        <f t="array" ref="A2091">IF(INDEX(CUEs!$A:$A,INT((ROW()-1)/7)*57+MOD(ROW()-1,7)+50)&lt;&gt;"","set "&amp;INDEX(CUEs!$A:$A,INT((ROW()-1)/7)*57+MOD(ROW()-1,7)+50)&amp;"=/ s "&amp;INDEX(CUEs!$B:$B,INT((ROW()-1)/7)*57+MOD(ROW()-1,7)+50),"")</f>
        <v/>
      </c>
    </row>
    <row r="2092" spans="1:1" x14ac:dyDescent="0.25">
      <c r="A2092" t="str" cm="1">
        <f t="array" ref="A2092">IF(INDEX(CUEs!$A:$A,INT((ROW()-1)/7)*57+MOD(ROW()-1,7)+50)&lt;&gt;"","set "&amp;INDEX(CUEs!$A:$A,INT((ROW()-1)/7)*57+MOD(ROW()-1,7)+50)&amp;"=/ s "&amp;INDEX(CUEs!$B:$B,INT((ROW()-1)/7)*57+MOD(ROW()-1,7)+50),"")</f>
        <v/>
      </c>
    </row>
    <row r="2093" spans="1:1" x14ac:dyDescent="0.25">
      <c r="A2093" t="str" cm="1">
        <f t="array" ref="A2093">IF(INDEX(CUEs!$A:$A,INT((ROW()-1)/7)*57+MOD(ROW()-1,7)+50)&lt;&gt;"","set "&amp;INDEX(CUEs!$A:$A,INT((ROW()-1)/7)*57+MOD(ROW()-1,7)+50)&amp;"=/ s "&amp;INDEX(CUEs!$B:$B,INT((ROW()-1)/7)*57+MOD(ROW()-1,7)+50),"")</f>
        <v/>
      </c>
    </row>
    <row r="2094" spans="1:1" x14ac:dyDescent="0.25">
      <c r="A2094" t="str" cm="1">
        <f t="array" ref="A2094">IF(INDEX(CUEs!$A:$A,INT((ROW()-1)/7)*57+MOD(ROW()-1,7)+50)&lt;&gt;"","set "&amp;INDEX(CUEs!$A:$A,INT((ROW()-1)/7)*57+MOD(ROW()-1,7)+50)&amp;"=/ s "&amp;INDEX(CUEs!$B:$B,INT((ROW()-1)/7)*57+MOD(ROW()-1,7)+50),"")</f>
        <v/>
      </c>
    </row>
    <row r="2095" spans="1:1" x14ac:dyDescent="0.25">
      <c r="A2095" t="str" cm="1">
        <f t="array" ref="A2095">IF(INDEX(CUEs!$A:$A,INT((ROW()-1)/7)*57+MOD(ROW()-1,7)+50)&lt;&gt;"","set "&amp;INDEX(CUEs!$A:$A,INT((ROW()-1)/7)*57+MOD(ROW()-1,7)+50)&amp;"=/ s "&amp;INDEX(CUEs!$B:$B,INT((ROW()-1)/7)*57+MOD(ROW()-1,7)+50),"")</f>
        <v/>
      </c>
    </row>
    <row r="2096" spans="1:1" x14ac:dyDescent="0.25">
      <c r="A2096" t="str" cm="1">
        <f t="array" ref="A2096">IF(INDEX(CUEs!$A:$A,INT((ROW()-1)/7)*57+MOD(ROW()-1,7)+50)&lt;&gt;"","set "&amp;INDEX(CUEs!$A:$A,INT((ROW()-1)/7)*57+MOD(ROW()-1,7)+50)&amp;"=/ s "&amp;INDEX(CUEs!$B:$B,INT((ROW()-1)/7)*57+MOD(ROW()-1,7)+50),"")</f>
        <v/>
      </c>
    </row>
    <row r="2097" spans="1:1" x14ac:dyDescent="0.25">
      <c r="A2097" t="str" cm="1">
        <f t="array" ref="A2097">IF(INDEX(CUEs!$A:$A,INT((ROW()-1)/7)*57+MOD(ROW()-1,7)+50)&lt;&gt;"","set "&amp;INDEX(CUEs!$A:$A,INT((ROW()-1)/7)*57+MOD(ROW()-1,7)+50)&amp;"=/ s "&amp;INDEX(CUEs!$B:$B,INT((ROW()-1)/7)*57+MOD(ROW()-1,7)+50),"")</f>
        <v/>
      </c>
    </row>
    <row r="2098" spans="1:1" x14ac:dyDescent="0.25">
      <c r="A2098" t="str" cm="1">
        <f t="array" ref="A2098">IF(INDEX(CUEs!$A:$A,INT((ROW()-1)/7)*57+MOD(ROW()-1,7)+50)&lt;&gt;"","set "&amp;INDEX(CUEs!$A:$A,INT((ROW()-1)/7)*57+MOD(ROW()-1,7)+50)&amp;"=/ s "&amp;INDEX(CUEs!$B:$B,INT((ROW()-1)/7)*57+MOD(ROW()-1,7)+50),"")</f>
        <v/>
      </c>
    </row>
    <row r="2099" spans="1:1" x14ac:dyDescent="0.25">
      <c r="A2099" t="str" cm="1">
        <f t="array" ref="A2099">IF(INDEX(CUEs!$A:$A,INT((ROW()-1)/7)*57+MOD(ROW()-1,7)+50)&lt;&gt;"","set "&amp;INDEX(CUEs!$A:$A,INT((ROW()-1)/7)*57+MOD(ROW()-1,7)+50)&amp;"=/ s "&amp;INDEX(CUEs!$B:$B,INT((ROW()-1)/7)*57+MOD(ROW()-1,7)+50),"")</f>
        <v/>
      </c>
    </row>
    <row r="2100" spans="1:1" x14ac:dyDescent="0.25">
      <c r="A2100" t="str" cm="1">
        <f t="array" ref="A2100">IF(INDEX(CUEs!$A:$A,INT((ROW()-1)/7)*57+MOD(ROW()-1,7)+50)&lt;&gt;"","set "&amp;INDEX(CUEs!$A:$A,INT((ROW()-1)/7)*57+MOD(ROW()-1,7)+50)&amp;"=/ s "&amp;INDEX(CUEs!$B:$B,INT((ROW()-1)/7)*57+MOD(ROW()-1,7)+50),"")</f>
        <v/>
      </c>
    </row>
    <row r="2101" spans="1:1" x14ac:dyDescent="0.25">
      <c r="A2101" t="str" cm="1">
        <f t="array" ref="A2101">IF(INDEX(CUEs!$A:$A,INT((ROW()-1)/7)*57+MOD(ROW()-1,7)+50)&lt;&gt;"","set "&amp;INDEX(CUEs!$A:$A,INT((ROW()-1)/7)*57+MOD(ROW()-1,7)+50)&amp;"=/ s "&amp;INDEX(CUEs!$B:$B,INT((ROW()-1)/7)*57+MOD(ROW()-1,7)+50),"")</f>
        <v/>
      </c>
    </row>
    <row r="2102" spans="1:1" x14ac:dyDescent="0.25">
      <c r="A2102" t="str" cm="1">
        <f t="array" ref="A2102">IF(INDEX(CUEs!$A:$A,INT((ROW()-1)/7)*57+MOD(ROW()-1,7)+50)&lt;&gt;"","set "&amp;INDEX(CUEs!$A:$A,INT((ROW()-1)/7)*57+MOD(ROW()-1,7)+50)&amp;"=/ s "&amp;INDEX(CUEs!$B:$B,INT((ROW()-1)/7)*57+MOD(ROW()-1,7)+50),"")</f>
        <v/>
      </c>
    </row>
    <row r="2103" spans="1:1" x14ac:dyDescent="0.25">
      <c r="A2103" t="str" cm="1">
        <f t="array" ref="A2103">IF(INDEX(CUEs!$A:$A,INT((ROW()-1)/7)*57+MOD(ROW()-1,7)+50)&lt;&gt;"","set "&amp;INDEX(CUEs!$A:$A,INT((ROW()-1)/7)*57+MOD(ROW()-1,7)+50)&amp;"=/ s "&amp;INDEX(CUEs!$B:$B,INT((ROW()-1)/7)*57+MOD(ROW()-1,7)+50),"")</f>
        <v/>
      </c>
    </row>
    <row r="2104" spans="1:1" x14ac:dyDescent="0.25">
      <c r="A2104" t="str" cm="1">
        <f t="array" ref="A2104">IF(INDEX(CUEs!$A:$A,INT((ROW()-1)/7)*57+MOD(ROW()-1,7)+50)&lt;&gt;"","set "&amp;INDEX(CUEs!$A:$A,INT((ROW()-1)/7)*57+MOD(ROW()-1,7)+50)&amp;"=/ s "&amp;INDEX(CUEs!$B:$B,INT((ROW()-1)/7)*57+MOD(ROW()-1,7)+50),"")</f>
        <v/>
      </c>
    </row>
    <row r="2105" spans="1:1" x14ac:dyDescent="0.25">
      <c r="A2105" t="str" cm="1">
        <f t="array" ref="A2105">IF(INDEX(CUEs!$A:$A,INT((ROW()-1)/7)*57+MOD(ROW()-1,7)+50)&lt;&gt;"","set "&amp;INDEX(CUEs!$A:$A,INT((ROW()-1)/7)*57+MOD(ROW()-1,7)+50)&amp;"=/ s "&amp;INDEX(CUEs!$B:$B,INT((ROW()-1)/7)*57+MOD(ROW()-1,7)+50),"")</f>
        <v/>
      </c>
    </row>
    <row r="2106" spans="1:1" x14ac:dyDescent="0.25">
      <c r="A2106" t="str" cm="1">
        <f t="array" ref="A2106">IF(INDEX(CUEs!$A:$A,INT((ROW()-1)/7)*57+MOD(ROW()-1,7)+50)&lt;&gt;"","set "&amp;INDEX(CUEs!$A:$A,INT((ROW()-1)/7)*57+MOD(ROW()-1,7)+50)&amp;"=/ s "&amp;INDEX(CUEs!$B:$B,INT((ROW()-1)/7)*57+MOD(ROW()-1,7)+50),"")</f>
        <v/>
      </c>
    </row>
    <row r="2107" spans="1:1" x14ac:dyDescent="0.25">
      <c r="A2107" t="str" cm="1">
        <f t="array" ref="A2107">IF(INDEX(CUEs!$A:$A,INT((ROW()-1)/7)*57+MOD(ROW()-1,7)+50)&lt;&gt;"","set "&amp;INDEX(CUEs!$A:$A,INT((ROW()-1)/7)*57+MOD(ROW()-1,7)+50)&amp;"=/ s "&amp;INDEX(CUEs!$B:$B,INT((ROW()-1)/7)*57+MOD(ROW()-1,7)+50),"")</f>
        <v/>
      </c>
    </row>
    <row r="2108" spans="1:1" x14ac:dyDescent="0.25">
      <c r="A2108" t="str" cm="1">
        <f t="array" ref="A2108">IF(INDEX(CUEs!$A:$A,INT((ROW()-1)/7)*57+MOD(ROW()-1,7)+50)&lt;&gt;"","set "&amp;INDEX(CUEs!$A:$A,INT((ROW()-1)/7)*57+MOD(ROW()-1,7)+50)&amp;"=/ s "&amp;INDEX(CUEs!$B:$B,INT((ROW()-1)/7)*57+MOD(ROW()-1,7)+50),"")</f>
        <v/>
      </c>
    </row>
    <row r="2109" spans="1:1" x14ac:dyDescent="0.25">
      <c r="A2109" t="str" cm="1">
        <f t="array" ref="A2109">IF(INDEX(CUEs!$A:$A,INT((ROW()-1)/7)*57+MOD(ROW()-1,7)+50)&lt;&gt;"","set "&amp;INDEX(CUEs!$A:$A,INT((ROW()-1)/7)*57+MOD(ROW()-1,7)+50)&amp;"=/ s "&amp;INDEX(CUEs!$B:$B,INT((ROW()-1)/7)*57+MOD(ROW()-1,7)+50),"")</f>
        <v/>
      </c>
    </row>
    <row r="2110" spans="1:1" x14ac:dyDescent="0.25">
      <c r="A2110" t="str" cm="1">
        <f t="array" ref="A2110">IF(INDEX(CUEs!$A:$A,INT((ROW()-1)/7)*57+MOD(ROW()-1,7)+50)&lt;&gt;"","set "&amp;INDEX(CUEs!$A:$A,INT((ROW()-1)/7)*57+MOD(ROW()-1,7)+50)&amp;"=/ s "&amp;INDEX(CUEs!$B:$B,INT((ROW()-1)/7)*57+MOD(ROW()-1,7)+50),"")</f>
        <v/>
      </c>
    </row>
    <row r="2111" spans="1:1" x14ac:dyDescent="0.25">
      <c r="A2111" t="str" cm="1">
        <f t="array" ref="A2111">IF(INDEX(CUEs!$A:$A,INT((ROW()-1)/7)*57+MOD(ROW()-1,7)+50)&lt;&gt;"","set "&amp;INDEX(CUEs!$A:$A,INT((ROW()-1)/7)*57+MOD(ROW()-1,7)+50)&amp;"=/ s "&amp;INDEX(CUEs!$B:$B,INT((ROW()-1)/7)*57+MOD(ROW()-1,7)+50),"")</f>
        <v/>
      </c>
    </row>
    <row r="2112" spans="1:1" x14ac:dyDescent="0.25">
      <c r="A2112" t="str" cm="1">
        <f t="array" ref="A2112">IF(INDEX(CUEs!$A:$A,INT((ROW()-1)/7)*57+MOD(ROW()-1,7)+50)&lt;&gt;"","set "&amp;INDEX(CUEs!$A:$A,INT((ROW()-1)/7)*57+MOD(ROW()-1,7)+50)&amp;"=/ s "&amp;INDEX(CUEs!$B:$B,INT((ROW()-1)/7)*57+MOD(ROW()-1,7)+50),"")</f>
        <v/>
      </c>
    </row>
    <row r="2113" spans="1:1" x14ac:dyDescent="0.25">
      <c r="A2113" t="str" cm="1">
        <f t="array" ref="A2113">IF(INDEX(CUEs!$A:$A,INT((ROW()-1)/7)*57+MOD(ROW()-1,7)+50)&lt;&gt;"","set "&amp;INDEX(CUEs!$A:$A,INT((ROW()-1)/7)*57+MOD(ROW()-1,7)+50)&amp;"=/ s "&amp;INDEX(CUEs!$B:$B,INT((ROW()-1)/7)*57+MOD(ROW()-1,7)+50),"")</f>
        <v/>
      </c>
    </row>
    <row r="2114" spans="1:1" x14ac:dyDescent="0.25">
      <c r="A2114" t="str" cm="1">
        <f t="array" ref="A2114">IF(INDEX(CUEs!$A:$A,INT((ROW()-1)/7)*57+MOD(ROW()-1,7)+50)&lt;&gt;"","set "&amp;INDEX(CUEs!$A:$A,INT((ROW()-1)/7)*57+MOD(ROW()-1,7)+50)&amp;"=/ s "&amp;INDEX(CUEs!$B:$B,INT((ROW()-1)/7)*57+MOD(ROW()-1,7)+50),"")</f>
        <v/>
      </c>
    </row>
    <row r="2115" spans="1:1" x14ac:dyDescent="0.25">
      <c r="A2115" t="str" cm="1">
        <f t="array" ref="A2115">IF(INDEX(CUEs!$A:$A,INT((ROW()-1)/7)*57+MOD(ROW()-1,7)+50)&lt;&gt;"","set "&amp;INDEX(CUEs!$A:$A,INT((ROW()-1)/7)*57+MOD(ROW()-1,7)+50)&amp;"=/ s "&amp;INDEX(CUEs!$B:$B,INT((ROW()-1)/7)*57+MOD(ROW()-1,7)+50),"")</f>
        <v/>
      </c>
    </row>
    <row r="2116" spans="1:1" x14ac:dyDescent="0.25">
      <c r="A2116" t="str" cm="1">
        <f t="array" ref="A2116">IF(INDEX(CUEs!$A:$A,INT((ROW()-1)/7)*57+MOD(ROW()-1,7)+50)&lt;&gt;"","set "&amp;INDEX(CUEs!$A:$A,INT((ROW()-1)/7)*57+MOD(ROW()-1,7)+50)&amp;"=/ s "&amp;INDEX(CUEs!$B:$B,INT((ROW()-1)/7)*57+MOD(ROW()-1,7)+50),"")</f>
        <v/>
      </c>
    </row>
    <row r="2117" spans="1:1" x14ac:dyDescent="0.25">
      <c r="A2117" t="str" cm="1">
        <f t="array" ref="A2117">IF(INDEX(CUEs!$A:$A,INT((ROW()-1)/7)*57+MOD(ROW()-1,7)+50)&lt;&gt;"","set "&amp;INDEX(CUEs!$A:$A,INT((ROW()-1)/7)*57+MOD(ROW()-1,7)+50)&amp;"=/ s "&amp;INDEX(CUEs!$B:$B,INT((ROW()-1)/7)*57+MOD(ROW()-1,7)+50),"")</f>
        <v/>
      </c>
    </row>
    <row r="2118" spans="1:1" x14ac:dyDescent="0.25">
      <c r="A2118" t="str" cm="1">
        <f t="array" ref="A2118">IF(INDEX(CUEs!$A:$A,INT((ROW()-1)/7)*57+MOD(ROW()-1,7)+50)&lt;&gt;"","set "&amp;INDEX(CUEs!$A:$A,INT((ROW()-1)/7)*57+MOD(ROW()-1,7)+50)&amp;"=/ s "&amp;INDEX(CUEs!$B:$B,INT((ROW()-1)/7)*57+MOD(ROW()-1,7)+50),"")</f>
        <v/>
      </c>
    </row>
    <row r="2119" spans="1:1" x14ac:dyDescent="0.25">
      <c r="A2119" t="str" cm="1">
        <f t="array" ref="A2119">IF(INDEX(CUEs!$A:$A,INT((ROW()-1)/7)*57+MOD(ROW()-1,7)+50)&lt;&gt;"","set "&amp;INDEX(CUEs!$A:$A,INT((ROW()-1)/7)*57+MOD(ROW()-1,7)+50)&amp;"=/ s "&amp;INDEX(CUEs!$B:$B,INT((ROW()-1)/7)*57+MOD(ROW()-1,7)+50),"")</f>
        <v/>
      </c>
    </row>
    <row r="2120" spans="1:1" x14ac:dyDescent="0.25">
      <c r="A2120" t="str" cm="1">
        <f t="array" ref="A2120">IF(INDEX(CUEs!$A:$A,INT((ROW()-1)/7)*57+MOD(ROW()-1,7)+50)&lt;&gt;"","set "&amp;INDEX(CUEs!$A:$A,INT((ROW()-1)/7)*57+MOD(ROW()-1,7)+50)&amp;"=/ s "&amp;INDEX(CUEs!$B:$B,INT((ROW()-1)/7)*57+MOD(ROW()-1,7)+50),"")</f>
        <v/>
      </c>
    </row>
    <row r="2121" spans="1:1" x14ac:dyDescent="0.25">
      <c r="A2121" t="str" cm="1">
        <f t="array" ref="A2121">IF(INDEX(CUEs!$A:$A,INT((ROW()-1)/7)*57+MOD(ROW()-1,7)+50)&lt;&gt;"","set "&amp;INDEX(CUEs!$A:$A,INT((ROW()-1)/7)*57+MOD(ROW()-1,7)+50)&amp;"=/ s "&amp;INDEX(CUEs!$B:$B,INT((ROW()-1)/7)*57+MOD(ROW()-1,7)+50),"")</f>
        <v/>
      </c>
    </row>
    <row r="2122" spans="1:1" x14ac:dyDescent="0.25">
      <c r="A2122" t="str" cm="1">
        <f t="array" ref="A2122">IF(INDEX(CUEs!$A:$A,INT((ROW()-1)/7)*57+MOD(ROW()-1,7)+50)&lt;&gt;"","set "&amp;INDEX(CUEs!$A:$A,INT((ROW()-1)/7)*57+MOD(ROW()-1,7)+50)&amp;"=/ s "&amp;INDEX(CUEs!$B:$B,INT((ROW()-1)/7)*57+MOD(ROW()-1,7)+50),"")</f>
        <v/>
      </c>
    </row>
    <row r="2123" spans="1:1" x14ac:dyDescent="0.25">
      <c r="A2123" t="str" cm="1">
        <f t="array" ref="A2123">IF(INDEX(CUEs!$A:$A,INT((ROW()-1)/7)*57+MOD(ROW()-1,7)+50)&lt;&gt;"","set "&amp;INDEX(CUEs!$A:$A,INT((ROW()-1)/7)*57+MOD(ROW()-1,7)+50)&amp;"=/ s "&amp;INDEX(CUEs!$B:$B,INT((ROW()-1)/7)*57+MOD(ROW()-1,7)+50),"")</f>
        <v/>
      </c>
    </row>
    <row r="2124" spans="1:1" x14ac:dyDescent="0.25">
      <c r="A2124" t="str" cm="1">
        <f t="array" ref="A2124">IF(INDEX(CUEs!$A:$A,INT((ROW()-1)/7)*57+MOD(ROW()-1,7)+50)&lt;&gt;"","set "&amp;INDEX(CUEs!$A:$A,INT((ROW()-1)/7)*57+MOD(ROW()-1,7)+50)&amp;"=/ s "&amp;INDEX(CUEs!$B:$B,INT((ROW()-1)/7)*57+MOD(ROW()-1,7)+50),"")</f>
        <v/>
      </c>
    </row>
    <row r="2125" spans="1:1" x14ac:dyDescent="0.25">
      <c r="A2125" t="str" cm="1">
        <f t="array" ref="A2125">IF(INDEX(CUEs!$A:$A,INT((ROW()-1)/7)*57+MOD(ROW()-1,7)+50)&lt;&gt;"","set "&amp;INDEX(CUEs!$A:$A,INT((ROW()-1)/7)*57+MOD(ROW()-1,7)+50)&amp;"=/ s "&amp;INDEX(CUEs!$B:$B,INT((ROW()-1)/7)*57+MOD(ROW()-1,7)+50),"")</f>
        <v/>
      </c>
    </row>
    <row r="2126" spans="1:1" x14ac:dyDescent="0.25">
      <c r="A2126" t="str" cm="1">
        <f t="array" ref="A2126">IF(INDEX(CUEs!$A:$A,INT((ROW()-1)/7)*57+MOD(ROW()-1,7)+50)&lt;&gt;"","set "&amp;INDEX(CUEs!$A:$A,INT((ROW()-1)/7)*57+MOD(ROW()-1,7)+50)&amp;"=/ s "&amp;INDEX(CUEs!$B:$B,INT((ROW()-1)/7)*57+MOD(ROW()-1,7)+50),"")</f>
        <v/>
      </c>
    </row>
    <row r="2127" spans="1:1" x14ac:dyDescent="0.25">
      <c r="A2127" t="str" cm="1">
        <f t="array" ref="A2127">IF(INDEX(CUEs!$A:$A,INT((ROW()-1)/7)*57+MOD(ROW()-1,7)+50)&lt;&gt;"","set "&amp;INDEX(CUEs!$A:$A,INT((ROW()-1)/7)*57+MOD(ROW()-1,7)+50)&amp;"=/ s "&amp;INDEX(CUEs!$B:$B,INT((ROW()-1)/7)*57+MOD(ROW()-1,7)+50),"")</f>
        <v/>
      </c>
    </row>
    <row r="2128" spans="1:1" x14ac:dyDescent="0.25">
      <c r="A2128" t="str" cm="1">
        <f t="array" ref="A2128">IF(INDEX(CUEs!$A:$A,INT((ROW()-1)/7)*57+MOD(ROW()-1,7)+50)&lt;&gt;"","set "&amp;INDEX(CUEs!$A:$A,INT((ROW()-1)/7)*57+MOD(ROW()-1,7)+50)&amp;"=/ s "&amp;INDEX(CUEs!$B:$B,INT((ROW()-1)/7)*57+MOD(ROW()-1,7)+50),"")</f>
        <v/>
      </c>
    </row>
    <row r="2129" spans="1:1" x14ac:dyDescent="0.25">
      <c r="A2129" t="str" cm="1">
        <f t="array" ref="A2129">IF(INDEX(CUEs!$A:$A,INT((ROW()-1)/7)*57+MOD(ROW()-1,7)+50)&lt;&gt;"","set "&amp;INDEX(CUEs!$A:$A,INT((ROW()-1)/7)*57+MOD(ROW()-1,7)+50)&amp;"=/ s "&amp;INDEX(CUEs!$B:$B,INT((ROW()-1)/7)*57+MOD(ROW()-1,7)+50),"")</f>
        <v/>
      </c>
    </row>
    <row r="2130" spans="1:1" x14ac:dyDescent="0.25">
      <c r="A2130" t="str" cm="1">
        <f t="array" ref="A2130">IF(INDEX(CUEs!$A:$A,INT((ROW()-1)/7)*57+MOD(ROW()-1,7)+50)&lt;&gt;"","set "&amp;INDEX(CUEs!$A:$A,INT((ROW()-1)/7)*57+MOD(ROW()-1,7)+50)&amp;"=/ s "&amp;INDEX(CUEs!$B:$B,INT((ROW()-1)/7)*57+MOD(ROW()-1,7)+50),"")</f>
        <v/>
      </c>
    </row>
    <row r="2131" spans="1:1" x14ac:dyDescent="0.25">
      <c r="A2131" t="str" cm="1">
        <f t="array" ref="A2131">IF(INDEX(CUEs!$A:$A,INT((ROW()-1)/7)*57+MOD(ROW()-1,7)+50)&lt;&gt;"","set "&amp;INDEX(CUEs!$A:$A,INT((ROW()-1)/7)*57+MOD(ROW()-1,7)+50)&amp;"=/ s "&amp;INDEX(CUEs!$B:$B,INT((ROW()-1)/7)*57+MOD(ROW()-1,7)+50),"")</f>
        <v/>
      </c>
    </row>
    <row r="2132" spans="1:1" x14ac:dyDescent="0.25">
      <c r="A2132" t="str" cm="1">
        <f t="array" ref="A2132">IF(INDEX(CUEs!$A:$A,INT((ROW()-1)/7)*57+MOD(ROW()-1,7)+50)&lt;&gt;"","set "&amp;INDEX(CUEs!$A:$A,INT((ROW()-1)/7)*57+MOD(ROW()-1,7)+50)&amp;"=/ s "&amp;INDEX(CUEs!$B:$B,INT((ROW()-1)/7)*57+MOD(ROW()-1,7)+50),"")</f>
        <v/>
      </c>
    </row>
    <row r="2133" spans="1:1" x14ac:dyDescent="0.25">
      <c r="A2133" t="str" cm="1">
        <f t="array" ref="A2133">IF(INDEX(CUEs!$A:$A,INT((ROW()-1)/7)*57+MOD(ROW()-1,7)+50)&lt;&gt;"","set "&amp;INDEX(CUEs!$A:$A,INT((ROW()-1)/7)*57+MOD(ROW()-1,7)+50)&amp;"=/ s "&amp;INDEX(CUEs!$B:$B,INT((ROW()-1)/7)*57+MOD(ROW()-1,7)+50),"")</f>
        <v/>
      </c>
    </row>
    <row r="2134" spans="1:1" x14ac:dyDescent="0.25">
      <c r="A2134" t="str" cm="1">
        <f t="array" ref="A2134">IF(INDEX(CUEs!$A:$A,INT((ROW()-1)/7)*57+MOD(ROW()-1,7)+50)&lt;&gt;"","set "&amp;INDEX(CUEs!$A:$A,INT((ROW()-1)/7)*57+MOD(ROW()-1,7)+50)&amp;"=/ s "&amp;INDEX(CUEs!$B:$B,INT((ROW()-1)/7)*57+MOD(ROW()-1,7)+50),"")</f>
        <v/>
      </c>
    </row>
    <row r="2135" spans="1:1" x14ac:dyDescent="0.25">
      <c r="A2135" t="str" cm="1">
        <f t="array" ref="A2135">IF(INDEX(CUEs!$A:$A,INT((ROW()-1)/7)*57+MOD(ROW()-1,7)+50)&lt;&gt;"","set "&amp;INDEX(CUEs!$A:$A,INT((ROW()-1)/7)*57+MOD(ROW()-1,7)+50)&amp;"=/ s "&amp;INDEX(CUEs!$B:$B,INT((ROW()-1)/7)*57+MOD(ROW()-1,7)+50),"")</f>
        <v/>
      </c>
    </row>
    <row r="2136" spans="1:1" x14ac:dyDescent="0.25">
      <c r="A2136" t="str" cm="1">
        <f t="array" ref="A2136">IF(INDEX(CUEs!$A:$A,INT((ROW()-1)/7)*57+MOD(ROW()-1,7)+50)&lt;&gt;"","set "&amp;INDEX(CUEs!$A:$A,INT((ROW()-1)/7)*57+MOD(ROW()-1,7)+50)&amp;"=/ s "&amp;INDEX(CUEs!$B:$B,INT((ROW()-1)/7)*57+MOD(ROW()-1,7)+50),"")</f>
        <v/>
      </c>
    </row>
    <row r="2137" spans="1:1" x14ac:dyDescent="0.25">
      <c r="A2137" t="str" cm="1">
        <f t="array" ref="A2137">IF(INDEX(CUEs!$A:$A,INT((ROW()-1)/7)*57+MOD(ROW()-1,7)+50)&lt;&gt;"","set "&amp;INDEX(CUEs!$A:$A,INT((ROW()-1)/7)*57+MOD(ROW()-1,7)+50)&amp;"=/ s "&amp;INDEX(CUEs!$B:$B,INT((ROW()-1)/7)*57+MOD(ROW()-1,7)+50),"")</f>
        <v/>
      </c>
    </row>
    <row r="2138" spans="1:1" x14ac:dyDescent="0.25">
      <c r="A2138" t="str" cm="1">
        <f t="array" ref="A2138">IF(INDEX(CUEs!$A:$A,INT((ROW()-1)/7)*57+MOD(ROW()-1,7)+50)&lt;&gt;"","set "&amp;INDEX(CUEs!$A:$A,INT((ROW()-1)/7)*57+MOD(ROW()-1,7)+50)&amp;"=/ s "&amp;INDEX(CUEs!$B:$B,INT((ROW()-1)/7)*57+MOD(ROW()-1,7)+50),"")</f>
        <v/>
      </c>
    </row>
    <row r="2139" spans="1:1" x14ac:dyDescent="0.25">
      <c r="A2139" t="str" cm="1">
        <f t="array" ref="A2139">IF(INDEX(CUEs!$A:$A,INT((ROW()-1)/7)*57+MOD(ROW()-1,7)+50)&lt;&gt;"","set "&amp;INDEX(CUEs!$A:$A,INT((ROW()-1)/7)*57+MOD(ROW()-1,7)+50)&amp;"=/ s "&amp;INDEX(CUEs!$B:$B,INT((ROW()-1)/7)*57+MOD(ROW()-1,7)+50),"")</f>
        <v/>
      </c>
    </row>
    <row r="2140" spans="1:1" x14ac:dyDescent="0.25">
      <c r="A2140" t="str" cm="1">
        <f t="array" ref="A2140">IF(INDEX(CUEs!$A:$A,INT((ROW()-1)/7)*57+MOD(ROW()-1,7)+50)&lt;&gt;"","set "&amp;INDEX(CUEs!$A:$A,INT((ROW()-1)/7)*57+MOD(ROW()-1,7)+50)&amp;"=/ s "&amp;INDEX(CUEs!$B:$B,INT((ROW()-1)/7)*57+MOD(ROW()-1,7)+50),"")</f>
        <v/>
      </c>
    </row>
    <row r="2141" spans="1:1" x14ac:dyDescent="0.25">
      <c r="A2141" t="str" cm="1">
        <f t="array" ref="A2141">IF(INDEX(CUEs!$A:$A,INT((ROW()-1)/7)*57+MOD(ROW()-1,7)+50)&lt;&gt;"","set "&amp;INDEX(CUEs!$A:$A,INT((ROW()-1)/7)*57+MOD(ROW()-1,7)+50)&amp;"=/ s "&amp;INDEX(CUEs!$B:$B,INT((ROW()-1)/7)*57+MOD(ROW()-1,7)+50),"")</f>
        <v/>
      </c>
    </row>
    <row r="2142" spans="1:1" x14ac:dyDescent="0.25">
      <c r="A2142" t="str" cm="1">
        <f t="array" ref="A2142">IF(INDEX(CUEs!$A:$A,INT((ROW()-1)/7)*57+MOD(ROW()-1,7)+50)&lt;&gt;"","set "&amp;INDEX(CUEs!$A:$A,INT((ROW()-1)/7)*57+MOD(ROW()-1,7)+50)&amp;"=/ s "&amp;INDEX(CUEs!$B:$B,INT((ROW()-1)/7)*57+MOD(ROW()-1,7)+50),"")</f>
        <v/>
      </c>
    </row>
    <row r="2143" spans="1:1" x14ac:dyDescent="0.25">
      <c r="A2143" t="str" cm="1">
        <f t="array" ref="A2143">IF(INDEX(CUEs!$A:$A,INT((ROW()-1)/7)*57+MOD(ROW()-1,7)+50)&lt;&gt;"","set "&amp;INDEX(CUEs!$A:$A,INT((ROW()-1)/7)*57+MOD(ROW()-1,7)+50)&amp;"=/ s "&amp;INDEX(CUEs!$B:$B,INT((ROW()-1)/7)*57+MOD(ROW()-1,7)+50),"")</f>
        <v/>
      </c>
    </row>
    <row r="2144" spans="1:1" x14ac:dyDescent="0.25">
      <c r="A2144" t="str" cm="1">
        <f t="array" ref="A2144">IF(INDEX(CUEs!$A:$A,INT((ROW()-1)/7)*57+MOD(ROW()-1,7)+50)&lt;&gt;"","set "&amp;INDEX(CUEs!$A:$A,INT((ROW()-1)/7)*57+MOD(ROW()-1,7)+50)&amp;"=/ s "&amp;INDEX(CUEs!$B:$B,INT((ROW()-1)/7)*57+MOD(ROW()-1,7)+50),"")</f>
        <v/>
      </c>
    </row>
    <row r="2145" spans="1:1" x14ac:dyDescent="0.25">
      <c r="A2145" t="str" cm="1">
        <f t="array" ref="A2145">IF(INDEX(CUEs!$A:$A,INT((ROW()-1)/7)*57+MOD(ROW()-1,7)+50)&lt;&gt;"","set "&amp;INDEX(CUEs!$A:$A,INT((ROW()-1)/7)*57+MOD(ROW()-1,7)+50)&amp;"=/ s "&amp;INDEX(CUEs!$B:$B,INT((ROW()-1)/7)*57+MOD(ROW()-1,7)+50),"")</f>
        <v/>
      </c>
    </row>
    <row r="2146" spans="1:1" x14ac:dyDescent="0.25">
      <c r="A2146" t="str" cm="1">
        <f t="array" ref="A2146">IF(INDEX(CUEs!$A:$A,INT((ROW()-1)/7)*57+MOD(ROW()-1,7)+50)&lt;&gt;"","set "&amp;INDEX(CUEs!$A:$A,INT((ROW()-1)/7)*57+MOD(ROW()-1,7)+50)&amp;"=/ s "&amp;INDEX(CUEs!$B:$B,INT((ROW()-1)/7)*57+MOD(ROW()-1,7)+50),"")</f>
        <v/>
      </c>
    </row>
    <row r="2147" spans="1:1" x14ac:dyDescent="0.25">
      <c r="A2147" t="str" cm="1">
        <f t="array" ref="A2147">IF(INDEX(CUEs!$A:$A,INT((ROW()-1)/7)*57+MOD(ROW()-1,7)+50)&lt;&gt;"","set "&amp;INDEX(CUEs!$A:$A,INT((ROW()-1)/7)*57+MOD(ROW()-1,7)+50)&amp;"=/ s "&amp;INDEX(CUEs!$B:$B,INT((ROW()-1)/7)*57+MOD(ROW()-1,7)+50),"")</f>
        <v/>
      </c>
    </row>
    <row r="2148" spans="1:1" x14ac:dyDescent="0.25">
      <c r="A2148" t="str" cm="1">
        <f t="array" ref="A2148">IF(INDEX(CUEs!$A:$A,INT((ROW()-1)/7)*57+MOD(ROW()-1,7)+50)&lt;&gt;"","set "&amp;INDEX(CUEs!$A:$A,INT((ROW()-1)/7)*57+MOD(ROW()-1,7)+50)&amp;"=/ s "&amp;INDEX(CUEs!$B:$B,INT((ROW()-1)/7)*57+MOD(ROW()-1,7)+50),"")</f>
        <v/>
      </c>
    </row>
    <row r="2149" spans="1:1" x14ac:dyDescent="0.25">
      <c r="A2149" t="str" cm="1">
        <f t="array" ref="A2149">IF(INDEX(CUEs!$A:$A,INT((ROW()-1)/7)*57+MOD(ROW()-1,7)+50)&lt;&gt;"","set "&amp;INDEX(CUEs!$A:$A,INT((ROW()-1)/7)*57+MOD(ROW()-1,7)+50)&amp;"=/ s "&amp;INDEX(CUEs!$B:$B,INT((ROW()-1)/7)*57+MOD(ROW()-1,7)+50),"")</f>
        <v/>
      </c>
    </row>
    <row r="2150" spans="1:1" x14ac:dyDescent="0.25">
      <c r="A2150" t="str" cm="1">
        <f t="array" ref="A2150">IF(INDEX(CUEs!$A:$A,INT((ROW()-1)/7)*57+MOD(ROW()-1,7)+50)&lt;&gt;"","set "&amp;INDEX(CUEs!$A:$A,INT((ROW()-1)/7)*57+MOD(ROW()-1,7)+50)&amp;"=/ s "&amp;INDEX(CUEs!$B:$B,INT((ROW()-1)/7)*57+MOD(ROW()-1,7)+50),"")</f>
        <v/>
      </c>
    </row>
    <row r="2151" spans="1:1" x14ac:dyDescent="0.25">
      <c r="A2151" t="str" cm="1">
        <f t="array" ref="A2151">IF(INDEX(CUEs!$A:$A,INT((ROW()-1)/7)*57+MOD(ROW()-1,7)+50)&lt;&gt;"","set "&amp;INDEX(CUEs!$A:$A,INT((ROW()-1)/7)*57+MOD(ROW()-1,7)+50)&amp;"=/ s "&amp;INDEX(CUEs!$B:$B,INT((ROW()-1)/7)*57+MOD(ROW()-1,7)+50),"")</f>
        <v/>
      </c>
    </row>
    <row r="2152" spans="1:1" x14ac:dyDescent="0.25">
      <c r="A2152" t="str" cm="1">
        <f t="array" ref="A2152">IF(INDEX(CUEs!$A:$A,INT((ROW()-1)/7)*57+MOD(ROW()-1,7)+50)&lt;&gt;"","set "&amp;INDEX(CUEs!$A:$A,INT((ROW()-1)/7)*57+MOD(ROW()-1,7)+50)&amp;"=/ s "&amp;INDEX(CUEs!$B:$B,INT((ROW()-1)/7)*57+MOD(ROW()-1,7)+50),"")</f>
        <v/>
      </c>
    </row>
    <row r="2153" spans="1:1" x14ac:dyDescent="0.25">
      <c r="A2153" t="str" cm="1">
        <f t="array" ref="A2153">IF(INDEX(CUEs!$A:$A,INT((ROW()-1)/7)*57+MOD(ROW()-1,7)+50)&lt;&gt;"","set "&amp;INDEX(CUEs!$A:$A,INT((ROW()-1)/7)*57+MOD(ROW()-1,7)+50)&amp;"=/ s "&amp;INDEX(CUEs!$B:$B,INT((ROW()-1)/7)*57+MOD(ROW()-1,7)+50),"")</f>
        <v/>
      </c>
    </row>
    <row r="2154" spans="1:1" x14ac:dyDescent="0.25">
      <c r="A2154" t="str" cm="1">
        <f t="array" ref="A2154">IF(INDEX(CUEs!$A:$A,INT((ROW()-1)/7)*57+MOD(ROW()-1,7)+50)&lt;&gt;"","set "&amp;INDEX(CUEs!$A:$A,INT((ROW()-1)/7)*57+MOD(ROW()-1,7)+50)&amp;"=/ s "&amp;INDEX(CUEs!$B:$B,INT((ROW()-1)/7)*57+MOD(ROW()-1,7)+50),"")</f>
        <v/>
      </c>
    </row>
    <row r="2155" spans="1:1" x14ac:dyDescent="0.25">
      <c r="A2155" t="str" cm="1">
        <f t="array" ref="A2155">IF(INDEX(CUEs!$A:$A,INT((ROW()-1)/7)*57+MOD(ROW()-1,7)+50)&lt;&gt;"","set "&amp;INDEX(CUEs!$A:$A,INT((ROW()-1)/7)*57+MOD(ROW()-1,7)+50)&amp;"=/ s "&amp;INDEX(CUEs!$B:$B,INT((ROW()-1)/7)*57+MOD(ROW()-1,7)+50),"")</f>
        <v/>
      </c>
    </row>
    <row r="2156" spans="1:1" x14ac:dyDescent="0.25">
      <c r="A2156" t="str" cm="1">
        <f t="array" ref="A2156">IF(INDEX(CUEs!$A:$A,INT((ROW()-1)/7)*57+MOD(ROW()-1,7)+50)&lt;&gt;"","set "&amp;INDEX(CUEs!$A:$A,INT((ROW()-1)/7)*57+MOD(ROW()-1,7)+50)&amp;"=/ s "&amp;INDEX(CUEs!$B:$B,INT((ROW()-1)/7)*57+MOD(ROW()-1,7)+50),"")</f>
        <v/>
      </c>
    </row>
    <row r="2157" spans="1:1" x14ac:dyDescent="0.25">
      <c r="A2157" t="str" cm="1">
        <f t="array" ref="A2157">IF(INDEX(CUEs!$A:$A,INT((ROW()-1)/7)*57+MOD(ROW()-1,7)+50)&lt;&gt;"","set "&amp;INDEX(CUEs!$A:$A,INT((ROW()-1)/7)*57+MOD(ROW()-1,7)+50)&amp;"=/ s "&amp;INDEX(CUEs!$B:$B,INT((ROW()-1)/7)*57+MOD(ROW()-1,7)+50),"")</f>
        <v/>
      </c>
    </row>
    <row r="2158" spans="1:1" x14ac:dyDescent="0.25">
      <c r="A2158" t="str" cm="1">
        <f t="array" ref="A2158">IF(INDEX(CUEs!$A:$A,INT((ROW()-1)/7)*57+MOD(ROW()-1,7)+50)&lt;&gt;"","set "&amp;INDEX(CUEs!$A:$A,INT((ROW()-1)/7)*57+MOD(ROW()-1,7)+50)&amp;"=/ s "&amp;INDEX(CUEs!$B:$B,INT((ROW()-1)/7)*57+MOD(ROW()-1,7)+50),"")</f>
        <v/>
      </c>
    </row>
    <row r="2159" spans="1:1" x14ac:dyDescent="0.25">
      <c r="A2159" t="str" cm="1">
        <f t="array" ref="A2159">IF(INDEX(CUEs!$A:$A,INT((ROW()-1)/7)*57+MOD(ROW()-1,7)+50)&lt;&gt;"","set "&amp;INDEX(CUEs!$A:$A,INT((ROW()-1)/7)*57+MOD(ROW()-1,7)+50)&amp;"=/ s "&amp;INDEX(CUEs!$B:$B,INT((ROW()-1)/7)*57+MOD(ROW()-1,7)+50),"")</f>
        <v/>
      </c>
    </row>
    <row r="2160" spans="1:1" x14ac:dyDescent="0.25">
      <c r="A2160" t="str" cm="1">
        <f t="array" ref="A2160">IF(INDEX(CUEs!$A:$A,INT((ROW()-1)/7)*57+MOD(ROW()-1,7)+50)&lt;&gt;"","set "&amp;INDEX(CUEs!$A:$A,INT((ROW()-1)/7)*57+MOD(ROW()-1,7)+50)&amp;"=/ s "&amp;INDEX(CUEs!$B:$B,INT((ROW()-1)/7)*57+MOD(ROW()-1,7)+50),"")</f>
        <v/>
      </c>
    </row>
    <row r="2161" spans="1:1" x14ac:dyDescent="0.25">
      <c r="A2161" t="str" cm="1">
        <f t="array" ref="A2161">IF(INDEX(CUEs!$A:$A,INT((ROW()-1)/7)*57+MOD(ROW()-1,7)+50)&lt;&gt;"","set "&amp;INDEX(CUEs!$A:$A,INT((ROW()-1)/7)*57+MOD(ROW()-1,7)+50)&amp;"=/ s "&amp;INDEX(CUEs!$B:$B,INT((ROW()-1)/7)*57+MOD(ROW()-1,7)+50),"")</f>
        <v/>
      </c>
    </row>
    <row r="2162" spans="1:1" x14ac:dyDescent="0.25">
      <c r="A2162" t="str" cm="1">
        <f t="array" ref="A2162">IF(INDEX(CUEs!$A:$A,INT((ROW()-1)/7)*57+MOD(ROW()-1,7)+50)&lt;&gt;"","set "&amp;INDEX(CUEs!$A:$A,INT((ROW()-1)/7)*57+MOD(ROW()-1,7)+50)&amp;"=/ s "&amp;INDEX(CUEs!$B:$B,INT((ROW()-1)/7)*57+MOD(ROW()-1,7)+50),"")</f>
        <v/>
      </c>
    </row>
    <row r="2163" spans="1:1" x14ac:dyDescent="0.25">
      <c r="A2163" t="str" cm="1">
        <f t="array" ref="A2163">IF(INDEX(CUEs!$A:$A,INT((ROW()-1)/7)*57+MOD(ROW()-1,7)+50)&lt;&gt;"","set "&amp;INDEX(CUEs!$A:$A,INT((ROW()-1)/7)*57+MOD(ROW()-1,7)+50)&amp;"=/ s "&amp;INDEX(CUEs!$B:$B,INT((ROW()-1)/7)*57+MOD(ROW()-1,7)+50),"")</f>
        <v/>
      </c>
    </row>
    <row r="2164" spans="1:1" x14ac:dyDescent="0.25">
      <c r="A2164" t="str" cm="1">
        <f t="array" ref="A2164">IF(INDEX(CUEs!$A:$A,INT((ROW()-1)/7)*57+MOD(ROW()-1,7)+50)&lt;&gt;"","set "&amp;INDEX(CUEs!$A:$A,INT((ROW()-1)/7)*57+MOD(ROW()-1,7)+50)&amp;"=/ s "&amp;INDEX(CUEs!$B:$B,INT((ROW()-1)/7)*57+MOD(ROW()-1,7)+50),"")</f>
        <v/>
      </c>
    </row>
    <row r="2165" spans="1:1" x14ac:dyDescent="0.25">
      <c r="A2165" t="str" cm="1">
        <f t="array" ref="A2165">IF(INDEX(CUEs!$A:$A,INT((ROW()-1)/7)*57+MOD(ROW()-1,7)+50)&lt;&gt;"","set "&amp;INDEX(CUEs!$A:$A,INT((ROW()-1)/7)*57+MOD(ROW()-1,7)+50)&amp;"=/ s "&amp;INDEX(CUEs!$B:$B,INT((ROW()-1)/7)*57+MOD(ROW()-1,7)+50),"")</f>
        <v/>
      </c>
    </row>
    <row r="2166" spans="1:1" x14ac:dyDescent="0.25">
      <c r="A2166" t="str" cm="1">
        <f t="array" ref="A2166">IF(INDEX(CUEs!$A:$A,INT((ROW()-1)/7)*57+MOD(ROW()-1,7)+50)&lt;&gt;"","set "&amp;INDEX(CUEs!$A:$A,INT((ROW()-1)/7)*57+MOD(ROW()-1,7)+50)&amp;"=/ s "&amp;INDEX(CUEs!$B:$B,INT((ROW()-1)/7)*57+MOD(ROW()-1,7)+50),"")</f>
        <v/>
      </c>
    </row>
    <row r="2167" spans="1:1" x14ac:dyDescent="0.25">
      <c r="A2167" t="str" cm="1">
        <f t="array" ref="A2167">IF(INDEX(CUEs!$A:$A,INT((ROW()-1)/7)*57+MOD(ROW()-1,7)+50)&lt;&gt;"","set "&amp;INDEX(CUEs!$A:$A,INT((ROW()-1)/7)*57+MOD(ROW()-1,7)+50)&amp;"=/ s "&amp;INDEX(CUEs!$B:$B,INT((ROW()-1)/7)*57+MOD(ROW()-1,7)+50),"")</f>
        <v/>
      </c>
    </row>
    <row r="2168" spans="1:1" x14ac:dyDescent="0.25">
      <c r="A2168" t="str" cm="1">
        <f t="array" ref="A2168">IF(INDEX(CUEs!$A:$A,INT((ROW()-1)/7)*57+MOD(ROW()-1,7)+50)&lt;&gt;"","set "&amp;INDEX(CUEs!$A:$A,INT((ROW()-1)/7)*57+MOD(ROW()-1,7)+50)&amp;"=/ s "&amp;INDEX(CUEs!$B:$B,INT((ROW()-1)/7)*57+MOD(ROW()-1,7)+50),"")</f>
        <v/>
      </c>
    </row>
    <row r="2169" spans="1:1" x14ac:dyDescent="0.25">
      <c r="A2169" t="str" cm="1">
        <f t="array" ref="A2169">IF(INDEX(CUEs!$A:$A,INT((ROW()-1)/7)*57+MOD(ROW()-1,7)+50)&lt;&gt;"","set "&amp;INDEX(CUEs!$A:$A,INT((ROW()-1)/7)*57+MOD(ROW()-1,7)+50)&amp;"=/ s "&amp;INDEX(CUEs!$B:$B,INT((ROW()-1)/7)*57+MOD(ROW()-1,7)+50),"")</f>
        <v/>
      </c>
    </row>
    <row r="2170" spans="1:1" x14ac:dyDescent="0.25">
      <c r="A2170" t="str" cm="1">
        <f t="array" ref="A2170">IF(INDEX(CUEs!$A:$A,INT((ROW()-1)/7)*57+MOD(ROW()-1,7)+50)&lt;&gt;"","set "&amp;INDEX(CUEs!$A:$A,INT((ROW()-1)/7)*57+MOD(ROW()-1,7)+50)&amp;"=/ s "&amp;INDEX(CUEs!$B:$B,INT((ROW()-1)/7)*57+MOD(ROW()-1,7)+50),"")</f>
        <v/>
      </c>
    </row>
    <row r="2171" spans="1:1" x14ac:dyDescent="0.25">
      <c r="A2171" t="str" cm="1">
        <f t="array" ref="A2171">IF(INDEX(CUEs!$A:$A,INT((ROW()-1)/7)*57+MOD(ROW()-1,7)+50)&lt;&gt;"","set "&amp;INDEX(CUEs!$A:$A,INT((ROW()-1)/7)*57+MOD(ROW()-1,7)+50)&amp;"=/ s "&amp;INDEX(CUEs!$B:$B,INT((ROW()-1)/7)*57+MOD(ROW()-1,7)+50),"")</f>
        <v/>
      </c>
    </row>
    <row r="2172" spans="1:1" x14ac:dyDescent="0.25">
      <c r="A2172" t="str" cm="1">
        <f t="array" ref="A2172">IF(INDEX(CUEs!$A:$A,INT((ROW()-1)/7)*57+MOD(ROW()-1,7)+50)&lt;&gt;"","set "&amp;INDEX(CUEs!$A:$A,INT((ROW()-1)/7)*57+MOD(ROW()-1,7)+50)&amp;"=/ s "&amp;INDEX(CUEs!$B:$B,INT((ROW()-1)/7)*57+MOD(ROW()-1,7)+50),"")</f>
        <v/>
      </c>
    </row>
    <row r="2173" spans="1:1" x14ac:dyDescent="0.25">
      <c r="A2173" t="str" cm="1">
        <f t="array" ref="A2173">IF(INDEX(CUEs!$A:$A,INT((ROW()-1)/7)*57+MOD(ROW()-1,7)+50)&lt;&gt;"","set "&amp;INDEX(CUEs!$A:$A,INT((ROW()-1)/7)*57+MOD(ROW()-1,7)+50)&amp;"=/ s "&amp;INDEX(CUEs!$B:$B,INT((ROW()-1)/7)*57+MOD(ROW()-1,7)+50),"")</f>
        <v/>
      </c>
    </row>
    <row r="2174" spans="1:1" x14ac:dyDescent="0.25">
      <c r="A2174" t="str" cm="1">
        <f t="array" ref="A2174">IF(INDEX(CUEs!$A:$A,INT((ROW()-1)/7)*57+MOD(ROW()-1,7)+50)&lt;&gt;"","set "&amp;INDEX(CUEs!$A:$A,INT((ROW()-1)/7)*57+MOD(ROW()-1,7)+50)&amp;"=/ s "&amp;INDEX(CUEs!$B:$B,INT((ROW()-1)/7)*57+MOD(ROW()-1,7)+50),"")</f>
        <v/>
      </c>
    </row>
    <row r="2175" spans="1:1" x14ac:dyDescent="0.25">
      <c r="A2175" t="str" cm="1">
        <f t="array" ref="A2175">IF(INDEX(CUEs!$A:$A,INT((ROW()-1)/7)*57+MOD(ROW()-1,7)+50)&lt;&gt;"","set "&amp;INDEX(CUEs!$A:$A,INT((ROW()-1)/7)*57+MOD(ROW()-1,7)+50)&amp;"=/ s "&amp;INDEX(CUEs!$B:$B,INT((ROW()-1)/7)*57+MOD(ROW()-1,7)+50),"")</f>
        <v/>
      </c>
    </row>
    <row r="2176" spans="1:1" x14ac:dyDescent="0.25">
      <c r="A2176" t="str" cm="1">
        <f t="array" ref="A2176">IF(INDEX(CUEs!$A:$A,INT((ROW()-1)/7)*57+MOD(ROW()-1,7)+50)&lt;&gt;"","set "&amp;INDEX(CUEs!$A:$A,INT((ROW()-1)/7)*57+MOD(ROW()-1,7)+50)&amp;"=/ s "&amp;INDEX(CUEs!$B:$B,INT((ROW()-1)/7)*57+MOD(ROW()-1,7)+50),"")</f>
        <v/>
      </c>
    </row>
    <row r="2177" spans="1:1" x14ac:dyDescent="0.25">
      <c r="A2177" t="str" cm="1">
        <f t="array" ref="A2177">IF(INDEX(CUEs!$A:$A,INT((ROW()-1)/7)*57+MOD(ROW()-1,7)+50)&lt;&gt;"","set "&amp;INDEX(CUEs!$A:$A,INT((ROW()-1)/7)*57+MOD(ROW()-1,7)+50)&amp;"=/ s "&amp;INDEX(CUEs!$B:$B,INT((ROW()-1)/7)*57+MOD(ROW()-1,7)+50),"")</f>
        <v/>
      </c>
    </row>
    <row r="2178" spans="1:1" x14ac:dyDescent="0.25">
      <c r="A2178" t="str" cm="1">
        <f t="array" ref="A2178">IF(INDEX(CUEs!$A:$A,INT((ROW()-1)/7)*57+MOD(ROW()-1,7)+50)&lt;&gt;"","set "&amp;INDEX(CUEs!$A:$A,INT((ROW()-1)/7)*57+MOD(ROW()-1,7)+50)&amp;"=/ s "&amp;INDEX(CUEs!$B:$B,INT((ROW()-1)/7)*57+MOD(ROW()-1,7)+50),"")</f>
        <v/>
      </c>
    </row>
    <row r="2179" spans="1:1" x14ac:dyDescent="0.25">
      <c r="A2179" t="str" cm="1">
        <f t="array" ref="A2179">IF(INDEX(CUEs!$A:$A,INT((ROW()-1)/7)*57+MOD(ROW()-1,7)+50)&lt;&gt;"","set "&amp;INDEX(CUEs!$A:$A,INT((ROW()-1)/7)*57+MOD(ROW()-1,7)+50)&amp;"=/ s "&amp;INDEX(CUEs!$B:$B,INT((ROW()-1)/7)*57+MOD(ROW()-1,7)+50),"")</f>
        <v/>
      </c>
    </row>
    <row r="2180" spans="1:1" x14ac:dyDescent="0.25">
      <c r="A2180" t="str" cm="1">
        <f t="array" ref="A2180">IF(INDEX(CUEs!$A:$A,INT((ROW()-1)/7)*57+MOD(ROW()-1,7)+50)&lt;&gt;"","set "&amp;INDEX(CUEs!$A:$A,INT((ROW()-1)/7)*57+MOD(ROW()-1,7)+50)&amp;"=/ s "&amp;INDEX(CUEs!$B:$B,INT((ROW()-1)/7)*57+MOD(ROW()-1,7)+50),"")</f>
        <v/>
      </c>
    </row>
    <row r="2181" spans="1:1" x14ac:dyDescent="0.25">
      <c r="A2181" t="str" cm="1">
        <f t="array" ref="A2181">IF(INDEX(CUEs!$A:$A,INT((ROW()-1)/7)*57+MOD(ROW()-1,7)+50)&lt;&gt;"","set "&amp;INDEX(CUEs!$A:$A,INT((ROW()-1)/7)*57+MOD(ROW()-1,7)+50)&amp;"=/ s "&amp;INDEX(CUEs!$B:$B,INT((ROW()-1)/7)*57+MOD(ROW()-1,7)+50),"")</f>
        <v/>
      </c>
    </row>
    <row r="2182" spans="1:1" x14ac:dyDescent="0.25">
      <c r="A2182" t="str" cm="1">
        <f t="array" ref="A2182">IF(INDEX(CUEs!$A:$A,INT((ROW()-1)/7)*57+MOD(ROW()-1,7)+50)&lt;&gt;"","set "&amp;INDEX(CUEs!$A:$A,INT((ROW()-1)/7)*57+MOD(ROW()-1,7)+50)&amp;"=/ s "&amp;INDEX(CUEs!$B:$B,INT((ROW()-1)/7)*57+MOD(ROW()-1,7)+50),"")</f>
        <v/>
      </c>
    </row>
    <row r="2183" spans="1:1" x14ac:dyDescent="0.25">
      <c r="A2183" t="str" cm="1">
        <f t="array" ref="A2183">IF(INDEX(CUEs!$A:$A,INT((ROW()-1)/7)*57+MOD(ROW()-1,7)+50)&lt;&gt;"","set "&amp;INDEX(CUEs!$A:$A,INT((ROW()-1)/7)*57+MOD(ROW()-1,7)+50)&amp;"=/ s "&amp;INDEX(CUEs!$B:$B,INT((ROW()-1)/7)*57+MOD(ROW()-1,7)+50),"")</f>
        <v/>
      </c>
    </row>
    <row r="2184" spans="1:1" x14ac:dyDescent="0.25">
      <c r="A2184" t="str" cm="1">
        <f t="array" ref="A2184">IF(INDEX(CUEs!$A:$A,INT((ROW()-1)/7)*57+MOD(ROW()-1,7)+50)&lt;&gt;"","set "&amp;INDEX(CUEs!$A:$A,INT((ROW()-1)/7)*57+MOD(ROW()-1,7)+50)&amp;"=/ s "&amp;INDEX(CUEs!$B:$B,INT((ROW()-1)/7)*57+MOD(ROW()-1,7)+50),"")</f>
        <v/>
      </c>
    </row>
    <row r="2185" spans="1:1" x14ac:dyDescent="0.25">
      <c r="A2185" t="str" cm="1">
        <f t="array" ref="A2185">IF(INDEX(CUEs!$A:$A,INT((ROW()-1)/7)*57+MOD(ROW()-1,7)+50)&lt;&gt;"","set "&amp;INDEX(CUEs!$A:$A,INT((ROW()-1)/7)*57+MOD(ROW()-1,7)+50)&amp;"=/ s "&amp;INDEX(CUEs!$B:$B,INT((ROW()-1)/7)*57+MOD(ROW()-1,7)+50),"")</f>
        <v/>
      </c>
    </row>
    <row r="2186" spans="1:1" x14ac:dyDescent="0.25">
      <c r="A2186" t="str" cm="1">
        <f t="array" ref="A2186">IF(INDEX(CUEs!$A:$A,INT((ROW()-1)/7)*57+MOD(ROW()-1,7)+50)&lt;&gt;"","set "&amp;INDEX(CUEs!$A:$A,INT((ROW()-1)/7)*57+MOD(ROW()-1,7)+50)&amp;"=/ s "&amp;INDEX(CUEs!$B:$B,INT((ROW()-1)/7)*57+MOD(ROW()-1,7)+50),"")</f>
        <v/>
      </c>
    </row>
    <row r="2187" spans="1:1" x14ac:dyDescent="0.25">
      <c r="A2187" t="str" cm="1">
        <f t="array" ref="A2187">IF(INDEX(CUEs!$A:$A,INT((ROW()-1)/7)*57+MOD(ROW()-1,7)+50)&lt;&gt;"","set "&amp;INDEX(CUEs!$A:$A,INT((ROW()-1)/7)*57+MOD(ROW()-1,7)+50)&amp;"=/ s "&amp;INDEX(CUEs!$B:$B,INT((ROW()-1)/7)*57+MOD(ROW()-1,7)+50),"")</f>
        <v/>
      </c>
    </row>
    <row r="2188" spans="1:1" x14ac:dyDescent="0.25">
      <c r="A2188" t="str" cm="1">
        <f t="array" ref="A2188">IF(INDEX(CUEs!$A:$A,INT((ROW()-1)/7)*57+MOD(ROW()-1,7)+50)&lt;&gt;"","set "&amp;INDEX(CUEs!$A:$A,INT((ROW()-1)/7)*57+MOD(ROW()-1,7)+50)&amp;"=/ s "&amp;INDEX(CUEs!$B:$B,INT((ROW()-1)/7)*57+MOD(ROW()-1,7)+50),"")</f>
        <v/>
      </c>
    </row>
    <row r="2189" spans="1:1" x14ac:dyDescent="0.25">
      <c r="A2189" t="str" cm="1">
        <f t="array" ref="A2189">IF(INDEX(CUEs!$A:$A,INT((ROW()-1)/7)*57+MOD(ROW()-1,7)+50)&lt;&gt;"","set "&amp;INDEX(CUEs!$A:$A,INT((ROW()-1)/7)*57+MOD(ROW()-1,7)+50)&amp;"=/ s "&amp;INDEX(CUEs!$B:$B,INT((ROW()-1)/7)*57+MOD(ROW()-1,7)+50),"")</f>
        <v/>
      </c>
    </row>
    <row r="2190" spans="1:1" x14ac:dyDescent="0.25">
      <c r="A2190" t="str" cm="1">
        <f t="array" ref="A2190">IF(INDEX(CUEs!$A:$A,INT((ROW()-1)/7)*57+MOD(ROW()-1,7)+50)&lt;&gt;"","set "&amp;INDEX(CUEs!$A:$A,INT((ROW()-1)/7)*57+MOD(ROW()-1,7)+50)&amp;"=/ s "&amp;INDEX(CUEs!$B:$B,INT((ROW()-1)/7)*57+MOD(ROW()-1,7)+50),"")</f>
        <v/>
      </c>
    </row>
    <row r="2191" spans="1:1" x14ac:dyDescent="0.25">
      <c r="A2191" t="str" cm="1">
        <f t="array" ref="A2191">IF(INDEX(CUEs!$A:$A,INT((ROW()-1)/7)*57+MOD(ROW()-1,7)+50)&lt;&gt;"","set "&amp;INDEX(CUEs!$A:$A,INT((ROW()-1)/7)*57+MOD(ROW()-1,7)+50)&amp;"=/ s "&amp;INDEX(CUEs!$B:$B,INT((ROW()-1)/7)*57+MOD(ROW()-1,7)+50),"")</f>
        <v/>
      </c>
    </row>
    <row r="2192" spans="1:1" x14ac:dyDescent="0.25">
      <c r="A2192" t="str" cm="1">
        <f t="array" ref="A2192">IF(INDEX(CUEs!$A:$A,INT((ROW()-1)/7)*57+MOD(ROW()-1,7)+50)&lt;&gt;"","set "&amp;INDEX(CUEs!$A:$A,INT((ROW()-1)/7)*57+MOD(ROW()-1,7)+50)&amp;"=/ s "&amp;INDEX(CUEs!$B:$B,INT((ROW()-1)/7)*57+MOD(ROW()-1,7)+50),"")</f>
        <v/>
      </c>
    </row>
    <row r="2193" spans="1:1" x14ac:dyDescent="0.25">
      <c r="A2193" t="str" cm="1">
        <f t="array" ref="A2193">IF(INDEX(CUEs!$A:$A,INT((ROW()-1)/7)*57+MOD(ROW()-1,7)+50)&lt;&gt;"","set "&amp;INDEX(CUEs!$A:$A,INT((ROW()-1)/7)*57+MOD(ROW()-1,7)+50)&amp;"=/ s "&amp;INDEX(CUEs!$B:$B,INT((ROW()-1)/7)*57+MOD(ROW()-1,7)+50),"")</f>
        <v/>
      </c>
    </row>
    <row r="2194" spans="1:1" x14ac:dyDescent="0.25">
      <c r="A2194" t="str" cm="1">
        <f t="array" ref="A2194">IF(INDEX(CUEs!$A:$A,INT((ROW()-1)/7)*57+MOD(ROW()-1,7)+50)&lt;&gt;"","set "&amp;INDEX(CUEs!$A:$A,INT((ROW()-1)/7)*57+MOD(ROW()-1,7)+50)&amp;"=/ s "&amp;INDEX(CUEs!$B:$B,INT((ROW()-1)/7)*57+MOD(ROW()-1,7)+50),"")</f>
        <v/>
      </c>
    </row>
    <row r="2195" spans="1:1" x14ac:dyDescent="0.25">
      <c r="A2195" t="str" cm="1">
        <f t="array" ref="A2195">IF(INDEX(CUEs!$A:$A,INT((ROW()-1)/7)*57+MOD(ROW()-1,7)+50)&lt;&gt;"","set "&amp;INDEX(CUEs!$A:$A,INT((ROW()-1)/7)*57+MOD(ROW()-1,7)+50)&amp;"=/ s "&amp;INDEX(CUEs!$B:$B,INT((ROW()-1)/7)*57+MOD(ROW()-1,7)+50),"")</f>
        <v/>
      </c>
    </row>
    <row r="2196" spans="1:1" x14ac:dyDescent="0.25">
      <c r="A2196" t="str" cm="1">
        <f t="array" ref="A2196">IF(INDEX(CUEs!$A:$A,INT((ROW()-1)/7)*57+MOD(ROW()-1,7)+50)&lt;&gt;"","set "&amp;INDEX(CUEs!$A:$A,INT((ROW()-1)/7)*57+MOD(ROW()-1,7)+50)&amp;"=/ s "&amp;INDEX(CUEs!$B:$B,INT((ROW()-1)/7)*57+MOD(ROW()-1,7)+50),"")</f>
        <v/>
      </c>
    </row>
    <row r="2197" spans="1:1" x14ac:dyDescent="0.25">
      <c r="A2197" t="str" cm="1">
        <f t="array" ref="A2197">IF(INDEX(CUEs!$A:$A,INT((ROW()-1)/7)*57+MOD(ROW()-1,7)+50)&lt;&gt;"","set "&amp;INDEX(CUEs!$A:$A,INT((ROW()-1)/7)*57+MOD(ROW()-1,7)+50)&amp;"=/ s "&amp;INDEX(CUEs!$B:$B,INT((ROW()-1)/7)*57+MOD(ROW()-1,7)+50),"")</f>
        <v/>
      </c>
    </row>
    <row r="2198" spans="1:1" x14ac:dyDescent="0.25">
      <c r="A2198" t="str" cm="1">
        <f t="array" ref="A2198">IF(INDEX(CUEs!$A:$A,INT((ROW()-1)/7)*57+MOD(ROW()-1,7)+50)&lt;&gt;"","set "&amp;INDEX(CUEs!$A:$A,INT((ROW()-1)/7)*57+MOD(ROW()-1,7)+50)&amp;"=/ s "&amp;INDEX(CUEs!$B:$B,INT((ROW()-1)/7)*57+MOD(ROW()-1,7)+50),"")</f>
        <v/>
      </c>
    </row>
    <row r="2199" spans="1:1" x14ac:dyDescent="0.25">
      <c r="A2199" t="str" cm="1">
        <f t="array" ref="A2199">IF(INDEX(CUEs!$A:$A,INT((ROW()-1)/7)*57+MOD(ROW()-1,7)+50)&lt;&gt;"","set "&amp;INDEX(CUEs!$A:$A,INT((ROW()-1)/7)*57+MOD(ROW()-1,7)+50)&amp;"=/ s "&amp;INDEX(CUEs!$B:$B,INT((ROW()-1)/7)*57+MOD(ROW()-1,7)+50),"")</f>
        <v/>
      </c>
    </row>
    <row r="2200" spans="1:1" x14ac:dyDescent="0.25">
      <c r="A2200" t="str" cm="1">
        <f t="array" ref="A2200">IF(INDEX(CUEs!$A:$A,INT((ROW()-1)/7)*57+MOD(ROW()-1,7)+50)&lt;&gt;"","set "&amp;INDEX(CUEs!$A:$A,INT((ROW()-1)/7)*57+MOD(ROW()-1,7)+50)&amp;"=/ s "&amp;INDEX(CUEs!$B:$B,INT((ROW()-1)/7)*57+MOD(ROW()-1,7)+50),"")</f>
        <v/>
      </c>
    </row>
    <row r="2201" spans="1:1" x14ac:dyDescent="0.25">
      <c r="A2201" t="str" cm="1">
        <f t="array" ref="A2201">IF(INDEX(CUEs!$A:$A,INT((ROW()-1)/7)*57+MOD(ROW()-1,7)+50)&lt;&gt;"","set "&amp;INDEX(CUEs!$A:$A,INT((ROW()-1)/7)*57+MOD(ROW()-1,7)+50)&amp;"=/ s "&amp;INDEX(CUEs!$B:$B,INT((ROW()-1)/7)*57+MOD(ROW()-1,7)+50),"")</f>
        <v/>
      </c>
    </row>
    <row r="2202" spans="1:1" x14ac:dyDescent="0.25">
      <c r="A2202" t="str" cm="1">
        <f t="array" ref="A2202">IF(INDEX(CUEs!$A:$A,INT((ROW()-1)/7)*57+MOD(ROW()-1,7)+50)&lt;&gt;"","set "&amp;INDEX(CUEs!$A:$A,INT((ROW()-1)/7)*57+MOD(ROW()-1,7)+50)&amp;"=/ s "&amp;INDEX(CUEs!$B:$B,INT((ROW()-1)/7)*57+MOD(ROW()-1,7)+50),"")</f>
        <v/>
      </c>
    </row>
    <row r="2203" spans="1:1" x14ac:dyDescent="0.25">
      <c r="A2203" t="str" cm="1">
        <f t="array" ref="A2203">IF(INDEX(CUEs!$A:$A,INT((ROW()-1)/7)*57+MOD(ROW()-1,7)+50)&lt;&gt;"","set "&amp;INDEX(CUEs!$A:$A,INT((ROW()-1)/7)*57+MOD(ROW()-1,7)+50)&amp;"=/ s "&amp;INDEX(CUEs!$B:$B,INT((ROW()-1)/7)*57+MOD(ROW()-1,7)+50),"")</f>
        <v/>
      </c>
    </row>
    <row r="2204" spans="1:1" x14ac:dyDescent="0.25">
      <c r="A2204" t="str" cm="1">
        <f t="array" ref="A2204">IF(INDEX(CUEs!$A:$A,INT((ROW()-1)/7)*57+MOD(ROW()-1,7)+50)&lt;&gt;"","set "&amp;INDEX(CUEs!$A:$A,INT((ROW()-1)/7)*57+MOD(ROW()-1,7)+50)&amp;"=/ s "&amp;INDEX(CUEs!$B:$B,INT((ROW()-1)/7)*57+MOD(ROW()-1,7)+50),"")</f>
        <v/>
      </c>
    </row>
    <row r="2205" spans="1:1" x14ac:dyDescent="0.25">
      <c r="A2205" t="str" cm="1">
        <f t="array" ref="A2205">IF(INDEX(CUEs!$A:$A,INT((ROW()-1)/7)*57+MOD(ROW()-1,7)+50)&lt;&gt;"","set "&amp;INDEX(CUEs!$A:$A,INT((ROW()-1)/7)*57+MOD(ROW()-1,7)+50)&amp;"=/ s "&amp;INDEX(CUEs!$B:$B,INT((ROW()-1)/7)*57+MOD(ROW()-1,7)+50),"")</f>
        <v/>
      </c>
    </row>
    <row r="2206" spans="1:1" x14ac:dyDescent="0.25">
      <c r="A2206" t="str" cm="1">
        <f t="array" ref="A2206">IF(INDEX(CUEs!$A:$A,INT((ROW()-1)/7)*57+MOD(ROW()-1,7)+50)&lt;&gt;"","set "&amp;INDEX(CUEs!$A:$A,INT((ROW()-1)/7)*57+MOD(ROW()-1,7)+50)&amp;"=/ s "&amp;INDEX(CUEs!$B:$B,INT((ROW()-1)/7)*57+MOD(ROW()-1,7)+50),"")</f>
        <v/>
      </c>
    </row>
    <row r="2207" spans="1:1" x14ac:dyDescent="0.25">
      <c r="A2207" t="str" cm="1">
        <f t="array" ref="A2207">IF(INDEX(CUEs!$A:$A,INT((ROW()-1)/7)*57+MOD(ROW()-1,7)+50)&lt;&gt;"","set "&amp;INDEX(CUEs!$A:$A,INT((ROW()-1)/7)*57+MOD(ROW()-1,7)+50)&amp;"=/ s "&amp;INDEX(CUEs!$B:$B,INT((ROW()-1)/7)*57+MOD(ROW()-1,7)+50),"")</f>
        <v/>
      </c>
    </row>
    <row r="2208" spans="1:1" x14ac:dyDescent="0.25">
      <c r="A2208" t="str" cm="1">
        <f t="array" ref="A2208">IF(INDEX(CUEs!$A:$A,INT((ROW()-1)/7)*57+MOD(ROW()-1,7)+50)&lt;&gt;"","set "&amp;INDEX(CUEs!$A:$A,INT((ROW()-1)/7)*57+MOD(ROW()-1,7)+50)&amp;"=/ s "&amp;INDEX(CUEs!$B:$B,INT((ROW()-1)/7)*57+MOD(ROW()-1,7)+50),"")</f>
        <v/>
      </c>
    </row>
    <row r="2209" spans="1:1" x14ac:dyDescent="0.25">
      <c r="A2209" t="str" cm="1">
        <f t="array" ref="A2209">IF(INDEX(CUEs!$A:$A,INT((ROW()-1)/7)*57+MOD(ROW()-1,7)+50)&lt;&gt;"","set "&amp;INDEX(CUEs!$A:$A,INT((ROW()-1)/7)*57+MOD(ROW()-1,7)+50)&amp;"=/ s "&amp;INDEX(CUEs!$B:$B,INT((ROW()-1)/7)*57+MOD(ROW()-1,7)+50),"")</f>
        <v/>
      </c>
    </row>
    <row r="2210" spans="1:1" x14ac:dyDescent="0.25">
      <c r="A2210" t="str" cm="1">
        <f t="array" ref="A2210">IF(INDEX(CUEs!$A:$A,INT((ROW()-1)/7)*57+MOD(ROW()-1,7)+50)&lt;&gt;"","set "&amp;INDEX(CUEs!$A:$A,INT((ROW()-1)/7)*57+MOD(ROW()-1,7)+50)&amp;"=/ s "&amp;INDEX(CUEs!$B:$B,INT((ROW()-1)/7)*57+MOD(ROW()-1,7)+50),"")</f>
        <v/>
      </c>
    </row>
    <row r="2211" spans="1:1" x14ac:dyDescent="0.25">
      <c r="A2211" t="str" cm="1">
        <f t="array" ref="A2211">IF(INDEX(CUEs!$A:$A,INT((ROW()-1)/7)*57+MOD(ROW()-1,7)+50)&lt;&gt;"","set "&amp;INDEX(CUEs!$A:$A,INT((ROW()-1)/7)*57+MOD(ROW()-1,7)+50)&amp;"=/ s "&amp;INDEX(CUEs!$B:$B,INT((ROW()-1)/7)*57+MOD(ROW()-1,7)+50),"")</f>
        <v/>
      </c>
    </row>
    <row r="2212" spans="1:1" x14ac:dyDescent="0.25">
      <c r="A2212" t="str" cm="1">
        <f t="array" ref="A2212">IF(INDEX(CUEs!$A:$A,INT((ROW()-1)/7)*57+MOD(ROW()-1,7)+50)&lt;&gt;"","set "&amp;INDEX(CUEs!$A:$A,INT((ROW()-1)/7)*57+MOD(ROW()-1,7)+50)&amp;"=/ s "&amp;INDEX(CUEs!$B:$B,INT((ROW()-1)/7)*57+MOD(ROW()-1,7)+50),"")</f>
        <v/>
      </c>
    </row>
    <row r="2213" spans="1:1" x14ac:dyDescent="0.25">
      <c r="A2213" t="str" cm="1">
        <f t="array" ref="A2213">IF(INDEX(CUEs!$A:$A,INT((ROW()-1)/7)*57+MOD(ROW()-1,7)+50)&lt;&gt;"","set "&amp;INDEX(CUEs!$A:$A,INT((ROW()-1)/7)*57+MOD(ROW()-1,7)+50)&amp;"=/ s "&amp;INDEX(CUEs!$B:$B,INT((ROW()-1)/7)*57+MOD(ROW()-1,7)+50),"")</f>
        <v/>
      </c>
    </row>
    <row r="2214" spans="1:1" x14ac:dyDescent="0.25">
      <c r="A2214" t="str" cm="1">
        <f t="array" ref="A2214">IF(INDEX(CUEs!$A:$A,INT((ROW()-1)/7)*57+MOD(ROW()-1,7)+50)&lt;&gt;"","set "&amp;INDEX(CUEs!$A:$A,INT((ROW()-1)/7)*57+MOD(ROW()-1,7)+50)&amp;"=/ s "&amp;INDEX(CUEs!$B:$B,INT((ROW()-1)/7)*57+MOD(ROW()-1,7)+50),"")</f>
        <v/>
      </c>
    </row>
    <row r="2215" spans="1:1" x14ac:dyDescent="0.25">
      <c r="A2215" t="str" cm="1">
        <f t="array" ref="A2215">IF(INDEX(CUEs!$A:$A,INT((ROW()-1)/7)*57+MOD(ROW()-1,7)+50)&lt;&gt;"","set "&amp;INDEX(CUEs!$A:$A,INT((ROW()-1)/7)*57+MOD(ROW()-1,7)+50)&amp;"=/ s "&amp;INDEX(CUEs!$B:$B,INT((ROW()-1)/7)*57+MOD(ROW()-1,7)+50),"")</f>
        <v/>
      </c>
    </row>
    <row r="2216" spans="1:1" x14ac:dyDescent="0.25">
      <c r="A2216" t="str" cm="1">
        <f t="array" ref="A2216">IF(INDEX(CUEs!$A:$A,INT((ROW()-1)/7)*57+MOD(ROW()-1,7)+50)&lt;&gt;"","set "&amp;INDEX(CUEs!$A:$A,INT((ROW()-1)/7)*57+MOD(ROW()-1,7)+50)&amp;"=/ s "&amp;INDEX(CUEs!$B:$B,INT((ROW()-1)/7)*57+MOD(ROW()-1,7)+50),"")</f>
        <v/>
      </c>
    </row>
    <row r="2217" spans="1:1" x14ac:dyDescent="0.25">
      <c r="A2217" t="str" cm="1">
        <f t="array" ref="A2217">IF(INDEX(CUEs!$A:$A,INT((ROW()-1)/7)*57+MOD(ROW()-1,7)+50)&lt;&gt;"","set "&amp;INDEX(CUEs!$A:$A,INT((ROW()-1)/7)*57+MOD(ROW()-1,7)+50)&amp;"=/ s "&amp;INDEX(CUEs!$B:$B,INT((ROW()-1)/7)*57+MOD(ROW()-1,7)+50),"")</f>
        <v/>
      </c>
    </row>
    <row r="2218" spans="1:1" x14ac:dyDescent="0.25">
      <c r="A2218" t="str" cm="1">
        <f t="array" ref="A2218">IF(INDEX(CUEs!$A:$A,INT((ROW()-1)/7)*57+MOD(ROW()-1,7)+50)&lt;&gt;"","set "&amp;INDEX(CUEs!$A:$A,INT((ROW()-1)/7)*57+MOD(ROW()-1,7)+50)&amp;"=/ s "&amp;INDEX(CUEs!$B:$B,INT((ROW()-1)/7)*57+MOD(ROW()-1,7)+50),"")</f>
        <v/>
      </c>
    </row>
    <row r="2219" spans="1:1" x14ac:dyDescent="0.25">
      <c r="A2219" t="str" cm="1">
        <f t="array" ref="A2219">IF(INDEX(CUEs!$A:$A,INT((ROW()-1)/7)*57+MOD(ROW()-1,7)+50)&lt;&gt;"","set "&amp;INDEX(CUEs!$A:$A,INT((ROW()-1)/7)*57+MOD(ROW()-1,7)+50)&amp;"=/ s "&amp;INDEX(CUEs!$B:$B,INT((ROW()-1)/7)*57+MOD(ROW()-1,7)+50),"")</f>
        <v/>
      </c>
    </row>
    <row r="2220" spans="1:1" x14ac:dyDescent="0.25">
      <c r="A2220" t="str" cm="1">
        <f t="array" ref="A2220">IF(INDEX(CUEs!$A:$A,INT((ROW()-1)/7)*57+MOD(ROW()-1,7)+50)&lt;&gt;"","set "&amp;INDEX(CUEs!$A:$A,INT((ROW()-1)/7)*57+MOD(ROW()-1,7)+50)&amp;"=/ s "&amp;INDEX(CUEs!$B:$B,INT((ROW()-1)/7)*57+MOD(ROW()-1,7)+50),"")</f>
        <v/>
      </c>
    </row>
    <row r="2221" spans="1:1" x14ac:dyDescent="0.25">
      <c r="A2221" t="str" cm="1">
        <f t="array" ref="A2221">IF(INDEX(CUEs!$A:$A,INT((ROW()-1)/7)*57+MOD(ROW()-1,7)+50)&lt;&gt;"","set "&amp;INDEX(CUEs!$A:$A,INT((ROW()-1)/7)*57+MOD(ROW()-1,7)+50)&amp;"=/ s "&amp;INDEX(CUEs!$B:$B,INT((ROW()-1)/7)*57+MOD(ROW()-1,7)+50),"")</f>
        <v/>
      </c>
    </row>
    <row r="2222" spans="1:1" x14ac:dyDescent="0.25">
      <c r="A2222" t="str" cm="1">
        <f t="array" ref="A2222">IF(INDEX(CUEs!$A:$A,INT((ROW()-1)/7)*57+MOD(ROW()-1,7)+50)&lt;&gt;"","set "&amp;INDEX(CUEs!$A:$A,INT((ROW()-1)/7)*57+MOD(ROW()-1,7)+50)&amp;"=/ s "&amp;INDEX(CUEs!$B:$B,INT((ROW()-1)/7)*57+MOD(ROW()-1,7)+50),"")</f>
        <v/>
      </c>
    </row>
    <row r="2223" spans="1:1" x14ac:dyDescent="0.25">
      <c r="A2223" t="str" cm="1">
        <f t="array" ref="A2223">IF(INDEX(CUEs!$A:$A,INT((ROW()-1)/7)*57+MOD(ROW()-1,7)+50)&lt;&gt;"","set "&amp;INDEX(CUEs!$A:$A,INT((ROW()-1)/7)*57+MOD(ROW()-1,7)+50)&amp;"=/ s "&amp;INDEX(CUEs!$B:$B,INT((ROW()-1)/7)*57+MOD(ROW()-1,7)+50),"")</f>
        <v/>
      </c>
    </row>
    <row r="2224" spans="1:1" x14ac:dyDescent="0.25">
      <c r="A2224" t="str" cm="1">
        <f t="array" ref="A2224">IF(INDEX(CUEs!$A:$A,INT((ROW()-1)/7)*57+MOD(ROW()-1,7)+50)&lt;&gt;"","set "&amp;INDEX(CUEs!$A:$A,INT((ROW()-1)/7)*57+MOD(ROW()-1,7)+50)&amp;"=/ s "&amp;INDEX(CUEs!$B:$B,INT((ROW()-1)/7)*57+MOD(ROW()-1,7)+50),"")</f>
        <v/>
      </c>
    </row>
    <row r="2225" spans="1:1" x14ac:dyDescent="0.25">
      <c r="A2225" t="str" cm="1">
        <f t="array" ref="A2225">IF(INDEX(CUEs!$A:$A,INT((ROW()-1)/7)*57+MOD(ROW()-1,7)+50)&lt;&gt;"","set "&amp;INDEX(CUEs!$A:$A,INT((ROW()-1)/7)*57+MOD(ROW()-1,7)+50)&amp;"=/ s "&amp;INDEX(CUEs!$B:$B,INT((ROW()-1)/7)*57+MOD(ROW()-1,7)+50),"")</f>
        <v/>
      </c>
    </row>
    <row r="2226" spans="1:1" x14ac:dyDescent="0.25">
      <c r="A2226" t="str" cm="1">
        <f t="array" ref="A2226">IF(INDEX(CUEs!$A:$A,INT((ROW()-1)/7)*57+MOD(ROW()-1,7)+50)&lt;&gt;"","set "&amp;INDEX(CUEs!$A:$A,INT((ROW()-1)/7)*57+MOD(ROW()-1,7)+50)&amp;"=/ s "&amp;INDEX(CUEs!$B:$B,INT((ROW()-1)/7)*57+MOD(ROW()-1,7)+50),"")</f>
        <v/>
      </c>
    </row>
    <row r="2227" spans="1:1" x14ac:dyDescent="0.25">
      <c r="A2227" t="str" cm="1">
        <f t="array" ref="A2227">IF(INDEX(CUEs!$A:$A,INT((ROW()-1)/7)*57+MOD(ROW()-1,7)+50)&lt;&gt;"","set "&amp;INDEX(CUEs!$A:$A,INT((ROW()-1)/7)*57+MOD(ROW()-1,7)+50)&amp;"=/ s "&amp;INDEX(CUEs!$B:$B,INT((ROW()-1)/7)*57+MOD(ROW()-1,7)+50),"")</f>
        <v/>
      </c>
    </row>
    <row r="2228" spans="1:1" x14ac:dyDescent="0.25">
      <c r="A2228" t="str" cm="1">
        <f t="array" ref="A2228">IF(INDEX(CUEs!$A:$A,INT((ROW()-1)/7)*57+MOD(ROW()-1,7)+50)&lt;&gt;"","set "&amp;INDEX(CUEs!$A:$A,INT((ROW()-1)/7)*57+MOD(ROW()-1,7)+50)&amp;"=/ s "&amp;INDEX(CUEs!$B:$B,INT((ROW()-1)/7)*57+MOD(ROW()-1,7)+50),"")</f>
        <v/>
      </c>
    </row>
    <row r="2229" spans="1:1" x14ac:dyDescent="0.25">
      <c r="A2229" t="str" cm="1">
        <f t="array" ref="A2229">IF(INDEX(CUEs!$A:$A,INT((ROW()-1)/7)*57+MOD(ROW()-1,7)+50)&lt;&gt;"","set "&amp;INDEX(CUEs!$A:$A,INT((ROW()-1)/7)*57+MOD(ROW()-1,7)+50)&amp;"=/ s "&amp;INDEX(CUEs!$B:$B,INT((ROW()-1)/7)*57+MOD(ROW()-1,7)+50),"")</f>
        <v/>
      </c>
    </row>
    <row r="2230" spans="1:1" x14ac:dyDescent="0.25">
      <c r="A2230" t="str" cm="1">
        <f t="array" ref="A2230">IF(INDEX(CUEs!$A:$A,INT((ROW()-1)/7)*57+MOD(ROW()-1,7)+50)&lt;&gt;"","set "&amp;INDEX(CUEs!$A:$A,INT((ROW()-1)/7)*57+MOD(ROW()-1,7)+50)&amp;"=/ s "&amp;INDEX(CUEs!$B:$B,INT((ROW()-1)/7)*57+MOD(ROW()-1,7)+50),"")</f>
        <v/>
      </c>
    </row>
    <row r="2231" spans="1:1" x14ac:dyDescent="0.25">
      <c r="A2231" t="str" cm="1">
        <f t="array" ref="A2231">IF(INDEX(CUEs!$A:$A,INT((ROW()-1)/7)*57+MOD(ROW()-1,7)+50)&lt;&gt;"","set "&amp;INDEX(CUEs!$A:$A,INT((ROW()-1)/7)*57+MOD(ROW()-1,7)+50)&amp;"=/ s "&amp;INDEX(CUEs!$B:$B,INT((ROW()-1)/7)*57+MOD(ROW()-1,7)+50),"")</f>
        <v/>
      </c>
    </row>
    <row r="2232" spans="1:1" x14ac:dyDescent="0.25">
      <c r="A2232" t="str" cm="1">
        <f t="array" ref="A2232">IF(INDEX(CUEs!$A:$A,INT((ROW()-1)/7)*57+MOD(ROW()-1,7)+50)&lt;&gt;"","set "&amp;INDEX(CUEs!$A:$A,INT((ROW()-1)/7)*57+MOD(ROW()-1,7)+50)&amp;"=/ s "&amp;INDEX(CUEs!$B:$B,INT((ROW()-1)/7)*57+MOD(ROW()-1,7)+50),"")</f>
        <v/>
      </c>
    </row>
    <row r="2233" spans="1:1" x14ac:dyDescent="0.25">
      <c r="A2233" t="str" cm="1">
        <f t="array" ref="A2233">IF(INDEX(CUEs!$A:$A,INT((ROW()-1)/7)*57+MOD(ROW()-1,7)+50)&lt;&gt;"","set "&amp;INDEX(CUEs!$A:$A,INT((ROW()-1)/7)*57+MOD(ROW()-1,7)+50)&amp;"=/ s "&amp;INDEX(CUEs!$B:$B,INT((ROW()-1)/7)*57+MOD(ROW()-1,7)+50),"")</f>
        <v/>
      </c>
    </row>
    <row r="2234" spans="1:1" x14ac:dyDescent="0.25">
      <c r="A2234" t="str" cm="1">
        <f t="array" ref="A2234">IF(INDEX(CUEs!$A:$A,INT((ROW()-1)/7)*57+MOD(ROW()-1,7)+50)&lt;&gt;"","set "&amp;INDEX(CUEs!$A:$A,INT((ROW()-1)/7)*57+MOD(ROW()-1,7)+50)&amp;"=/ s "&amp;INDEX(CUEs!$B:$B,INT((ROW()-1)/7)*57+MOD(ROW()-1,7)+50),"")</f>
        <v/>
      </c>
    </row>
    <row r="2235" spans="1:1" x14ac:dyDescent="0.25">
      <c r="A2235" t="str" cm="1">
        <f t="array" ref="A2235">IF(INDEX(CUEs!$A:$A,INT((ROW()-1)/7)*57+MOD(ROW()-1,7)+50)&lt;&gt;"","set "&amp;INDEX(CUEs!$A:$A,INT((ROW()-1)/7)*57+MOD(ROW()-1,7)+50)&amp;"=/ s "&amp;INDEX(CUEs!$B:$B,INT((ROW()-1)/7)*57+MOD(ROW()-1,7)+50),"")</f>
        <v/>
      </c>
    </row>
    <row r="2236" spans="1:1" x14ac:dyDescent="0.25">
      <c r="A2236" t="str" cm="1">
        <f t="array" ref="A2236">IF(INDEX(CUEs!$A:$A,INT((ROW()-1)/7)*57+MOD(ROW()-1,7)+50)&lt;&gt;"","set "&amp;INDEX(CUEs!$A:$A,INT((ROW()-1)/7)*57+MOD(ROW()-1,7)+50)&amp;"=/ s "&amp;INDEX(CUEs!$B:$B,INT((ROW()-1)/7)*57+MOD(ROW()-1,7)+50),"")</f>
        <v/>
      </c>
    </row>
    <row r="2237" spans="1:1" x14ac:dyDescent="0.25">
      <c r="A2237" t="str" cm="1">
        <f t="array" ref="A2237">IF(INDEX(CUEs!$A:$A,INT((ROW()-1)/7)*57+MOD(ROW()-1,7)+50)&lt;&gt;"","set "&amp;INDEX(CUEs!$A:$A,INT((ROW()-1)/7)*57+MOD(ROW()-1,7)+50)&amp;"=/ s "&amp;INDEX(CUEs!$B:$B,INT((ROW()-1)/7)*57+MOD(ROW()-1,7)+50),"")</f>
        <v/>
      </c>
    </row>
    <row r="2238" spans="1:1" x14ac:dyDescent="0.25">
      <c r="A2238" t="str" cm="1">
        <f t="array" ref="A2238">IF(INDEX(CUEs!$A:$A,INT((ROW()-1)/7)*57+MOD(ROW()-1,7)+50)&lt;&gt;"","set "&amp;INDEX(CUEs!$A:$A,INT((ROW()-1)/7)*57+MOD(ROW()-1,7)+50)&amp;"=/ s "&amp;INDEX(CUEs!$B:$B,INT((ROW()-1)/7)*57+MOD(ROW()-1,7)+50),"")</f>
        <v/>
      </c>
    </row>
    <row r="2239" spans="1:1" x14ac:dyDescent="0.25">
      <c r="A2239" t="str" cm="1">
        <f t="array" ref="A2239">IF(INDEX(CUEs!$A:$A,INT((ROW()-1)/7)*57+MOD(ROW()-1,7)+50)&lt;&gt;"","set "&amp;INDEX(CUEs!$A:$A,INT((ROW()-1)/7)*57+MOD(ROW()-1,7)+50)&amp;"=/ s "&amp;INDEX(CUEs!$B:$B,INT((ROW()-1)/7)*57+MOD(ROW()-1,7)+50),"")</f>
        <v/>
      </c>
    </row>
    <row r="2240" spans="1:1" x14ac:dyDescent="0.25">
      <c r="A2240" t="str" cm="1">
        <f t="array" ref="A2240">IF(INDEX(CUEs!$A:$A,INT((ROW()-1)/7)*57+MOD(ROW()-1,7)+50)&lt;&gt;"","set "&amp;INDEX(CUEs!$A:$A,INT((ROW()-1)/7)*57+MOD(ROW()-1,7)+50)&amp;"=/ s "&amp;INDEX(CUEs!$B:$B,INT((ROW()-1)/7)*57+MOD(ROW()-1,7)+50),"")</f>
        <v/>
      </c>
    </row>
    <row r="2241" spans="1:1" x14ac:dyDescent="0.25">
      <c r="A2241" t="str" cm="1">
        <f t="array" ref="A2241">IF(INDEX(CUEs!$A:$A,INT((ROW()-1)/7)*57+MOD(ROW()-1,7)+50)&lt;&gt;"","set "&amp;INDEX(CUEs!$A:$A,INT((ROW()-1)/7)*57+MOD(ROW()-1,7)+50)&amp;"=/ s "&amp;INDEX(CUEs!$B:$B,INT((ROW()-1)/7)*57+MOD(ROW()-1,7)+50),"")</f>
        <v/>
      </c>
    </row>
    <row r="2242" spans="1:1" x14ac:dyDescent="0.25">
      <c r="A2242" t="str" cm="1">
        <f t="array" ref="A2242">IF(INDEX(CUEs!$A:$A,INT((ROW()-1)/7)*57+MOD(ROW()-1,7)+50)&lt;&gt;"","set "&amp;INDEX(CUEs!$A:$A,INT((ROW()-1)/7)*57+MOD(ROW()-1,7)+50)&amp;"=/ s "&amp;INDEX(CUEs!$B:$B,INT((ROW()-1)/7)*57+MOD(ROW()-1,7)+50),"")</f>
        <v/>
      </c>
    </row>
    <row r="2243" spans="1:1" x14ac:dyDescent="0.25">
      <c r="A2243" t="str" cm="1">
        <f t="array" ref="A2243">IF(INDEX(CUEs!$A:$A,INT((ROW()-1)/7)*57+MOD(ROW()-1,7)+50)&lt;&gt;"","set "&amp;INDEX(CUEs!$A:$A,INT((ROW()-1)/7)*57+MOD(ROW()-1,7)+50)&amp;"=/ s "&amp;INDEX(CUEs!$B:$B,INT((ROW()-1)/7)*57+MOD(ROW()-1,7)+50),"")</f>
        <v/>
      </c>
    </row>
    <row r="2244" spans="1:1" x14ac:dyDescent="0.25">
      <c r="A2244" t="str" cm="1">
        <f t="array" ref="A2244">IF(INDEX(CUEs!$A:$A,INT((ROW()-1)/7)*57+MOD(ROW()-1,7)+50)&lt;&gt;"","set "&amp;INDEX(CUEs!$A:$A,INT((ROW()-1)/7)*57+MOD(ROW()-1,7)+50)&amp;"=/ s "&amp;INDEX(CUEs!$B:$B,INT((ROW()-1)/7)*57+MOD(ROW()-1,7)+50),"")</f>
        <v/>
      </c>
    </row>
    <row r="2245" spans="1:1" x14ac:dyDescent="0.25">
      <c r="A2245" t="str" cm="1">
        <f t="array" ref="A2245">IF(INDEX(CUEs!$A:$A,INT((ROW()-1)/7)*57+MOD(ROW()-1,7)+50)&lt;&gt;"","set "&amp;INDEX(CUEs!$A:$A,INT((ROW()-1)/7)*57+MOD(ROW()-1,7)+50)&amp;"=/ s "&amp;INDEX(CUEs!$B:$B,INT((ROW()-1)/7)*57+MOD(ROW()-1,7)+50),"")</f>
        <v/>
      </c>
    </row>
    <row r="2246" spans="1:1" x14ac:dyDescent="0.25">
      <c r="A2246" t="str" cm="1">
        <f t="array" ref="A2246">IF(INDEX(CUEs!$A:$A,INT((ROW()-1)/7)*57+MOD(ROW()-1,7)+50)&lt;&gt;"","set "&amp;INDEX(CUEs!$A:$A,INT((ROW()-1)/7)*57+MOD(ROW()-1,7)+50)&amp;"=/ s "&amp;INDEX(CUEs!$B:$B,INT((ROW()-1)/7)*57+MOD(ROW()-1,7)+50),"")</f>
        <v/>
      </c>
    </row>
    <row r="2247" spans="1:1" x14ac:dyDescent="0.25">
      <c r="A2247" t="str" cm="1">
        <f t="array" ref="A2247">IF(INDEX(CUEs!$A:$A,INT((ROW()-1)/7)*57+MOD(ROW()-1,7)+50)&lt;&gt;"","set "&amp;INDEX(CUEs!$A:$A,INT((ROW()-1)/7)*57+MOD(ROW()-1,7)+50)&amp;"=/ s "&amp;INDEX(CUEs!$B:$B,INT((ROW()-1)/7)*57+MOD(ROW()-1,7)+50),"")</f>
        <v/>
      </c>
    </row>
    <row r="2248" spans="1:1" x14ac:dyDescent="0.25">
      <c r="A2248" t="str" cm="1">
        <f t="array" ref="A2248">IF(INDEX(CUEs!$A:$A,INT((ROW()-1)/7)*57+MOD(ROW()-1,7)+50)&lt;&gt;"","set "&amp;INDEX(CUEs!$A:$A,INT((ROW()-1)/7)*57+MOD(ROW()-1,7)+50)&amp;"=/ s "&amp;INDEX(CUEs!$B:$B,INT((ROW()-1)/7)*57+MOD(ROW()-1,7)+50),"")</f>
        <v/>
      </c>
    </row>
    <row r="2249" spans="1:1" x14ac:dyDescent="0.25">
      <c r="A2249" t="str" cm="1">
        <f t="array" ref="A2249">IF(INDEX(CUEs!$A:$A,INT((ROW()-1)/7)*57+MOD(ROW()-1,7)+50)&lt;&gt;"","set "&amp;INDEX(CUEs!$A:$A,INT((ROW()-1)/7)*57+MOD(ROW()-1,7)+50)&amp;"=/ s "&amp;INDEX(CUEs!$B:$B,INT((ROW()-1)/7)*57+MOD(ROW()-1,7)+50),"")</f>
        <v/>
      </c>
    </row>
    <row r="2250" spans="1:1" x14ac:dyDescent="0.25">
      <c r="A2250" t="str" cm="1">
        <f t="array" ref="A2250">IF(INDEX(CUEs!$A:$A,INT((ROW()-1)/7)*57+MOD(ROW()-1,7)+50)&lt;&gt;"","set "&amp;INDEX(CUEs!$A:$A,INT((ROW()-1)/7)*57+MOD(ROW()-1,7)+50)&amp;"=/ s "&amp;INDEX(CUEs!$B:$B,INT((ROW()-1)/7)*57+MOD(ROW()-1,7)+50),"")</f>
        <v/>
      </c>
    </row>
    <row r="2251" spans="1:1" x14ac:dyDescent="0.25">
      <c r="A2251" t="str" cm="1">
        <f t="array" ref="A2251">IF(INDEX(CUEs!$A:$A,INT((ROW()-1)/7)*57+MOD(ROW()-1,7)+50)&lt;&gt;"","set "&amp;INDEX(CUEs!$A:$A,INT((ROW()-1)/7)*57+MOD(ROW()-1,7)+50)&amp;"=/ s "&amp;INDEX(CUEs!$B:$B,INT((ROW()-1)/7)*57+MOD(ROW()-1,7)+50),"")</f>
        <v/>
      </c>
    </row>
    <row r="2252" spans="1:1" x14ac:dyDescent="0.25">
      <c r="A2252" t="str" cm="1">
        <f t="array" ref="A2252">IF(INDEX(CUEs!$A:$A,INT((ROW()-1)/7)*57+MOD(ROW()-1,7)+50)&lt;&gt;"","set "&amp;INDEX(CUEs!$A:$A,INT((ROW()-1)/7)*57+MOD(ROW()-1,7)+50)&amp;"=/ s "&amp;INDEX(CUEs!$B:$B,INT((ROW()-1)/7)*57+MOD(ROW()-1,7)+50),"")</f>
        <v/>
      </c>
    </row>
    <row r="2253" spans="1:1" x14ac:dyDescent="0.25">
      <c r="A2253" t="str" cm="1">
        <f t="array" ref="A2253">IF(INDEX(CUEs!$A:$A,INT((ROW()-1)/7)*57+MOD(ROW()-1,7)+50)&lt;&gt;"","set "&amp;INDEX(CUEs!$A:$A,INT((ROW()-1)/7)*57+MOD(ROW()-1,7)+50)&amp;"=/ s "&amp;INDEX(CUEs!$B:$B,INT((ROW()-1)/7)*57+MOD(ROW()-1,7)+50),"")</f>
        <v/>
      </c>
    </row>
    <row r="2254" spans="1:1" x14ac:dyDescent="0.25">
      <c r="A2254" t="str" cm="1">
        <f t="array" ref="A2254">IF(INDEX(CUEs!$A:$A,INT((ROW()-1)/7)*57+MOD(ROW()-1,7)+50)&lt;&gt;"","set "&amp;INDEX(CUEs!$A:$A,INT((ROW()-1)/7)*57+MOD(ROW()-1,7)+50)&amp;"=/ s "&amp;INDEX(CUEs!$B:$B,INT((ROW()-1)/7)*57+MOD(ROW()-1,7)+50),"")</f>
        <v/>
      </c>
    </row>
    <row r="2255" spans="1:1" x14ac:dyDescent="0.25">
      <c r="A2255" t="str" cm="1">
        <f t="array" ref="A2255">IF(INDEX(CUEs!$A:$A,INT((ROW()-1)/7)*57+MOD(ROW()-1,7)+50)&lt;&gt;"","set "&amp;INDEX(CUEs!$A:$A,INT((ROW()-1)/7)*57+MOD(ROW()-1,7)+50)&amp;"=/ s "&amp;INDEX(CUEs!$B:$B,INT((ROW()-1)/7)*57+MOD(ROW()-1,7)+50),"")</f>
        <v/>
      </c>
    </row>
    <row r="2256" spans="1:1" x14ac:dyDescent="0.25">
      <c r="A2256" t="str" cm="1">
        <f t="array" ref="A2256">IF(INDEX(CUEs!$A:$A,INT((ROW()-1)/7)*57+MOD(ROW()-1,7)+50)&lt;&gt;"","set "&amp;INDEX(CUEs!$A:$A,INT((ROW()-1)/7)*57+MOD(ROW()-1,7)+50)&amp;"=/ s "&amp;INDEX(CUEs!$B:$B,INT((ROW()-1)/7)*57+MOD(ROW()-1,7)+50),"")</f>
        <v/>
      </c>
    </row>
    <row r="2257" spans="1:1" x14ac:dyDescent="0.25">
      <c r="A2257" t="str" cm="1">
        <f t="array" ref="A2257">IF(INDEX(CUEs!$A:$A,INT((ROW()-1)/7)*57+MOD(ROW()-1,7)+50)&lt;&gt;"","set "&amp;INDEX(CUEs!$A:$A,INT((ROW()-1)/7)*57+MOD(ROW()-1,7)+50)&amp;"=/ s "&amp;INDEX(CUEs!$B:$B,INT((ROW()-1)/7)*57+MOD(ROW()-1,7)+50),"")</f>
        <v/>
      </c>
    </row>
    <row r="2258" spans="1:1" x14ac:dyDescent="0.25">
      <c r="A2258" t="str" cm="1">
        <f t="array" ref="A2258">IF(INDEX(CUEs!$A:$A,INT((ROW()-1)/7)*57+MOD(ROW()-1,7)+50)&lt;&gt;"","set "&amp;INDEX(CUEs!$A:$A,INT((ROW()-1)/7)*57+MOD(ROW()-1,7)+50)&amp;"=/ s "&amp;INDEX(CUEs!$B:$B,INT((ROW()-1)/7)*57+MOD(ROW()-1,7)+50),"")</f>
        <v/>
      </c>
    </row>
    <row r="2259" spans="1:1" x14ac:dyDescent="0.25">
      <c r="A2259" t="str" cm="1">
        <f t="array" ref="A2259">IF(INDEX(CUEs!$A:$A,INT((ROW()-1)/7)*57+MOD(ROW()-1,7)+50)&lt;&gt;"","set "&amp;INDEX(CUEs!$A:$A,INT((ROW()-1)/7)*57+MOD(ROW()-1,7)+50)&amp;"=/ s "&amp;INDEX(CUEs!$B:$B,INT((ROW()-1)/7)*57+MOD(ROW()-1,7)+50),"")</f>
        <v/>
      </c>
    </row>
    <row r="2260" spans="1:1" x14ac:dyDescent="0.25">
      <c r="A2260" t="str" cm="1">
        <f t="array" ref="A2260">IF(INDEX(CUEs!$A:$A,INT((ROW()-1)/7)*57+MOD(ROW()-1,7)+50)&lt;&gt;"","set "&amp;INDEX(CUEs!$A:$A,INT((ROW()-1)/7)*57+MOD(ROW()-1,7)+50)&amp;"=/ s "&amp;INDEX(CUEs!$B:$B,INT((ROW()-1)/7)*57+MOD(ROW()-1,7)+50),"")</f>
        <v/>
      </c>
    </row>
    <row r="2261" spans="1:1" x14ac:dyDescent="0.25">
      <c r="A2261" t="str" cm="1">
        <f t="array" ref="A2261">IF(INDEX(CUEs!$A:$A,INT((ROW()-1)/7)*57+MOD(ROW()-1,7)+50)&lt;&gt;"","set "&amp;INDEX(CUEs!$A:$A,INT((ROW()-1)/7)*57+MOD(ROW()-1,7)+50)&amp;"=/ s "&amp;INDEX(CUEs!$B:$B,INT((ROW()-1)/7)*57+MOD(ROW()-1,7)+50),"")</f>
        <v/>
      </c>
    </row>
    <row r="2262" spans="1:1" x14ac:dyDescent="0.25">
      <c r="A2262" t="str" cm="1">
        <f t="array" ref="A2262">IF(INDEX(CUEs!$A:$A,INT((ROW()-1)/7)*57+MOD(ROW()-1,7)+50)&lt;&gt;"","set "&amp;INDEX(CUEs!$A:$A,INT((ROW()-1)/7)*57+MOD(ROW()-1,7)+50)&amp;"=/ s "&amp;INDEX(CUEs!$B:$B,INT((ROW()-1)/7)*57+MOD(ROW()-1,7)+50),"")</f>
        <v/>
      </c>
    </row>
    <row r="2263" spans="1:1" x14ac:dyDescent="0.25">
      <c r="A2263" t="str" cm="1">
        <f t="array" ref="A2263">IF(INDEX(CUEs!$A:$A,INT((ROW()-1)/7)*57+MOD(ROW()-1,7)+50)&lt;&gt;"","set "&amp;INDEX(CUEs!$A:$A,INT((ROW()-1)/7)*57+MOD(ROW()-1,7)+50)&amp;"=/ s "&amp;INDEX(CUEs!$B:$B,INT((ROW()-1)/7)*57+MOD(ROW()-1,7)+50),"")</f>
        <v/>
      </c>
    </row>
    <row r="2264" spans="1:1" x14ac:dyDescent="0.25">
      <c r="A2264" t="str" cm="1">
        <f t="array" ref="A2264">IF(INDEX(CUEs!$A:$A,INT((ROW()-1)/7)*57+MOD(ROW()-1,7)+50)&lt;&gt;"","set "&amp;INDEX(CUEs!$A:$A,INT((ROW()-1)/7)*57+MOD(ROW()-1,7)+50)&amp;"=/ s "&amp;INDEX(CUEs!$B:$B,INT((ROW()-1)/7)*57+MOD(ROW()-1,7)+50),"")</f>
        <v/>
      </c>
    </row>
    <row r="2265" spans="1:1" x14ac:dyDescent="0.25">
      <c r="A2265" t="str" cm="1">
        <f t="array" ref="A2265">IF(INDEX(CUEs!$A:$A,INT((ROW()-1)/7)*57+MOD(ROW()-1,7)+50)&lt;&gt;"","set "&amp;INDEX(CUEs!$A:$A,INT((ROW()-1)/7)*57+MOD(ROW()-1,7)+50)&amp;"=/ s "&amp;INDEX(CUEs!$B:$B,INT((ROW()-1)/7)*57+MOD(ROW()-1,7)+50),"")</f>
        <v/>
      </c>
    </row>
    <row r="2266" spans="1:1" x14ac:dyDescent="0.25">
      <c r="A2266" t="str" cm="1">
        <f t="array" ref="A2266">IF(INDEX(CUEs!$A:$A,INT((ROW()-1)/7)*57+MOD(ROW()-1,7)+50)&lt;&gt;"","set "&amp;INDEX(CUEs!$A:$A,INT((ROW()-1)/7)*57+MOD(ROW()-1,7)+50)&amp;"=/ s "&amp;INDEX(CUEs!$B:$B,INT((ROW()-1)/7)*57+MOD(ROW()-1,7)+50),"")</f>
        <v/>
      </c>
    </row>
    <row r="2267" spans="1:1" x14ac:dyDescent="0.25">
      <c r="A2267" t="str" cm="1">
        <f t="array" ref="A2267">IF(INDEX(CUEs!$A:$A,INT((ROW()-1)/7)*57+MOD(ROW()-1,7)+50)&lt;&gt;"","set "&amp;INDEX(CUEs!$A:$A,INT((ROW()-1)/7)*57+MOD(ROW()-1,7)+50)&amp;"=/ s "&amp;INDEX(CUEs!$B:$B,INT((ROW()-1)/7)*57+MOD(ROW()-1,7)+50),"")</f>
        <v/>
      </c>
    </row>
    <row r="2268" spans="1:1" x14ac:dyDescent="0.25">
      <c r="A2268" t="str" cm="1">
        <f t="array" ref="A2268">IF(INDEX(CUEs!$A:$A,INT((ROW()-1)/7)*57+MOD(ROW()-1,7)+50)&lt;&gt;"","set "&amp;INDEX(CUEs!$A:$A,INT((ROW()-1)/7)*57+MOD(ROW()-1,7)+50)&amp;"=/ s "&amp;INDEX(CUEs!$B:$B,INT((ROW()-1)/7)*57+MOD(ROW()-1,7)+50),"")</f>
        <v/>
      </c>
    </row>
    <row r="2269" spans="1:1" x14ac:dyDescent="0.25">
      <c r="A2269" t="str" cm="1">
        <f t="array" ref="A2269">IF(INDEX(CUEs!$A:$A,INT((ROW()-1)/7)*57+MOD(ROW()-1,7)+50)&lt;&gt;"","set "&amp;INDEX(CUEs!$A:$A,INT((ROW()-1)/7)*57+MOD(ROW()-1,7)+50)&amp;"=/ s "&amp;INDEX(CUEs!$B:$B,INT((ROW()-1)/7)*57+MOD(ROW()-1,7)+50),"")</f>
        <v/>
      </c>
    </row>
    <row r="2270" spans="1:1" x14ac:dyDescent="0.25">
      <c r="A2270" t="str" cm="1">
        <f t="array" ref="A2270">IF(INDEX(CUEs!$A:$A,INT((ROW()-1)/7)*57+MOD(ROW()-1,7)+50)&lt;&gt;"","set "&amp;INDEX(CUEs!$A:$A,INT((ROW()-1)/7)*57+MOD(ROW()-1,7)+50)&amp;"=/ s "&amp;INDEX(CUEs!$B:$B,INT((ROW()-1)/7)*57+MOD(ROW()-1,7)+50),"")</f>
        <v/>
      </c>
    </row>
    <row r="2271" spans="1:1" x14ac:dyDescent="0.25">
      <c r="A2271" t="str" cm="1">
        <f t="array" ref="A2271">IF(INDEX(CUEs!$A:$A,INT((ROW()-1)/7)*57+MOD(ROW()-1,7)+50)&lt;&gt;"","set "&amp;INDEX(CUEs!$A:$A,INT((ROW()-1)/7)*57+MOD(ROW()-1,7)+50)&amp;"=/ s "&amp;INDEX(CUEs!$B:$B,INT((ROW()-1)/7)*57+MOD(ROW()-1,7)+50),"")</f>
        <v/>
      </c>
    </row>
    <row r="2272" spans="1:1" x14ac:dyDescent="0.25">
      <c r="A2272" t="str" cm="1">
        <f t="array" ref="A2272">IF(INDEX(CUEs!$A:$A,INT((ROW()-1)/7)*57+MOD(ROW()-1,7)+50)&lt;&gt;"","set "&amp;INDEX(CUEs!$A:$A,INT((ROW()-1)/7)*57+MOD(ROW()-1,7)+50)&amp;"=/ s "&amp;INDEX(CUEs!$B:$B,INT((ROW()-1)/7)*57+MOD(ROW()-1,7)+50),"")</f>
        <v/>
      </c>
    </row>
    <row r="2273" spans="1:1" x14ac:dyDescent="0.25">
      <c r="A2273" t="str" cm="1">
        <f t="array" ref="A2273">IF(INDEX(CUEs!$A:$A,INT((ROW()-1)/7)*57+MOD(ROW()-1,7)+50)&lt;&gt;"","set "&amp;INDEX(CUEs!$A:$A,INT((ROW()-1)/7)*57+MOD(ROW()-1,7)+50)&amp;"=/ s "&amp;INDEX(CUEs!$B:$B,INT((ROW()-1)/7)*57+MOD(ROW()-1,7)+50),"")</f>
        <v/>
      </c>
    </row>
    <row r="2274" spans="1:1" x14ac:dyDescent="0.25">
      <c r="A2274" t="str" cm="1">
        <f t="array" ref="A2274">IF(INDEX(CUEs!$A:$A,INT((ROW()-1)/7)*57+MOD(ROW()-1,7)+50)&lt;&gt;"","set "&amp;INDEX(CUEs!$A:$A,INT((ROW()-1)/7)*57+MOD(ROW()-1,7)+50)&amp;"=/ s "&amp;INDEX(CUEs!$B:$B,INT((ROW()-1)/7)*57+MOD(ROW()-1,7)+50),"")</f>
        <v/>
      </c>
    </row>
    <row r="2275" spans="1:1" x14ac:dyDescent="0.25">
      <c r="A2275" t="str" cm="1">
        <f t="array" ref="A2275">IF(INDEX(CUEs!$A:$A,INT((ROW()-1)/7)*57+MOD(ROW()-1,7)+50)&lt;&gt;"","set "&amp;INDEX(CUEs!$A:$A,INT((ROW()-1)/7)*57+MOD(ROW()-1,7)+50)&amp;"=/ s "&amp;INDEX(CUEs!$B:$B,INT((ROW()-1)/7)*57+MOD(ROW()-1,7)+50),"")</f>
        <v/>
      </c>
    </row>
    <row r="2276" spans="1:1" x14ac:dyDescent="0.25">
      <c r="A2276" t="str" cm="1">
        <f t="array" ref="A2276">IF(INDEX(CUEs!$A:$A,INT((ROW()-1)/7)*57+MOD(ROW()-1,7)+50)&lt;&gt;"","set "&amp;INDEX(CUEs!$A:$A,INT((ROW()-1)/7)*57+MOD(ROW()-1,7)+50)&amp;"=/ s "&amp;INDEX(CUEs!$B:$B,INT((ROW()-1)/7)*57+MOD(ROW()-1,7)+50),"")</f>
        <v/>
      </c>
    </row>
    <row r="2277" spans="1:1" x14ac:dyDescent="0.25">
      <c r="A2277" t="str" cm="1">
        <f t="array" ref="A2277">IF(INDEX(CUEs!$A:$A,INT((ROW()-1)/7)*57+MOD(ROW()-1,7)+50)&lt;&gt;"","set "&amp;INDEX(CUEs!$A:$A,INT((ROW()-1)/7)*57+MOD(ROW()-1,7)+50)&amp;"=/ s "&amp;INDEX(CUEs!$B:$B,INT((ROW()-1)/7)*57+MOD(ROW()-1,7)+50),"")</f>
        <v/>
      </c>
    </row>
    <row r="2278" spans="1:1" x14ac:dyDescent="0.25">
      <c r="A2278" t="str" cm="1">
        <f t="array" ref="A2278">IF(INDEX(CUEs!$A:$A,INT((ROW()-1)/7)*57+MOD(ROW()-1,7)+50)&lt;&gt;"","set "&amp;INDEX(CUEs!$A:$A,INT((ROW()-1)/7)*57+MOD(ROW()-1,7)+50)&amp;"=/ s "&amp;INDEX(CUEs!$B:$B,INT((ROW()-1)/7)*57+MOD(ROW()-1,7)+50),"")</f>
        <v/>
      </c>
    </row>
    <row r="2279" spans="1:1" x14ac:dyDescent="0.25">
      <c r="A2279" t="str" cm="1">
        <f t="array" ref="A2279">IF(INDEX(CUEs!$A:$A,INT((ROW()-1)/7)*57+MOD(ROW()-1,7)+50)&lt;&gt;"","set "&amp;INDEX(CUEs!$A:$A,INT((ROW()-1)/7)*57+MOD(ROW()-1,7)+50)&amp;"=/ s "&amp;INDEX(CUEs!$B:$B,INT((ROW()-1)/7)*57+MOD(ROW()-1,7)+50),"")</f>
        <v/>
      </c>
    </row>
    <row r="2280" spans="1:1" x14ac:dyDescent="0.25">
      <c r="A2280" t="str" cm="1">
        <f t="array" ref="A2280">IF(INDEX(CUEs!$A:$A,INT((ROW()-1)/7)*57+MOD(ROW()-1,7)+50)&lt;&gt;"","set "&amp;INDEX(CUEs!$A:$A,INT((ROW()-1)/7)*57+MOD(ROW()-1,7)+50)&amp;"=/ s "&amp;INDEX(CUEs!$B:$B,INT((ROW()-1)/7)*57+MOD(ROW()-1,7)+50),"")</f>
        <v/>
      </c>
    </row>
    <row r="2281" spans="1:1" x14ac:dyDescent="0.25">
      <c r="A2281" t="str" cm="1">
        <f t="array" ref="A2281">IF(INDEX(CUEs!$A:$A,INT((ROW()-1)/7)*57+MOD(ROW()-1,7)+50)&lt;&gt;"","set "&amp;INDEX(CUEs!$A:$A,INT((ROW()-1)/7)*57+MOD(ROW()-1,7)+50)&amp;"=/ s "&amp;INDEX(CUEs!$B:$B,INT((ROW()-1)/7)*57+MOD(ROW()-1,7)+50),"")</f>
        <v/>
      </c>
    </row>
    <row r="2282" spans="1:1" x14ac:dyDescent="0.25">
      <c r="A2282" t="str" cm="1">
        <f t="array" ref="A2282">IF(INDEX(CUEs!$A:$A,INT((ROW()-1)/7)*57+MOD(ROW()-1,7)+50)&lt;&gt;"","set "&amp;INDEX(CUEs!$A:$A,INT((ROW()-1)/7)*57+MOD(ROW()-1,7)+50)&amp;"=/ s "&amp;INDEX(CUEs!$B:$B,INT((ROW()-1)/7)*57+MOD(ROW()-1,7)+50),"")</f>
        <v/>
      </c>
    </row>
    <row r="2283" spans="1:1" x14ac:dyDescent="0.25">
      <c r="A2283" t="str" cm="1">
        <f t="array" ref="A2283">IF(INDEX(CUEs!$A:$A,INT((ROW()-1)/7)*57+MOD(ROW()-1,7)+50)&lt;&gt;"","set "&amp;INDEX(CUEs!$A:$A,INT((ROW()-1)/7)*57+MOD(ROW()-1,7)+50)&amp;"=/ s "&amp;INDEX(CUEs!$B:$B,INT((ROW()-1)/7)*57+MOD(ROW()-1,7)+50),"")</f>
        <v/>
      </c>
    </row>
    <row r="2284" spans="1:1" x14ac:dyDescent="0.25">
      <c r="A2284" t="str" cm="1">
        <f t="array" ref="A2284">IF(INDEX(CUEs!$A:$A,INT((ROW()-1)/7)*57+MOD(ROW()-1,7)+50)&lt;&gt;"","set "&amp;INDEX(CUEs!$A:$A,INT((ROW()-1)/7)*57+MOD(ROW()-1,7)+50)&amp;"=/ s "&amp;INDEX(CUEs!$B:$B,INT((ROW()-1)/7)*57+MOD(ROW()-1,7)+50),"")</f>
        <v/>
      </c>
    </row>
    <row r="2285" spans="1:1" x14ac:dyDescent="0.25">
      <c r="A2285" t="str" cm="1">
        <f t="array" ref="A2285">IF(INDEX(CUEs!$A:$A,INT((ROW()-1)/7)*57+MOD(ROW()-1,7)+50)&lt;&gt;"","set "&amp;INDEX(CUEs!$A:$A,INT((ROW()-1)/7)*57+MOD(ROW()-1,7)+50)&amp;"=/ s "&amp;INDEX(CUEs!$B:$B,INT((ROW()-1)/7)*57+MOD(ROW()-1,7)+50),"")</f>
        <v/>
      </c>
    </row>
    <row r="2286" spans="1:1" x14ac:dyDescent="0.25">
      <c r="A2286" t="str" cm="1">
        <f t="array" ref="A2286">IF(INDEX(CUEs!$A:$A,INT((ROW()-1)/7)*57+MOD(ROW()-1,7)+50)&lt;&gt;"","set "&amp;INDEX(CUEs!$A:$A,INT((ROW()-1)/7)*57+MOD(ROW()-1,7)+50)&amp;"=/ s "&amp;INDEX(CUEs!$B:$B,INT((ROW()-1)/7)*57+MOD(ROW()-1,7)+50),"")</f>
        <v/>
      </c>
    </row>
    <row r="2287" spans="1:1" x14ac:dyDescent="0.25">
      <c r="A2287" t="str" cm="1">
        <f t="array" ref="A2287">IF(INDEX(CUEs!$A:$A,INT((ROW()-1)/7)*57+MOD(ROW()-1,7)+50)&lt;&gt;"","set "&amp;INDEX(CUEs!$A:$A,INT((ROW()-1)/7)*57+MOD(ROW()-1,7)+50)&amp;"=/ s "&amp;INDEX(CUEs!$B:$B,INT((ROW()-1)/7)*57+MOD(ROW()-1,7)+50),"")</f>
        <v/>
      </c>
    </row>
    <row r="2288" spans="1:1" x14ac:dyDescent="0.25">
      <c r="A2288" t="str" cm="1">
        <f t="array" ref="A2288">IF(INDEX(CUEs!$A:$A,INT((ROW()-1)/7)*57+MOD(ROW()-1,7)+50)&lt;&gt;"","set "&amp;INDEX(CUEs!$A:$A,INT((ROW()-1)/7)*57+MOD(ROW()-1,7)+50)&amp;"=/ s "&amp;INDEX(CUEs!$B:$B,INT((ROW()-1)/7)*57+MOD(ROW()-1,7)+50),"")</f>
        <v/>
      </c>
    </row>
    <row r="2289" spans="1:1" x14ac:dyDescent="0.25">
      <c r="A2289" t="str" cm="1">
        <f t="array" ref="A2289">IF(INDEX(CUEs!$A:$A,INT((ROW()-1)/7)*57+MOD(ROW()-1,7)+50)&lt;&gt;"","set "&amp;INDEX(CUEs!$A:$A,INT((ROW()-1)/7)*57+MOD(ROW()-1,7)+50)&amp;"=/ s "&amp;INDEX(CUEs!$B:$B,INT((ROW()-1)/7)*57+MOD(ROW()-1,7)+50),"")</f>
        <v/>
      </c>
    </row>
    <row r="2290" spans="1:1" x14ac:dyDescent="0.25">
      <c r="A2290" t="str" cm="1">
        <f t="array" ref="A2290">IF(INDEX(CUEs!$A:$A,INT((ROW()-1)/7)*57+MOD(ROW()-1,7)+50)&lt;&gt;"","set "&amp;INDEX(CUEs!$A:$A,INT((ROW()-1)/7)*57+MOD(ROW()-1,7)+50)&amp;"=/ s "&amp;INDEX(CUEs!$B:$B,INT((ROW()-1)/7)*57+MOD(ROW()-1,7)+50),"")</f>
        <v/>
      </c>
    </row>
    <row r="2291" spans="1:1" x14ac:dyDescent="0.25">
      <c r="A2291" t="str" cm="1">
        <f t="array" ref="A2291">IF(INDEX(CUEs!$A:$A,INT((ROW()-1)/7)*57+MOD(ROW()-1,7)+50)&lt;&gt;"","set "&amp;INDEX(CUEs!$A:$A,INT((ROW()-1)/7)*57+MOD(ROW()-1,7)+50)&amp;"=/ s "&amp;INDEX(CUEs!$B:$B,INT((ROW()-1)/7)*57+MOD(ROW()-1,7)+50),"")</f>
        <v/>
      </c>
    </row>
    <row r="2292" spans="1:1" x14ac:dyDescent="0.25">
      <c r="A2292" t="str" cm="1">
        <f t="array" ref="A2292">IF(INDEX(CUEs!$A:$A,INT((ROW()-1)/7)*57+MOD(ROW()-1,7)+50)&lt;&gt;"","set "&amp;INDEX(CUEs!$A:$A,INT((ROW()-1)/7)*57+MOD(ROW()-1,7)+50)&amp;"=/ s "&amp;INDEX(CUEs!$B:$B,INT((ROW()-1)/7)*57+MOD(ROW()-1,7)+50),"")</f>
        <v/>
      </c>
    </row>
    <row r="2293" spans="1:1" x14ac:dyDescent="0.25">
      <c r="A2293" t="str" cm="1">
        <f t="array" ref="A2293">IF(INDEX(CUEs!$A:$A,INT((ROW()-1)/7)*57+MOD(ROW()-1,7)+50)&lt;&gt;"","set "&amp;INDEX(CUEs!$A:$A,INT((ROW()-1)/7)*57+MOD(ROW()-1,7)+50)&amp;"=/ s "&amp;INDEX(CUEs!$B:$B,INT((ROW()-1)/7)*57+MOD(ROW()-1,7)+50),"")</f>
        <v/>
      </c>
    </row>
    <row r="2294" spans="1:1" x14ac:dyDescent="0.25">
      <c r="A2294" t="str" cm="1">
        <f t="array" ref="A2294">IF(INDEX(CUEs!$A:$A,INT((ROW()-1)/7)*57+MOD(ROW()-1,7)+50)&lt;&gt;"","set "&amp;INDEX(CUEs!$A:$A,INT((ROW()-1)/7)*57+MOD(ROW()-1,7)+50)&amp;"=/ s "&amp;INDEX(CUEs!$B:$B,INT((ROW()-1)/7)*57+MOD(ROW()-1,7)+50),"")</f>
        <v/>
      </c>
    </row>
    <row r="2295" spans="1:1" x14ac:dyDescent="0.25">
      <c r="A2295" t="str" cm="1">
        <f t="array" ref="A2295">IF(INDEX(CUEs!$A:$A,INT((ROW()-1)/7)*57+MOD(ROW()-1,7)+50)&lt;&gt;"","set "&amp;INDEX(CUEs!$A:$A,INT((ROW()-1)/7)*57+MOD(ROW()-1,7)+50)&amp;"=/ s "&amp;INDEX(CUEs!$B:$B,INT((ROW()-1)/7)*57+MOD(ROW()-1,7)+50),"")</f>
        <v/>
      </c>
    </row>
    <row r="2296" spans="1:1" x14ac:dyDescent="0.25">
      <c r="A2296" t="str" cm="1">
        <f t="array" ref="A2296">IF(INDEX(CUEs!$A:$A,INT((ROW()-1)/7)*57+MOD(ROW()-1,7)+50)&lt;&gt;"","set "&amp;INDEX(CUEs!$A:$A,INT((ROW()-1)/7)*57+MOD(ROW()-1,7)+50)&amp;"=/ s "&amp;INDEX(CUEs!$B:$B,INT((ROW()-1)/7)*57+MOD(ROW()-1,7)+50),"")</f>
        <v/>
      </c>
    </row>
    <row r="2297" spans="1:1" x14ac:dyDescent="0.25">
      <c r="A2297" t="str" cm="1">
        <f t="array" ref="A2297">IF(INDEX(CUEs!$A:$A,INT((ROW()-1)/7)*57+MOD(ROW()-1,7)+50)&lt;&gt;"","set "&amp;INDEX(CUEs!$A:$A,INT((ROW()-1)/7)*57+MOD(ROW()-1,7)+50)&amp;"=/ s "&amp;INDEX(CUEs!$B:$B,INT((ROW()-1)/7)*57+MOD(ROW()-1,7)+50),"")</f>
        <v/>
      </c>
    </row>
    <row r="2298" spans="1:1" x14ac:dyDescent="0.25">
      <c r="A2298" t="str" cm="1">
        <f t="array" ref="A2298">IF(INDEX(CUEs!$A:$A,INT((ROW()-1)/7)*57+MOD(ROW()-1,7)+50)&lt;&gt;"","set "&amp;INDEX(CUEs!$A:$A,INT((ROW()-1)/7)*57+MOD(ROW()-1,7)+50)&amp;"=/ s "&amp;INDEX(CUEs!$B:$B,INT((ROW()-1)/7)*57+MOD(ROW()-1,7)+50),"")</f>
        <v/>
      </c>
    </row>
    <row r="2299" spans="1:1" x14ac:dyDescent="0.25">
      <c r="A2299" t="str" cm="1">
        <f t="array" ref="A2299">IF(INDEX(CUEs!$A:$A,INT((ROW()-1)/7)*57+MOD(ROW()-1,7)+50)&lt;&gt;"","set "&amp;INDEX(CUEs!$A:$A,INT((ROW()-1)/7)*57+MOD(ROW()-1,7)+50)&amp;"=/ s "&amp;INDEX(CUEs!$B:$B,INT((ROW()-1)/7)*57+MOD(ROW()-1,7)+50),"")</f>
        <v/>
      </c>
    </row>
    <row r="2300" spans="1:1" x14ac:dyDescent="0.25">
      <c r="A2300" t="str" cm="1">
        <f t="array" ref="A2300">IF(INDEX(CUEs!$A:$A,INT((ROW()-1)/7)*57+MOD(ROW()-1,7)+50)&lt;&gt;"","set "&amp;INDEX(CUEs!$A:$A,INT((ROW()-1)/7)*57+MOD(ROW()-1,7)+50)&amp;"=/ s "&amp;INDEX(CUEs!$B:$B,INT((ROW()-1)/7)*57+MOD(ROW()-1,7)+50),"")</f>
        <v/>
      </c>
    </row>
    <row r="2301" spans="1:1" x14ac:dyDescent="0.25">
      <c r="A2301" t="str" cm="1">
        <f t="array" ref="A2301">IF(INDEX(CUEs!$A:$A,INT((ROW()-1)/7)*57+MOD(ROW()-1,7)+50)&lt;&gt;"","set "&amp;INDEX(CUEs!$A:$A,INT((ROW()-1)/7)*57+MOD(ROW()-1,7)+50)&amp;"=/ s "&amp;INDEX(CUEs!$B:$B,INT((ROW()-1)/7)*57+MOD(ROW()-1,7)+50),"")</f>
        <v/>
      </c>
    </row>
    <row r="2302" spans="1:1" x14ac:dyDescent="0.25">
      <c r="A2302" t="str" cm="1">
        <f t="array" ref="A2302">IF(INDEX(CUEs!$A:$A,INT((ROW()-1)/7)*57+MOD(ROW()-1,7)+50)&lt;&gt;"","set "&amp;INDEX(CUEs!$A:$A,INT((ROW()-1)/7)*57+MOD(ROW()-1,7)+50)&amp;"=/ s "&amp;INDEX(CUEs!$B:$B,INT((ROW()-1)/7)*57+MOD(ROW()-1,7)+50),"")</f>
        <v/>
      </c>
    </row>
    <row r="2303" spans="1:1" x14ac:dyDescent="0.25">
      <c r="A2303" t="str" cm="1">
        <f t="array" ref="A2303">IF(INDEX(CUEs!$A:$A,INT((ROW()-1)/7)*57+MOD(ROW()-1,7)+50)&lt;&gt;"","set "&amp;INDEX(CUEs!$A:$A,INT((ROW()-1)/7)*57+MOD(ROW()-1,7)+50)&amp;"=/ s "&amp;INDEX(CUEs!$B:$B,INT((ROW()-1)/7)*57+MOD(ROW()-1,7)+50),"")</f>
        <v/>
      </c>
    </row>
    <row r="2304" spans="1:1" x14ac:dyDescent="0.25">
      <c r="A2304" t="str" cm="1">
        <f t="array" ref="A2304">IF(INDEX(CUEs!$A:$A,INT((ROW()-1)/7)*57+MOD(ROW()-1,7)+50)&lt;&gt;"","set "&amp;INDEX(CUEs!$A:$A,INT((ROW()-1)/7)*57+MOD(ROW()-1,7)+50)&amp;"=/ s "&amp;INDEX(CUEs!$B:$B,INT((ROW()-1)/7)*57+MOD(ROW()-1,7)+50),"")</f>
        <v/>
      </c>
    </row>
    <row r="2305" spans="1:1" x14ac:dyDescent="0.25">
      <c r="A2305" t="str" cm="1">
        <f t="array" ref="A2305">IF(INDEX(CUEs!$A:$A,INT((ROW()-1)/7)*57+MOD(ROW()-1,7)+50)&lt;&gt;"","set "&amp;INDEX(CUEs!$A:$A,INT((ROW()-1)/7)*57+MOD(ROW()-1,7)+50)&amp;"=/ s "&amp;INDEX(CUEs!$B:$B,INT((ROW()-1)/7)*57+MOD(ROW()-1,7)+50),"")</f>
        <v/>
      </c>
    </row>
    <row r="2306" spans="1:1" x14ac:dyDescent="0.25">
      <c r="A2306" t="str" cm="1">
        <f t="array" ref="A2306">IF(INDEX(CUEs!$A:$A,INT((ROW()-1)/7)*57+MOD(ROW()-1,7)+50)&lt;&gt;"","set "&amp;INDEX(CUEs!$A:$A,INT((ROW()-1)/7)*57+MOD(ROW()-1,7)+50)&amp;"=/ s "&amp;INDEX(CUEs!$B:$B,INT((ROW()-1)/7)*57+MOD(ROW()-1,7)+50),"")</f>
        <v/>
      </c>
    </row>
    <row r="2307" spans="1:1" x14ac:dyDescent="0.25">
      <c r="A2307" t="str" cm="1">
        <f t="array" ref="A2307">IF(INDEX(CUEs!$A:$A,INT((ROW()-1)/7)*57+MOD(ROW()-1,7)+50)&lt;&gt;"","set "&amp;INDEX(CUEs!$A:$A,INT((ROW()-1)/7)*57+MOD(ROW()-1,7)+50)&amp;"=/ s "&amp;INDEX(CUEs!$B:$B,INT((ROW()-1)/7)*57+MOD(ROW()-1,7)+50),"")</f>
        <v/>
      </c>
    </row>
    <row r="2308" spans="1:1" x14ac:dyDescent="0.25">
      <c r="A2308" t="str" cm="1">
        <f t="array" ref="A2308">IF(INDEX(CUEs!$A:$A,INT((ROW()-1)/7)*57+MOD(ROW()-1,7)+50)&lt;&gt;"","set "&amp;INDEX(CUEs!$A:$A,INT((ROW()-1)/7)*57+MOD(ROW()-1,7)+50)&amp;"=/ s "&amp;INDEX(CUEs!$B:$B,INT((ROW()-1)/7)*57+MOD(ROW()-1,7)+50),"")</f>
        <v/>
      </c>
    </row>
    <row r="2309" spans="1:1" x14ac:dyDescent="0.25">
      <c r="A2309" t="str" cm="1">
        <f t="array" ref="A2309">IF(INDEX(CUEs!$A:$A,INT((ROW()-1)/7)*57+MOD(ROW()-1,7)+50)&lt;&gt;"","set "&amp;INDEX(CUEs!$A:$A,INT((ROW()-1)/7)*57+MOD(ROW()-1,7)+50)&amp;"=/ s "&amp;INDEX(CUEs!$B:$B,INT((ROW()-1)/7)*57+MOD(ROW()-1,7)+50),"")</f>
        <v/>
      </c>
    </row>
    <row r="2310" spans="1:1" x14ac:dyDescent="0.25">
      <c r="A2310" t="str" cm="1">
        <f t="array" ref="A2310">IF(INDEX(CUEs!$A:$A,INT((ROW()-1)/7)*57+MOD(ROW()-1,7)+50)&lt;&gt;"","set "&amp;INDEX(CUEs!$A:$A,INT((ROW()-1)/7)*57+MOD(ROW()-1,7)+50)&amp;"=/ s "&amp;INDEX(CUEs!$B:$B,INT((ROW()-1)/7)*57+MOD(ROW()-1,7)+50),"")</f>
        <v/>
      </c>
    </row>
    <row r="2311" spans="1:1" x14ac:dyDescent="0.25">
      <c r="A2311" t="str" cm="1">
        <f t="array" ref="A2311">IF(INDEX(CUEs!$A:$A,INT((ROW()-1)/7)*57+MOD(ROW()-1,7)+50)&lt;&gt;"","set "&amp;INDEX(CUEs!$A:$A,INT((ROW()-1)/7)*57+MOD(ROW()-1,7)+50)&amp;"=/ s "&amp;INDEX(CUEs!$B:$B,INT((ROW()-1)/7)*57+MOD(ROW()-1,7)+50),"")</f>
        <v/>
      </c>
    </row>
    <row r="2312" spans="1:1" x14ac:dyDescent="0.25">
      <c r="A2312" t="str" cm="1">
        <f t="array" ref="A2312">IF(INDEX(CUEs!$A:$A,INT((ROW()-1)/7)*57+MOD(ROW()-1,7)+50)&lt;&gt;"","set "&amp;INDEX(CUEs!$A:$A,INT((ROW()-1)/7)*57+MOD(ROW()-1,7)+50)&amp;"=/ s "&amp;INDEX(CUEs!$B:$B,INT((ROW()-1)/7)*57+MOD(ROW()-1,7)+50),"")</f>
        <v/>
      </c>
    </row>
    <row r="2313" spans="1:1" x14ac:dyDescent="0.25">
      <c r="A2313" t="str" cm="1">
        <f t="array" ref="A2313">IF(INDEX(CUEs!$A:$A,INT((ROW()-1)/7)*57+MOD(ROW()-1,7)+50)&lt;&gt;"","set "&amp;INDEX(CUEs!$A:$A,INT((ROW()-1)/7)*57+MOD(ROW()-1,7)+50)&amp;"=/ s "&amp;INDEX(CUEs!$B:$B,INT((ROW()-1)/7)*57+MOD(ROW()-1,7)+50),"")</f>
        <v/>
      </c>
    </row>
    <row r="2314" spans="1:1" x14ac:dyDescent="0.25">
      <c r="A2314" t="str" cm="1">
        <f t="array" ref="A2314">IF(INDEX(CUEs!$A:$A,INT((ROW()-1)/7)*57+MOD(ROW()-1,7)+50)&lt;&gt;"","set "&amp;INDEX(CUEs!$A:$A,INT((ROW()-1)/7)*57+MOD(ROW()-1,7)+50)&amp;"=/ s "&amp;INDEX(CUEs!$B:$B,INT((ROW()-1)/7)*57+MOD(ROW()-1,7)+50),"")</f>
        <v/>
      </c>
    </row>
    <row r="2315" spans="1:1" x14ac:dyDescent="0.25">
      <c r="A2315" t="str" cm="1">
        <f t="array" ref="A2315">IF(INDEX(CUEs!$A:$A,INT((ROW()-1)/7)*57+MOD(ROW()-1,7)+50)&lt;&gt;"","set "&amp;INDEX(CUEs!$A:$A,INT((ROW()-1)/7)*57+MOD(ROW()-1,7)+50)&amp;"=/ s "&amp;INDEX(CUEs!$B:$B,INT((ROW()-1)/7)*57+MOD(ROW()-1,7)+50),"")</f>
        <v/>
      </c>
    </row>
    <row r="2316" spans="1:1" x14ac:dyDescent="0.25">
      <c r="A2316" t="str" cm="1">
        <f t="array" ref="A2316">IF(INDEX(CUEs!$A:$A,INT((ROW()-1)/7)*57+MOD(ROW()-1,7)+50)&lt;&gt;"","set "&amp;INDEX(CUEs!$A:$A,INT((ROW()-1)/7)*57+MOD(ROW()-1,7)+50)&amp;"=/ s "&amp;INDEX(CUEs!$B:$B,INT((ROW()-1)/7)*57+MOD(ROW()-1,7)+50),"")</f>
        <v/>
      </c>
    </row>
    <row r="2317" spans="1:1" x14ac:dyDescent="0.25">
      <c r="A2317" t="str" cm="1">
        <f t="array" ref="A2317">IF(INDEX(CUEs!$A:$A,INT((ROW()-1)/7)*57+MOD(ROW()-1,7)+50)&lt;&gt;"","set "&amp;INDEX(CUEs!$A:$A,INT((ROW()-1)/7)*57+MOD(ROW()-1,7)+50)&amp;"=/ s "&amp;INDEX(CUEs!$B:$B,INT((ROW()-1)/7)*57+MOD(ROW()-1,7)+50),"")</f>
        <v/>
      </c>
    </row>
    <row r="2318" spans="1:1" x14ac:dyDescent="0.25">
      <c r="A2318" t="str" cm="1">
        <f t="array" ref="A2318">IF(INDEX(CUEs!$A:$A,INT((ROW()-1)/7)*57+MOD(ROW()-1,7)+50)&lt;&gt;"","set "&amp;INDEX(CUEs!$A:$A,INT((ROW()-1)/7)*57+MOD(ROW()-1,7)+50)&amp;"=/ s "&amp;INDEX(CUEs!$B:$B,INT((ROW()-1)/7)*57+MOD(ROW()-1,7)+50),"")</f>
        <v/>
      </c>
    </row>
    <row r="2319" spans="1:1" x14ac:dyDescent="0.25">
      <c r="A2319" t="str" cm="1">
        <f t="array" ref="A2319">IF(INDEX(CUEs!$A:$A,INT((ROW()-1)/7)*57+MOD(ROW()-1,7)+50)&lt;&gt;"","set "&amp;INDEX(CUEs!$A:$A,INT((ROW()-1)/7)*57+MOD(ROW()-1,7)+50)&amp;"=/ s "&amp;INDEX(CUEs!$B:$B,INT((ROW()-1)/7)*57+MOD(ROW()-1,7)+50),"")</f>
        <v/>
      </c>
    </row>
    <row r="2320" spans="1:1" x14ac:dyDescent="0.25">
      <c r="A2320" t="str" cm="1">
        <f t="array" ref="A2320">IF(INDEX(CUEs!$A:$A,INT((ROW()-1)/7)*57+MOD(ROW()-1,7)+50)&lt;&gt;"","set "&amp;INDEX(CUEs!$A:$A,INT((ROW()-1)/7)*57+MOD(ROW()-1,7)+50)&amp;"=/ s "&amp;INDEX(CUEs!$B:$B,INT((ROW()-1)/7)*57+MOD(ROW()-1,7)+50),"")</f>
        <v/>
      </c>
    </row>
    <row r="2321" spans="1:1" x14ac:dyDescent="0.25">
      <c r="A2321" t="str" cm="1">
        <f t="array" ref="A2321">IF(INDEX(CUEs!$A:$A,INT((ROW()-1)/7)*57+MOD(ROW()-1,7)+50)&lt;&gt;"","set "&amp;INDEX(CUEs!$A:$A,INT((ROW()-1)/7)*57+MOD(ROW()-1,7)+50)&amp;"=/ s "&amp;INDEX(CUEs!$B:$B,INT((ROW()-1)/7)*57+MOD(ROW()-1,7)+50),"")</f>
        <v/>
      </c>
    </row>
    <row r="2322" spans="1:1" x14ac:dyDescent="0.25">
      <c r="A2322" t="str" cm="1">
        <f t="array" ref="A2322">IF(INDEX(CUEs!$A:$A,INT((ROW()-1)/7)*57+MOD(ROW()-1,7)+50)&lt;&gt;"","set "&amp;INDEX(CUEs!$A:$A,INT((ROW()-1)/7)*57+MOD(ROW()-1,7)+50)&amp;"=/ s "&amp;INDEX(CUEs!$B:$B,INT((ROW()-1)/7)*57+MOD(ROW()-1,7)+50),"")</f>
        <v/>
      </c>
    </row>
    <row r="2323" spans="1:1" x14ac:dyDescent="0.25">
      <c r="A2323" t="str" cm="1">
        <f t="array" ref="A2323">IF(INDEX(CUEs!$A:$A,INT((ROW()-1)/7)*57+MOD(ROW()-1,7)+50)&lt;&gt;"","set "&amp;INDEX(CUEs!$A:$A,INT((ROW()-1)/7)*57+MOD(ROW()-1,7)+50)&amp;"=/ s "&amp;INDEX(CUEs!$B:$B,INT((ROW()-1)/7)*57+MOD(ROW()-1,7)+50),"")</f>
        <v/>
      </c>
    </row>
    <row r="2324" spans="1:1" x14ac:dyDescent="0.25">
      <c r="A2324" t="str" cm="1">
        <f t="array" ref="A2324">IF(INDEX(CUEs!$A:$A,INT((ROW()-1)/7)*57+MOD(ROW()-1,7)+50)&lt;&gt;"","set "&amp;INDEX(CUEs!$A:$A,INT((ROW()-1)/7)*57+MOD(ROW()-1,7)+50)&amp;"=/ s "&amp;INDEX(CUEs!$B:$B,INT((ROW()-1)/7)*57+MOD(ROW()-1,7)+50),"")</f>
        <v/>
      </c>
    </row>
    <row r="2325" spans="1:1" x14ac:dyDescent="0.25">
      <c r="A2325" t="str" cm="1">
        <f t="array" ref="A2325">IF(INDEX(CUEs!$A:$A,INT((ROW()-1)/7)*57+MOD(ROW()-1,7)+50)&lt;&gt;"","set "&amp;INDEX(CUEs!$A:$A,INT((ROW()-1)/7)*57+MOD(ROW()-1,7)+50)&amp;"=/ s "&amp;INDEX(CUEs!$B:$B,INT((ROW()-1)/7)*57+MOD(ROW()-1,7)+50),"")</f>
        <v/>
      </c>
    </row>
    <row r="2326" spans="1:1" x14ac:dyDescent="0.25">
      <c r="A2326" t="str" cm="1">
        <f t="array" ref="A2326">IF(INDEX(CUEs!$A:$A,INT((ROW()-1)/7)*57+MOD(ROW()-1,7)+50)&lt;&gt;"","set "&amp;INDEX(CUEs!$A:$A,INT((ROW()-1)/7)*57+MOD(ROW()-1,7)+50)&amp;"=/ s "&amp;INDEX(CUEs!$B:$B,INT((ROW()-1)/7)*57+MOD(ROW()-1,7)+50),"")</f>
        <v/>
      </c>
    </row>
    <row r="2327" spans="1:1" x14ac:dyDescent="0.25">
      <c r="A2327" t="str" cm="1">
        <f t="array" ref="A2327">IF(INDEX(CUEs!$A:$A,INT((ROW()-1)/7)*57+MOD(ROW()-1,7)+50)&lt;&gt;"","set "&amp;INDEX(CUEs!$A:$A,INT((ROW()-1)/7)*57+MOD(ROW()-1,7)+50)&amp;"=/ s "&amp;INDEX(CUEs!$B:$B,INT((ROW()-1)/7)*57+MOD(ROW()-1,7)+50),"")</f>
        <v/>
      </c>
    </row>
    <row r="2328" spans="1:1" x14ac:dyDescent="0.25">
      <c r="A2328" t="str" cm="1">
        <f t="array" ref="A2328">IF(INDEX(CUEs!$A:$A,INT((ROW()-1)/7)*57+MOD(ROW()-1,7)+50)&lt;&gt;"","set "&amp;INDEX(CUEs!$A:$A,INT((ROW()-1)/7)*57+MOD(ROW()-1,7)+50)&amp;"=/ s "&amp;INDEX(CUEs!$B:$B,INT((ROW()-1)/7)*57+MOD(ROW()-1,7)+50),"")</f>
        <v/>
      </c>
    </row>
    <row r="2329" spans="1:1" x14ac:dyDescent="0.25">
      <c r="A2329" t="str" cm="1">
        <f t="array" ref="A2329">IF(INDEX(CUEs!$A:$A,INT((ROW()-1)/7)*57+MOD(ROW()-1,7)+50)&lt;&gt;"","set "&amp;INDEX(CUEs!$A:$A,INT((ROW()-1)/7)*57+MOD(ROW()-1,7)+50)&amp;"=/ s "&amp;INDEX(CUEs!$B:$B,INT((ROW()-1)/7)*57+MOD(ROW()-1,7)+50),"")</f>
        <v/>
      </c>
    </row>
    <row r="2330" spans="1:1" x14ac:dyDescent="0.25">
      <c r="A2330" t="str" cm="1">
        <f t="array" ref="A2330">IF(INDEX(CUEs!$A:$A,INT((ROW()-1)/7)*57+MOD(ROW()-1,7)+50)&lt;&gt;"","set "&amp;INDEX(CUEs!$A:$A,INT((ROW()-1)/7)*57+MOD(ROW()-1,7)+50)&amp;"=/ s "&amp;INDEX(CUEs!$B:$B,INT((ROW()-1)/7)*57+MOD(ROW()-1,7)+50),"")</f>
        <v/>
      </c>
    </row>
    <row r="2331" spans="1:1" x14ac:dyDescent="0.25">
      <c r="A2331" t="str" cm="1">
        <f t="array" ref="A2331">IF(INDEX(CUEs!$A:$A,INT((ROW()-1)/7)*57+MOD(ROW()-1,7)+50)&lt;&gt;"","set "&amp;INDEX(CUEs!$A:$A,INT((ROW()-1)/7)*57+MOD(ROW()-1,7)+50)&amp;"=/ s "&amp;INDEX(CUEs!$B:$B,INT((ROW()-1)/7)*57+MOD(ROW()-1,7)+50),"")</f>
        <v/>
      </c>
    </row>
    <row r="2332" spans="1:1" x14ac:dyDescent="0.25">
      <c r="A2332" t="str" cm="1">
        <f t="array" ref="A2332">IF(INDEX(CUEs!$A:$A,INT((ROW()-1)/7)*57+MOD(ROW()-1,7)+50)&lt;&gt;"","set "&amp;INDEX(CUEs!$A:$A,INT((ROW()-1)/7)*57+MOD(ROW()-1,7)+50)&amp;"=/ s "&amp;INDEX(CUEs!$B:$B,INT((ROW()-1)/7)*57+MOD(ROW()-1,7)+50),"")</f>
        <v/>
      </c>
    </row>
    <row r="2333" spans="1:1" x14ac:dyDescent="0.25">
      <c r="A2333" t="str" cm="1">
        <f t="array" ref="A2333">IF(INDEX(CUEs!$A:$A,INT((ROW()-1)/7)*57+MOD(ROW()-1,7)+50)&lt;&gt;"","set "&amp;INDEX(CUEs!$A:$A,INT((ROW()-1)/7)*57+MOD(ROW()-1,7)+50)&amp;"=/ s "&amp;INDEX(CUEs!$B:$B,INT((ROW()-1)/7)*57+MOD(ROW()-1,7)+50),"")</f>
        <v/>
      </c>
    </row>
    <row r="2334" spans="1:1" x14ac:dyDescent="0.25">
      <c r="A2334" t="str" cm="1">
        <f t="array" ref="A2334">IF(INDEX(CUEs!$A:$A,INT((ROW()-1)/7)*57+MOD(ROW()-1,7)+50)&lt;&gt;"","set "&amp;INDEX(CUEs!$A:$A,INT((ROW()-1)/7)*57+MOD(ROW()-1,7)+50)&amp;"=/ s "&amp;INDEX(CUEs!$B:$B,INT((ROW()-1)/7)*57+MOD(ROW()-1,7)+50),"")</f>
        <v/>
      </c>
    </row>
    <row r="2335" spans="1:1" x14ac:dyDescent="0.25">
      <c r="A2335" t="str" cm="1">
        <f t="array" ref="A2335">IF(INDEX(CUEs!$A:$A,INT((ROW()-1)/7)*57+MOD(ROW()-1,7)+50)&lt;&gt;"","set "&amp;INDEX(CUEs!$A:$A,INT((ROW()-1)/7)*57+MOD(ROW()-1,7)+50)&amp;"=/ s "&amp;INDEX(CUEs!$B:$B,INT((ROW()-1)/7)*57+MOD(ROW()-1,7)+50),"")</f>
        <v/>
      </c>
    </row>
    <row r="2336" spans="1:1" x14ac:dyDescent="0.25">
      <c r="A2336" t="str" cm="1">
        <f t="array" ref="A2336">IF(INDEX(CUEs!$A:$A,INT((ROW()-1)/7)*57+MOD(ROW()-1,7)+50)&lt;&gt;"","set "&amp;INDEX(CUEs!$A:$A,INT((ROW()-1)/7)*57+MOD(ROW()-1,7)+50)&amp;"=/ s "&amp;INDEX(CUEs!$B:$B,INT((ROW()-1)/7)*57+MOD(ROW()-1,7)+50),"")</f>
        <v/>
      </c>
    </row>
    <row r="2337" spans="1:1" x14ac:dyDescent="0.25">
      <c r="A2337" t="str" cm="1">
        <f t="array" ref="A2337">IF(INDEX(CUEs!$A:$A,INT((ROW()-1)/7)*57+MOD(ROW()-1,7)+50)&lt;&gt;"","set "&amp;INDEX(CUEs!$A:$A,INT((ROW()-1)/7)*57+MOD(ROW()-1,7)+50)&amp;"=/ s "&amp;INDEX(CUEs!$B:$B,INT((ROW()-1)/7)*57+MOD(ROW()-1,7)+50),"")</f>
        <v/>
      </c>
    </row>
    <row r="2338" spans="1:1" x14ac:dyDescent="0.25">
      <c r="A2338" t="str" cm="1">
        <f t="array" ref="A2338">IF(INDEX(CUEs!$A:$A,INT((ROW()-1)/7)*57+MOD(ROW()-1,7)+50)&lt;&gt;"","set "&amp;INDEX(CUEs!$A:$A,INT((ROW()-1)/7)*57+MOD(ROW()-1,7)+50)&amp;"=/ s "&amp;INDEX(CUEs!$B:$B,INT((ROW()-1)/7)*57+MOD(ROW()-1,7)+50),"")</f>
        <v/>
      </c>
    </row>
    <row r="2339" spans="1:1" x14ac:dyDescent="0.25">
      <c r="A2339" t="str" cm="1">
        <f t="array" ref="A2339">IF(INDEX(CUEs!$A:$A,INT((ROW()-1)/7)*57+MOD(ROW()-1,7)+50)&lt;&gt;"","set "&amp;INDEX(CUEs!$A:$A,INT((ROW()-1)/7)*57+MOD(ROW()-1,7)+50)&amp;"=/ s "&amp;INDEX(CUEs!$B:$B,INT((ROW()-1)/7)*57+MOD(ROW()-1,7)+50),"")</f>
        <v/>
      </c>
    </row>
    <row r="2340" spans="1:1" x14ac:dyDescent="0.25">
      <c r="A2340" t="str" cm="1">
        <f t="array" ref="A2340">IF(INDEX(CUEs!$A:$A,INT((ROW()-1)/7)*57+MOD(ROW()-1,7)+50)&lt;&gt;"","set "&amp;INDEX(CUEs!$A:$A,INT((ROW()-1)/7)*57+MOD(ROW()-1,7)+50)&amp;"=/ s "&amp;INDEX(CUEs!$B:$B,INT((ROW()-1)/7)*57+MOD(ROW()-1,7)+50),"")</f>
        <v/>
      </c>
    </row>
    <row r="2341" spans="1:1" x14ac:dyDescent="0.25">
      <c r="A2341" t="str" cm="1">
        <f t="array" ref="A2341">IF(INDEX(CUEs!$A:$A,INT((ROW()-1)/7)*57+MOD(ROW()-1,7)+50)&lt;&gt;"","set "&amp;INDEX(CUEs!$A:$A,INT((ROW()-1)/7)*57+MOD(ROW()-1,7)+50)&amp;"=/ s "&amp;INDEX(CUEs!$B:$B,INT((ROW()-1)/7)*57+MOD(ROW()-1,7)+50),"")</f>
        <v/>
      </c>
    </row>
    <row r="2342" spans="1:1" x14ac:dyDescent="0.25">
      <c r="A2342" t="str" cm="1">
        <f t="array" ref="A2342">IF(INDEX(CUEs!$A:$A,INT((ROW()-1)/7)*57+MOD(ROW()-1,7)+50)&lt;&gt;"","set "&amp;INDEX(CUEs!$A:$A,INT((ROW()-1)/7)*57+MOD(ROW()-1,7)+50)&amp;"=/ s "&amp;INDEX(CUEs!$B:$B,INT((ROW()-1)/7)*57+MOD(ROW()-1,7)+50),"")</f>
        <v/>
      </c>
    </row>
    <row r="2343" spans="1:1" x14ac:dyDescent="0.25">
      <c r="A2343" t="str" cm="1">
        <f t="array" ref="A2343">IF(INDEX(CUEs!$A:$A,INT((ROW()-1)/7)*57+MOD(ROW()-1,7)+50)&lt;&gt;"","set "&amp;INDEX(CUEs!$A:$A,INT((ROW()-1)/7)*57+MOD(ROW()-1,7)+50)&amp;"=/ s "&amp;INDEX(CUEs!$B:$B,INT((ROW()-1)/7)*57+MOD(ROW()-1,7)+50),"")</f>
        <v/>
      </c>
    </row>
    <row r="2344" spans="1:1" x14ac:dyDescent="0.25">
      <c r="A2344" t="str" cm="1">
        <f t="array" ref="A2344">IF(INDEX(CUEs!$A:$A,INT((ROW()-1)/7)*57+MOD(ROW()-1,7)+50)&lt;&gt;"","set "&amp;INDEX(CUEs!$A:$A,INT((ROW()-1)/7)*57+MOD(ROW()-1,7)+50)&amp;"=/ s "&amp;INDEX(CUEs!$B:$B,INT((ROW()-1)/7)*57+MOD(ROW()-1,7)+50),"")</f>
        <v/>
      </c>
    </row>
    <row r="2345" spans="1:1" x14ac:dyDescent="0.25">
      <c r="A2345" t="str" cm="1">
        <f t="array" ref="A2345">IF(INDEX(CUEs!$A:$A,INT((ROW()-1)/7)*57+MOD(ROW()-1,7)+50)&lt;&gt;"","set "&amp;INDEX(CUEs!$A:$A,INT((ROW()-1)/7)*57+MOD(ROW()-1,7)+50)&amp;"=/ s "&amp;INDEX(CUEs!$B:$B,INT((ROW()-1)/7)*57+MOD(ROW()-1,7)+50),"")</f>
        <v/>
      </c>
    </row>
    <row r="2346" spans="1:1" x14ac:dyDescent="0.25">
      <c r="A2346" t="str" cm="1">
        <f t="array" ref="A2346">IF(INDEX(CUEs!$A:$A,INT((ROW()-1)/7)*57+MOD(ROW()-1,7)+50)&lt;&gt;"","set "&amp;INDEX(CUEs!$A:$A,INT((ROW()-1)/7)*57+MOD(ROW()-1,7)+50)&amp;"=/ s "&amp;INDEX(CUEs!$B:$B,INT((ROW()-1)/7)*57+MOD(ROW()-1,7)+50),"")</f>
        <v/>
      </c>
    </row>
    <row r="2347" spans="1:1" x14ac:dyDescent="0.25">
      <c r="A2347" t="str" cm="1">
        <f t="array" ref="A2347">IF(INDEX(CUEs!$A:$A,INT((ROW()-1)/7)*57+MOD(ROW()-1,7)+50)&lt;&gt;"","set "&amp;INDEX(CUEs!$A:$A,INT((ROW()-1)/7)*57+MOD(ROW()-1,7)+50)&amp;"=/ s "&amp;INDEX(CUEs!$B:$B,INT((ROW()-1)/7)*57+MOD(ROW()-1,7)+50),"")</f>
        <v/>
      </c>
    </row>
    <row r="2348" spans="1:1" x14ac:dyDescent="0.25">
      <c r="A2348" t="str" cm="1">
        <f t="array" ref="A2348">IF(INDEX(CUEs!$A:$A,INT((ROW()-1)/7)*57+MOD(ROW()-1,7)+50)&lt;&gt;"","set "&amp;INDEX(CUEs!$A:$A,INT((ROW()-1)/7)*57+MOD(ROW()-1,7)+50)&amp;"=/ s "&amp;INDEX(CUEs!$B:$B,INT((ROW()-1)/7)*57+MOD(ROW()-1,7)+50),"")</f>
        <v/>
      </c>
    </row>
    <row r="2349" spans="1:1" x14ac:dyDescent="0.25">
      <c r="A2349" t="str" cm="1">
        <f t="array" ref="A2349">IF(INDEX(CUEs!$A:$A,INT((ROW()-1)/7)*57+MOD(ROW()-1,7)+50)&lt;&gt;"","set "&amp;INDEX(CUEs!$A:$A,INT((ROW()-1)/7)*57+MOD(ROW()-1,7)+50)&amp;"=/ s "&amp;INDEX(CUEs!$B:$B,INT((ROW()-1)/7)*57+MOD(ROW()-1,7)+50),"")</f>
        <v/>
      </c>
    </row>
    <row r="2350" spans="1:1" x14ac:dyDescent="0.25">
      <c r="A2350" t="str" cm="1">
        <f t="array" ref="A2350">IF(INDEX(CUEs!$A:$A,INT((ROW()-1)/7)*57+MOD(ROW()-1,7)+50)&lt;&gt;"","set "&amp;INDEX(CUEs!$A:$A,INT((ROW()-1)/7)*57+MOD(ROW()-1,7)+50)&amp;"=/ s "&amp;INDEX(CUEs!$B:$B,INT((ROW()-1)/7)*57+MOD(ROW()-1,7)+50),"")</f>
        <v/>
      </c>
    </row>
    <row r="2351" spans="1:1" x14ac:dyDescent="0.25">
      <c r="A2351" t="str" cm="1">
        <f t="array" ref="A2351">IF(INDEX(CUEs!$A:$A,INT((ROW()-1)/7)*57+MOD(ROW()-1,7)+50)&lt;&gt;"","set "&amp;INDEX(CUEs!$A:$A,INT((ROW()-1)/7)*57+MOD(ROW()-1,7)+50)&amp;"=/ s "&amp;INDEX(CUEs!$B:$B,INT((ROW()-1)/7)*57+MOD(ROW()-1,7)+50),"")</f>
        <v/>
      </c>
    </row>
    <row r="2352" spans="1:1" x14ac:dyDescent="0.25">
      <c r="A2352" t="str" cm="1">
        <f t="array" ref="A2352">IF(INDEX(CUEs!$A:$A,INT((ROW()-1)/7)*57+MOD(ROW()-1,7)+50)&lt;&gt;"","set "&amp;INDEX(CUEs!$A:$A,INT((ROW()-1)/7)*57+MOD(ROW()-1,7)+50)&amp;"=/ s "&amp;INDEX(CUEs!$B:$B,INT((ROW()-1)/7)*57+MOD(ROW()-1,7)+50),"")</f>
        <v/>
      </c>
    </row>
    <row r="2353" spans="1:1" x14ac:dyDescent="0.25">
      <c r="A2353" t="str" cm="1">
        <f t="array" ref="A2353">IF(INDEX(CUEs!$A:$A,INT((ROW()-1)/7)*57+MOD(ROW()-1,7)+50)&lt;&gt;"","set "&amp;INDEX(CUEs!$A:$A,INT((ROW()-1)/7)*57+MOD(ROW()-1,7)+50)&amp;"=/ s "&amp;INDEX(CUEs!$B:$B,INT((ROW()-1)/7)*57+MOD(ROW()-1,7)+50),"")</f>
        <v/>
      </c>
    </row>
    <row r="2354" spans="1:1" x14ac:dyDescent="0.25">
      <c r="A2354" t="str" cm="1">
        <f t="array" ref="A2354">IF(INDEX(CUEs!$A:$A,INT((ROW()-1)/7)*57+MOD(ROW()-1,7)+50)&lt;&gt;"","set "&amp;INDEX(CUEs!$A:$A,INT((ROW()-1)/7)*57+MOD(ROW()-1,7)+50)&amp;"=/ s "&amp;INDEX(CUEs!$B:$B,INT((ROW()-1)/7)*57+MOD(ROW()-1,7)+50),"")</f>
        <v/>
      </c>
    </row>
    <row r="2355" spans="1:1" x14ac:dyDescent="0.25">
      <c r="A2355" t="str" cm="1">
        <f t="array" ref="A2355">IF(INDEX(CUEs!$A:$A,INT((ROW()-1)/7)*57+MOD(ROW()-1,7)+50)&lt;&gt;"","set "&amp;INDEX(CUEs!$A:$A,INT((ROW()-1)/7)*57+MOD(ROW()-1,7)+50)&amp;"=/ s "&amp;INDEX(CUEs!$B:$B,INT((ROW()-1)/7)*57+MOD(ROW()-1,7)+50),"")</f>
        <v/>
      </c>
    </row>
    <row r="2356" spans="1:1" x14ac:dyDescent="0.25">
      <c r="A2356" t="str" cm="1">
        <f t="array" ref="A2356">IF(INDEX(CUEs!$A:$A,INT((ROW()-1)/7)*57+MOD(ROW()-1,7)+50)&lt;&gt;"","set "&amp;INDEX(CUEs!$A:$A,INT((ROW()-1)/7)*57+MOD(ROW()-1,7)+50)&amp;"=/ s "&amp;INDEX(CUEs!$B:$B,INT((ROW()-1)/7)*57+MOD(ROW()-1,7)+50),"")</f>
        <v/>
      </c>
    </row>
    <row r="2357" spans="1:1" x14ac:dyDescent="0.25">
      <c r="A2357" t="str" cm="1">
        <f t="array" ref="A2357">IF(INDEX(CUEs!$A:$A,INT((ROW()-1)/7)*57+MOD(ROW()-1,7)+50)&lt;&gt;"","set "&amp;INDEX(CUEs!$A:$A,INT((ROW()-1)/7)*57+MOD(ROW()-1,7)+50)&amp;"=/ s "&amp;INDEX(CUEs!$B:$B,INT((ROW()-1)/7)*57+MOD(ROW()-1,7)+50),"")</f>
        <v/>
      </c>
    </row>
    <row r="2358" spans="1:1" x14ac:dyDescent="0.25">
      <c r="A2358" t="str" cm="1">
        <f t="array" ref="A2358">IF(INDEX(CUEs!$A:$A,INT((ROW()-1)/7)*57+MOD(ROW()-1,7)+50)&lt;&gt;"","set "&amp;INDEX(CUEs!$A:$A,INT((ROW()-1)/7)*57+MOD(ROW()-1,7)+50)&amp;"=/ s "&amp;INDEX(CUEs!$B:$B,INT((ROW()-1)/7)*57+MOD(ROW()-1,7)+50),"")</f>
        <v/>
      </c>
    </row>
    <row r="2359" spans="1:1" x14ac:dyDescent="0.25">
      <c r="A2359" t="str" cm="1">
        <f t="array" ref="A2359">IF(INDEX(CUEs!$A:$A,INT((ROW()-1)/7)*57+MOD(ROW()-1,7)+50)&lt;&gt;"","set "&amp;INDEX(CUEs!$A:$A,INT((ROW()-1)/7)*57+MOD(ROW()-1,7)+50)&amp;"=/ s "&amp;INDEX(CUEs!$B:$B,INT((ROW()-1)/7)*57+MOD(ROW()-1,7)+50),"")</f>
        <v/>
      </c>
    </row>
    <row r="2360" spans="1:1" x14ac:dyDescent="0.25">
      <c r="A2360" t="str" cm="1">
        <f t="array" ref="A2360">IF(INDEX(CUEs!$A:$A,INT((ROW()-1)/7)*57+MOD(ROW()-1,7)+50)&lt;&gt;"","set "&amp;INDEX(CUEs!$A:$A,INT((ROW()-1)/7)*57+MOD(ROW()-1,7)+50)&amp;"=/ s "&amp;INDEX(CUEs!$B:$B,INT((ROW()-1)/7)*57+MOD(ROW()-1,7)+50),"")</f>
        <v/>
      </c>
    </row>
    <row r="2361" spans="1:1" x14ac:dyDescent="0.25">
      <c r="A2361" t="str" cm="1">
        <f t="array" ref="A2361">IF(INDEX(CUEs!$A:$A,INT((ROW()-1)/7)*57+MOD(ROW()-1,7)+50)&lt;&gt;"","set "&amp;INDEX(CUEs!$A:$A,INT((ROW()-1)/7)*57+MOD(ROW()-1,7)+50)&amp;"=/ s "&amp;INDEX(CUEs!$B:$B,INT((ROW()-1)/7)*57+MOD(ROW()-1,7)+50),"")</f>
        <v/>
      </c>
    </row>
    <row r="2362" spans="1:1" x14ac:dyDescent="0.25">
      <c r="A2362" t="str" cm="1">
        <f t="array" ref="A2362">IF(INDEX(CUEs!$A:$A,INT((ROW()-1)/7)*57+MOD(ROW()-1,7)+50)&lt;&gt;"","set "&amp;INDEX(CUEs!$A:$A,INT((ROW()-1)/7)*57+MOD(ROW()-1,7)+50)&amp;"=/ s "&amp;INDEX(CUEs!$B:$B,INT((ROW()-1)/7)*57+MOD(ROW()-1,7)+50),"")</f>
        <v/>
      </c>
    </row>
    <row r="2363" spans="1:1" x14ac:dyDescent="0.25">
      <c r="A2363" t="str" cm="1">
        <f t="array" ref="A2363">IF(INDEX(CUEs!$A:$A,INT((ROW()-1)/7)*57+MOD(ROW()-1,7)+50)&lt;&gt;"","set "&amp;INDEX(CUEs!$A:$A,INT((ROW()-1)/7)*57+MOD(ROW()-1,7)+50)&amp;"=/ s "&amp;INDEX(CUEs!$B:$B,INT((ROW()-1)/7)*57+MOD(ROW()-1,7)+50),"")</f>
        <v/>
      </c>
    </row>
    <row r="2364" spans="1:1" x14ac:dyDescent="0.25">
      <c r="A2364" t="str" cm="1">
        <f t="array" ref="A2364">IF(INDEX(CUEs!$A:$A,INT((ROW()-1)/7)*57+MOD(ROW()-1,7)+50)&lt;&gt;"","set "&amp;INDEX(CUEs!$A:$A,INT((ROW()-1)/7)*57+MOD(ROW()-1,7)+50)&amp;"=/ s "&amp;INDEX(CUEs!$B:$B,INT((ROW()-1)/7)*57+MOD(ROW()-1,7)+50),"")</f>
        <v/>
      </c>
    </row>
    <row r="2365" spans="1:1" x14ac:dyDescent="0.25">
      <c r="A2365" t="str" cm="1">
        <f t="array" ref="A2365">IF(INDEX(CUEs!$A:$A,INT((ROW()-1)/7)*57+MOD(ROW()-1,7)+50)&lt;&gt;"","set "&amp;INDEX(CUEs!$A:$A,INT((ROW()-1)/7)*57+MOD(ROW()-1,7)+50)&amp;"=/ s "&amp;INDEX(CUEs!$B:$B,INT((ROW()-1)/7)*57+MOD(ROW()-1,7)+50),"")</f>
        <v/>
      </c>
    </row>
    <row r="2366" spans="1:1" x14ac:dyDescent="0.25">
      <c r="A2366" t="str" cm="1">
        <f t="array" ref="A2366">IF(INDEX(CUEs!$A:$A,INT((ROW()-1)/7)*57+MOD(ROW()-1,7)+50)&lt;&gt;"","set "&amp;INDEX(CUEs!$A:$A,INT((ROW()-1)/7)*57+MOD(ROW()-1,7)+50)&amp;"=/ s "&amp;INDEX(CUEs!$B:$B,INT((ROW()-1)/7)*57+MOD(ROW()-1,7)+50),"")</f>
        <v/>
      </c>
    </row>
    <row r="2367" spans="1:1" x14ac:dyDescent="0.25">
      <c r="A2367" t="str" cm="1">
        <f t="array" ref="A2367">IF(INDEX(CUEs!$A:$A,INT((ROW()-1)/7)*57+MOD(ROW()-1,7)+50)&lt;&gt;"","set "&amp;INDEX(CUEs!$A:$A,INT((ROW()-1)/7)*57+MOD(ROW()-1,7)+50)&amp;"=/ s "&amp;INDEX(CUEs!$B:$B,INT((ROW()-1)/7)*57+MOD(ROW()-1,7)+50),"")</f>
        <v/>
      </c>
    </row>
    <row r="2368" spans="1:1" x14ac:dyDescent="0.25">
      <c r="A2368" t="str" cm="1">
        <f t="array" ref="A2368">IF(INDEX(CUEs!$A:$A,INT((ROW()-1)/7)*57+MOD(ROW()-1,7)+50)&lt;&gt;"","set "&amp;INDEX(CUEs!$A:$A,INT((ROW()-1)/7)*57+MOD(ROW()-1,7)+50)&amp;"=/ s "&amp;INDEX(CUEs!$B:$B,INT((ROW()-1)/7)*57+MOD(ROW()-1,7)+50),"")</f>
        <v/>
      </c>
    </row>
    <row r="2369" spans="1:1" x14ac:dyDescent="0.25">
      <c r="A2369" t="str" cm="1">
        <f t="array" ref="A2369">IF(INDEX(CUEs!$A:$A,INT((ROW()-1)/7)*57+MOD(ROW()-1,7)+50)&lt;&gt;"","set "&amp;INDEX(CUEs!$A:$A,INT((ROW()-1)/7)*57+MOD(ROW()-1,7)+50)&amp;"=/ s "&amp;INDEX(CUEs!$B:$B,INT((ROW()-1)/7)*57+MOD(ROW()-1,7)+50),"")</f>
        <v/>
      </c>
    </row>
    <row r="2370" spans="1:1" x14ac:dyDescent="0.25">
      <c r="A2370" t="str" cm="1">
        <f t="array" ref="A2370">IF(INDEX(CUEs!$A:$A,INT((ROW()-1)/7)*57+MOD(ROW()-1,7)+50)&lt;&gt;"","set "&amp;INDEX(CUEs!$A:$A,INT((ROW()-1)/7)*57+MOD(ROW()-1,7)+50)&amp;"=/ s "&amp;INDEX(CUEs!$B:$B,INT((ROW()-1)/7)*57+MOD(ROW()-1,7)+50),"")</f>
        <v/>
      </c>
    </row>
    <row r="2371" spans="1:1" x14ac:dyDescent="0.25">
      <c r="A2371" t="str" cm="1">
        <f t="array" ref="A2371">IF(INDEX(CUEs!$A:$A,INT((ROW()-1)/7)*57+MOD(ROW()-1,7)+50)&lt;&gt;"","set "&amp;INDEX(CUEs!$A:$A,INT((ROW()-1)/7)*57+MOD(ROW()-1,7)+50)&amp;"=/ s "&amp;INDEX(CUEs!$B:$B,INT((ROW()-1)/7)*57+MOD(ROW()-1,7)+50),"")</f>
        <v/>
      </c>
    </row>
    <row r="2372" spans="1:1" x14ac:dyDescent="0.25">
      <c r="A2372" t="str" cm="1">
        <f t="array" ref="A2372">IF(INDEX(CUEs!$A:$A,INT((ROW()-1)/7)*57+MOD(ROW()-1,7)+50)&lt;&gt;"","set "&amp;INDEX(CUEs!$A:$A,INT((ROW()-1)/7)*57+MOD(ROW()-1,7)+50)&amp;"=/ s "&amp;INDEX(CUEs!$B:$B,INT((ROW()-1)/7)*57+MOD(ROW()-1,7)+50),"")</f>
        <v/>
      </c>
    </row>
    <row r="2373" spans="1:1" x14ac:dyDescent="0.25">
      <c r="A2373" t="str" cm="1">
        <f t="array" ref="A2373">IF(INDEX(CUEs!$A:$A,INT((ROW()-1)/7)*57+MOD(ROW()-1,7)+50)&lt;&gt;"","set "&amp;INDEX(CUEs!$A:$A,INT((ROW()-1)/7)*57+MOD(ROW()-1,7)+50)&amp;"=/ s "&amp;INDEX(CUEs!$B:$B,INT((ROW()-1)/7)*57+MOD(ROW()-1,7)+50),"")</f>
        <v/>
      </c>
    </row>
    <row r="2374" spans="1:1" x14ac:dyDescent="0.25">
      <c r="A2374" t="str" cm="1">
        <f t="array" ref="A2374">IF(INDEX(CUEs!$A:$A,INT((ROW()-1)/7)*57+MOD(ROW()-1,7)+50)&lt;&gt;"","set "&amp;INDEX(CUEs!$A:$A,INT((ROW()-1)/7)*57+MOD(ROW()-1,7)+50)&amp;"=/ s "&amp;INDEX(CUEs!$B:$B,INT((ROW()-1)/7)*57+MOD(ROW()-1,7)+50),"")</f>
        <v/>
      </c>
    </row>
    <row r="2375" spans="1:1" x14ac:dyDescent="0.25">
      <c r="A2375" t="str" cm="1">
        <f t="array" ref="A2375">IF(INDEX(CUEs!$A:$A,INT((ROW()-1)/7)*57+MOD(ROW()-1,7)+50)&lt;&gt;"","set "&amp;INDEX(CUEs!$A:$A,INT((ROW()-1)/7)*57+MOD(ROW()-1,7)+50)&amp;"=/ s "&amp;INDEX(CUEs!$B:$B,INT((ROW()-1)/7)*57+MOD(ROW()-1,7)+50),"")</f>
        <v/>
      </c>
    </row>
    <row r="2376" spans="1:1" x14ac:dyDescent="0.25">
      <c r="A2376" t="str" cm="1">
        <f t="array" ref="A2376">IF(INDEX(CUEs!$A:$A,INT((ROW()-1)/7)*57+MOD(ROW()-1,7)+50)&lt;&gt;"","set "&amp;INDEX(CUEs!$A:$A,INT((ROW()-1)/7)*57+MOD(ROW()-1,7)+50)&amp;"=/ s "&amp;INDEX(CUEs!$B:$B,INT((ROW()-1)/7)*57+MOD(ROW()-1,7)+50),"")</f>
        <v/>
      </c>
    </row>
    <row r="2377" spans="1:1" x14ac:dyDescent="0.25">
      <c r="A2377" t="str" cm="1">
        <f t="array" ref="A2377">IF(INDEX(CUEs!$A:$A,INT((ROW()-1)/7)*57+MOD(ROW()-1,7)+50)&lt;&gt;"","set "&amp;INDEX(CUEs!$A:$A,INT((ROW()-1)/7)*57+MOD(ROW()-1,7)+50)&amp;"=/ s "&amp;INDEX(CUEs!$B:$B,INT((ROW()-1)/7)*57+MOD(ROW()-1,7)+50),"")</f>
        <v/>
      </c>
    </row>
    <row r="2378" spans="1:1" x14ac:dyDescent="0.25">
      <c r="A2378" t="str" cm="1">
        <f t="array" ref="A2378">IF(INDEX(CUEs!$A:$A,INT((ROW()-1)/7)*57+MOD(ROW()-1,7)+50)&lt;&gt;"","set "&amp;INDEX(CUEs!$A:$A,INT((ROW()-1)/7)*57+MOD(ROW()-1,7)+50)&amp;"=/ s "&amp;INDEX(CUEs!$B:$B,INT((ROW()-1)/7)*57+MOD(ROW()-1,7)+50),"")</f>
        <v/>
      </c>
    </row>
    <row r="2379" spans="1:1" x14ac:dyDescent="0.25">
      <c r="A2379" t="str" cm="1">
        <f t="array" ref="A2379">IF(INDEX(CUEs!$A:$A,INT((ROW()-1)/7)*57+MOD(ROW()-1,7)+50)&lt;&gt;"","set "&amp;INDEX(CUEs!$A:$A,INT((ROW()-1)/7)*57+MOD(ROW()-1,7)+50)&amp;"=/ s "&amp;INDEX(CUEs!$B:$B,INT((ROW()-1)/7)*57+MOD(ROW()-1,7)+50),"")</f>
        <v/>
      </c>
    </row>
    <row r="2380" spans="1:1" x14ac:dyDescent="0.25">
      <c r="A2380" t="str" cm="1">
        <f t="array" ref="A2380">IF(INDEX(CUEs!$A:$A,INT((ROW()-1)/7)*57+MOD(ROW()-1,7)+50)&lt;&gt;"","set "&amp;INDEX(CUEs!$A:$A,INT((ROW()-1)/7)*57+MOD(ROW()-1,7)+50)&amp;"=/ s "&amp;INDEX(CUEs!$B:$B,INT((ROW()-1)/7)*57+MOD(ROW()-1,7)+50),"")</f>
        <v/>
      </c>
    </row>
    <row r="2381" spans="1:1" x14ac:dyDescent="0.25">
      <c r="A2381" t="str" cm="1">
        <f t="array" ref="A2381">IF(INDEX(CUEs!$A:$A,INT((ROW()-1)/7)*57+MOD(ROW()-1,7)+50)&lt;&gt;"","set "&amp;INDEX(CUEs!$A:$A,INT((ROW()-1)/7)*57+MOD(ROW()-1,7)+50)&amp;"=/ s "&amp;INDEX(CUEs!$B:$B,INT((ROW()-1)/7)*57+MOD(ROW()-1,7)+50),"")</f>
        <v/>
      </c>
    </row>
    <row r="2382" spans="1:1" x14ac:dyDescent="0.25">
      <c r="A2382" t="str" cm="1">
        <f t="array" ref="A2382">IF(INDEX(CUEs!$A:$A,INT((ROW()-1)/7)*57+MOD(ROW()-1,7)+50)&lt;&gt;"","set "&amp;INDEX(CUEs!$A:$A,INT((ROW()-1)/7)*57+MOD(ROW()-1,7)+50)&amp;"=/ s "&amp;INDEX(CUEs!$B:$B,INT((ROW()-1)/7)*57+MOD(ROW()-1,7)+50),"")</f>
        <v/>
      </c>
    </row>
    <row r="2383" spans="1:1" x14ac:dyDescent="0.25">
      <c r="A2383" t="str" cm="1">
        <f t="array" ref="A2383">IF(INDEX(CUEs!$A:$A,INT((ROW()-1)/7)*57+MOD(ROW()-1,7)+50)&lt;&gt;"","set "&amp;INDEX(CUEs!$A:$A,INT((ROW()-1)/7)*57+MOD(ROW()-1,7)+50)&amp;"=/ s "&amp;INDEX(CUEs!$B:$B,INT((ROW()-1)/7)*57+MOD(ROW()-1,7)+50),"")</f>
        <v/>
      </c>
    </row>
    <row r="2384" spans="1:1" x14ac:dyDescent="0.25">
      <c r="A2384" t="str" cm="1">
        <f t="array" ref="A2384">IF(INDEX(CUEs!$A:$A,INT((ROW()-1)/7)*57+MOD(ROW()-1,7)+50)&lt;&gt;"","set "&amp;INDEX(CUEs!$A:$A,INT((ROW()-1)/7)*57+MOD(ROW()-1,7)+50)&amp;"=/ s "&amp;INDEX(CUEs!$B:$B,INT((ROW()-1)/7)*57+MOD(ROW()-1,7)+50),"")</f>
        <v/>
      </c>
    </row>
    <row r="2385" spans="1:1" x14ac:dyDescent="0.25">
      <c r="A2385" t="str" cm="1">
        <f t="array" ref="A2385">IF(INDEX(CUEs!$A:$A,INT((ROW()-1)/7)*57+MOD(ROW()-1,7)+50)&lt;&gt;"","set "&amp;INDEX(CUEs!$A:$A,INT((ROW()-1)/7)*57+MOD(ROW()-1,7)+50)&amp;"=/ s "&amp;INDEX(CUEs!$B:$B,INT((ROW()-1)/7)*57+MOD(ROW()-1,7)+50),"")</f>
        <v/>
      </c>
    </row>
    <row r="2386" spans="1:1" x14ac:dyDescent="0.25">
      <c r="A2386" t="str" cm="1">
        <f t="array" ref="A2386">IF(INDEX(CUEs!$A:$A,INT((ROW()-1)/7)*57+MOD(ROW()-1,7)+50)&lt;&gt;"","set "&amp;INDEX(CUEs!$A:$A,INT((ROW()-1)/7)*57+MOD(ROW()-1,7)+50)&amp;"=/ s "&amp;INDEX(CUEs!$B:$B,INT((ROW()-1)/7)*57+MOD(ROW()-1,7)+50),"")</f>
        <v/>
      </c>
    </row>
    <row r="2387" spans="1:1" x14ac:dyDescent="0.25">
      <c r="A2387" t="str" cm="1">
        <f t="array" ref="A2387">IF(INDEX(CUEs!$A:$A,INT((ROW()-1)/7)*57+MOD(ROW()-1,7)+50)&lt;&gt;"","set "&amp;INDEX(CUEs!$A:$A,INT((ROW()-1)/7)*57+MOD(ROW()-1,7)+50)&amp;"=/ s "&amp;INDEX(CUEs!$B:$B,INT((ROW()-1)/7)*57+MOD(ROW()-1,7)+50),"")</f>
        <v/>
      </c>
    </row>
    <row r="2388" spans="1:1" x14ac:dyDescent="0.25">
      <c r="A2388" t="str" cm="1">
        <f t="array" ref="A2388">IF(INDEX(CUEs!$A:$A,INT((ROW()-1)/7)*57+MOD(ROW()-1,7)+50)&lt;&gt;"","set "&amp;INDEX(CUEs!$A:$A,INT((ROW()-1)/7)*57+MOD(ROW()-1,7)+50)&amp;"=/ s "&amp;INDEX(CUEs!$B:$B,INT((ROW()-1)/7)*57+MOD(ROW()-1,7)+50),"")</f>
        <v/>
      </c>
    </row>
    <row r="2389" spans="1:1" x14ac:dyDescent="0.25">
      <c r="A2389" t="str" cm="1">
        <f t="array" ref="A2389">IF(INDEX(CUEs!$A:$A,INT((ROW()-1)/7)*57+MOD(ROW()-1,7)+50)&lt;&gt;"","set "&amp;INDEX(CUEs!$A:$A,INT((ROW()-1)/7)*57+MOD(ROW()-1,7)+50)&amp;"=/ s "&amp;INDEX(CUEs!$B:$B,INT((ROW()-1)/7)*57+MOD(ROW()-1,7)+50),"")</f>
        <v/>
      </c>
    </row>
    <row r="2390" spans="1:1" x14ac:dyDescent="0.25">
      <c r="A2390" t="str" cm="1">
        <f t="array" ref="A2390">IF(INDEX(CUEs!$A:$A,INT((ROW()-1)/7)*57+MOD(ROW()-1,7)+50)&lt;&gt;"","set "&amp;INDEX(CUEs!$A:$A,INT((ROW()-1)/7)*57+MOD(ROW()-1,7)+50)&amp;"=/ s "&amp;INDEX(CUEs!$B:$B,INT((ROW()-1)/7)*57+MOD(ROW()-1,7)+50),"")</f>
        <v/>
      </c>
    </row>
    <row r="2391" spans="1:1" x14ac:dyDescent="0.25">
      <c r="A2391" t="str" cm="1">
        <f t="array" ref="A2391">IF(INDEX(CUEs!$A:$A,INT((ROW()-1)/7)*57+MOD(ROW()-1,7)+50)&lt;&gt;"","set "&amp;INDEX(CUEs!$A:$A,INT((ROW()-1)/7)*57+MOD(ROW()-1,7)+50)&amp;"=/ s "&amp;INDEX(CUEs!$B:$B,INT((ROW()-1)/7)*57+MOD(ROW()-1,7)+50),"")</f>
        <v/>
      </c>
    </row>
    <row r="2392" spans="1:1" x14ac:dyDescent="0.25">
      <c r="A2392" t="str" cm="1">
        <f t="array" ref="A2392">IF(INDEX(CUEs!$A:$A,INT((ROW()-1)/7)*57+MOD(ROW()-1,7)+50)&lt;&gt;"","set "&amp;INDEX(CUEs!$A:$A,INT((ROW()-1)/7)*57+MOD(ROW()-1,7)+50)&amp;"=/ s "&amp;INDEX(CUEs!$B:$B,INT((ROW()-1)/7)*57+MOD(ROW()-1,7)+50),"")</f>
        <v/>
      </c>
    </row>
    <row r="2393" spans="1:1" x14ac:dyDescent="0.25">
      <c r="A2393" t="str" cm="1">
        <f t="array" ref="A2393">IF(INDEX(CUEs!$A:$A,INT((ROW()-1)/7)*57+MOD(ROW()-1,7)+50)&lt;&gt;"","set "&amp;INDEX(CUEs!$A:$A,INT((ROW()-1)/7)*57+MOD(ROW()-1,7)+50)&amp;"=/ s "&amp;INDEX(CUEs!$B:$B,INT((ROW()-1)/7)*57+MOD(ROW()-1,7)+50),"")</f>
        <v/>
      </c>
    </row>
    <row r="2394" spans="1:1" x14ac:dyDescent="0.25">
      <c r="A2394" t="str" cm="1">
        <f t="array" ref="A2394">IF(INDEX(CUEs!$A:$A,INT((ROW()-1)/7)*57+MOD(ROW()-1,7)+50)&lt;&gt;"","set "&amp;INDEX(CUEs!$A:$A,INT((ROW()-1)/7)*57+MOD(ROW()-1,7)+50)&amp;"=/ s "&amp;INDEX(CUEs!$B:$B,INT((ROW()-1)/7)*57+MOD(ROW()-1,7)+50),"")</f>
        <v/>
      </c>
    </row>
    <row r="2395" spans="1:1" x14ac:dyDescent="0.25">
      <c r="A2395" t="str" cm="1">
        <f t="array" ref="A2395">IF(INDEX(CUEs!$A:$A,INT((ROW()-1)/7)*57+MOD(ROW()-1,7)+50)&lt;&gt;"","set "&amp;INDEX(CUEs!$A:$A,INT((ROW()-1)/7)*57+MOD(ROW()-1,7)+50)&amp;"=/ s "&amp;INDEX(CUEs!$B:$B,INT((ROW()-1)/7)*57+MOD(ROW()-1,7)+50),"")</f>
        <v/>
      </c>
    </row>
    <row r="2396" spans="1:1" x14ac:dyDescent="0.25">
      <c r="A2396" t="str" cm="1">
        <f t="array" ref="A2396">IF(INDEX(CUEs!$A:$A,INT((ROW()-1)/7)*57+MOD(ROW()-1,7)+50)&lt;&gt;"","set "&amp;INDEX(CUEs!$A:$A,INT((ROW()-1)/7)*57+MOD(ROW()-1,7)+50)&amp;"=/ s "&amp;INDEX(CUEs!$B:$B,INT((ROW()-1)/7)*57+MOD(ROW()-1,7)+50),"")</f>
        <v/>
      </c>
    </row>
    <row r="2397" spans="1:1" x14ac:dyDescent="0.25">
      <c r="A2397" t="str" cm="1">
        <f t="array" ref="A2397">IF(INDEX(CUEs!$A:$A,INT((ROW()-1)/7)*57+MOD(ROW()-1,7)+50)&lt;&gt;"","set "&amp;INDEX(CUEs!$A:$A,INT((ROW()-1)/7)*57+MOD(ROW()-1,7)+50)&amp;"=/ s "&amp;INDEX(CUEs!$B:$B,INT((ROW()-1)/7)*57+MOD(ROW()-1,7)+50),"")</f>
        <v/>
      </c>
    </row>
    <row r="2398" spans="1:1" x14ac:dyDescent="0.25">
      <c r="A2398" t="str" cm="1">
        <f t="array" ref="A2398">IF(INDEX(CUEs!$A:$A,INT((ROW()-1)/7)*57+MOD(ROW()-1,7)+50)&lt;&gt;"","set "&amp;INDEX(CUEs!$A:$A,INT((ROW()-1)/7)*57+MOD(ROW()-1,7)+50)&amp;"=/ s "&amp;INDEX(CUEs!$B:$B,INT((ROW()-1)/7)*57+MOD(ROW()-1,7)+50),"")</f>
        <v/>
      </c>
    </row>
    <row r="2399" spans="1:1" x14ac:dyDescent="0.25">
      <c r="A2399" t="str" cm="1">
        <f t="array" ref="A2399">IF(INDEX(CUEs!$A:$A,INT((ROW()-1)/7)*57+MOD(ROW()-1,7)+50)&lt;&gt;"","set "&amp;INDEX(CUEs!$A:$A,INT((ROW()-1)/7)*57+MOD(ROW()-1,7)+50)&amp;"=/ s "&amp;INDEX(CUEs!$B:$B,INT((ROW()-1)/7)*57+MOD(ROW()-1,7)+50),"")</f>
        <v/>
      </c>
    </row>
    <row r="2400" spans="1:1" x14ac:dyDescent="0.25">
      <c r="A2400" t="str" cm="1">
        <f t="array" ref="A2400">IF(INDEX(CUEs!$A:$A,INT((ROW()-1)/7)*57+MOD(ROW()-1,7)+50)&lt;&gt;"","set "&amp;INDEX(CUEs!$A:$A,INT((ROW()-1)/7)*57+MOD(ROW()-1,7)+50)&amp;"=/ s "&amp;INDEX(CUEs!$B:$B,INT((ROW()-1)/7)*57+MOD(ROW()-1,7)+50),"")</f>
        <v/>
      </c>
    </row>
    <row r="2401" spans="1:1" x14ac:dyDescent="0.25">
      <c r="A2401" t="str" cm="1">
        <f t="array" ref="A2401">IF(INDEX(CUEs!$A:$A,INT((ROW()-1)/7)*57+MOD(ROW()-1,7)+50)&lt;&gt;"","set "&amp;INDEX(CUEs!$A:$A,INT((ROW()-1)/7)*57+MOD(ROW()-1,7)+50)&amp;"=/ s "&amp;INDEX(CUEs!$B:$B,INT((ROW()-1)/7)*57+MOD(ROW()-1,7)+50),"")</f>
        <v/>
      </c>
    </row>
    <row r="2402" spans="1:1" x14ac:dyDescent="0.25">
      <c r="A2402" t="str" cm="1">
        <f t="array" ref="A2402">IF(INDEX(CUEs!$A:$A,INT((ROW()-1)/7)*57+MOD(ROW()-1,7)+50)&lt;&gt;"","set "&amp;INDEX(CUEs!$A:$A,INT((ROW()-1)/7)*57+MOD(ROW()-1,7)+50)&amp;"=/ s "&amp;INDEX(CUEs!$B:$B,INT((ROW()-1)/7)*57+MOD(ROW()-1,7)+50),"")</f>
        <v/>
      </c>
    </row>
    <row r="2403" spans="1:1" x14ac:dyDescent="0.25">
      <c r="A2403" t="str" cm="1">
        <f t="array" ref="A2403">IF(INDEX(CUEs!$A:$A,INT((ROW()-1)/7)*57+MOD(ROW()-1,7)+50)&lt;&gt;"","set "&amp;INDEX(CUEs!$A:$A,INT((ROW()-1)/7)*57+MOD(ROW()-1,7)+50)&amp;"=/ s "&amp;INDEX(CUEs!$B:$B,INT((ROW()-1)/7)*57+MOD(ROW()-1,7)+50),"")</f>
        <v/>
      </c>
    </row>
    <row r="2404" spans="1:1" x14ac:dyDescent="0.25">
      <c r="A2404" t="str" cm="1">
        <f t="array" ref="A2404">IF(INDEX(CUEs!$A:$A,INT((ROW()-1)/7)*57+MOD(ROW()-1,7)+50)&lt;&gt;"","set "&amp;INDEX(CUEs!$A:$A,INT((ROW()-1)/7)*57+MOD(ROW()-1,7)+50)&amp;"=/ s "&amp;INDEX(CUEs!$B:$B,INT((ROW()-1)/7)*57+MOD(ROW()-1,7)+50),"")</f>
        <v/>
      </c>
    </row>
    <row r="2405" spans="1:1" x14ac:dyDescent="0.25">
      <c r="A2405" t="str" cm="1">
        <f t="array" ref="A2405">IF(INDEX(CUEs!$A:$A,INT((ROW()-1)/7)*57+MOD(ROW()-1,7)+50)&lt;&gt;"","set "&amp;INDEX(CUEs!$A:$A,INT((ROW()-1)/7)*57+MOD(ROW()-1,7)+50)&amp;"=/ s "&amp;INDEX(CUEs!$B:$B,INT((ROW()-1)/7)*57+MOD(ROW()-1,7)+50),"")</f>
        <v/>
      </c>
    </row>
    <row r="2406" spans="1:1" x14ac:dyDescent="0.25">
      <c r="A2406" t="str" cm="1">
        <f t="array" ref="A2406">IF(INDEX(CUEs!$A:$A,INT((ROW()-1)/7)*57+MOD(ROW()-1,7)+50)&lt;&gt;"","set "&amp;INDEX(CUEs!$A:$A,INT((ROW()-1)/7)*57+MOD(ROW()-1,7)+50)&amp;"=/ s "&amp;INDEX(CUEs!$B:$B,INT((ROW()-1)/7)*57+MOD(ROW()-1,7)+50),"")</f>
        <v/>
      </c>
    </row>
    <row r="2407" spans="1:1" x14ac:dyDescent="0.25">
      <c r="A2407" t="str" cm="1">
        <f t="array" ref="A2407">IF(INDEX(CUEs!$A:$A,INT((ROW()-1)/7)*57+MOD(ROW()-1,7)+50)&lt;&gt;"","set "&amp;INDEX(CUEs!$A:$A,INT((ROW()-1)/7)*57+MOD(ROW()-1,7)+50)&amp;"=/ s "&amp;INDEX(CUEs!$B:$B,INT((ROW()-1)/7)*57+MOD(ROW()-1,7)+50),"")</f>
        <v/>
      </c>
    </row>
    <row r="2408" spans="1:1" x14ac:dyDescent="0.25">
      <c r="A2408" t="str" cm="1">
        <f t="array" ref="A2408">IF(INDEX(CUEs!$A:$A,INT((ROW()-1)/7)*57+MOD(ROW()-1,7)+50)&lt;&gt;"","set "&amp;INDEX(CUEs!$A:$A,INT((ROW()-1)/7)*57+MOD(ROW()-1,7)+50)&amp;"=/ s "&amp;INDEX(CUEs!$B:$B,INT((ROW()-1)/7)*57+MOD(ROW()-1,7)+50),"")</f>
        <v/>
      </c>
    </row>
    <row r="2409" spans="1:1" x14ac:dyDescent="0.25">
      <c r="A2409" t="str" cm="1">
        <f t="array" ref="A2409">IF(INDEX(CUEs!$A:$A,INT((ROW()-1)/7)*57+MOD(ROW()-1,7)+50)&lt;&gt;"","set "&amp;INDEX(CUEs!$A:$A,INT((ROW()-1)/7)*57+MOD(ROW()-1,7)+50)&amp;"=/ s "&amp;INDEX(CUEs!$B:$B,INT((ROW()-1)/7)*57+MOD(ROW()-1,7)+50),"")</f>
        <v/>
      </c>
    </row>
    <row r="2410" spans="1:1" x14ac:dyDescent="0.25">
      <c r="A2410" t="str" cm="1">
        <f t="array" ref="A2410">IF(INDEX(CUEs!$A:$A,INT((ROW()-1)/7)*57+MOD(ROW()-1,7)+50)&lt;&gt;"","set "&amp;INDEX(CUEs!$A:$A,INT((ROW()-1)/7)*57+MOD(ROW()-1,7)+50)&amp;"=/ s "&amp;INDEX(CUEs!$B:$B,INT((ROW()-1)/7)*57+MOD(ROW()-1,7)+50),"")</f>
        <v/>
      </c>
    </row>
    <row r="2411" spans="1:1" x14ac:dyDescent="0.25">
      <c r="A2411" t="str" cm="1">
        <f t="array" ref="A2411">IF(INDEX(CUEs!$A:$A,INT((ROW()-1)/7)*57+MOD(ROW()-1,7)+50)&lt;&gt;"","set "&amp;INDEX(CUEs!$A:$A,INT((ROW()-1)/7)*57+MOD(ROW()-1,7)+50)&amp;"=/ s "&amp;INDEX(CUEs!$B:$B,INT((ROW()-1)/7)*57+MOD(ROW()-1,7)+50),"")</f>
        <v/>
      </c>
    </row>
    <row r="2412" spans="1:1" x14ac:dyDescent="0.25">
      <c r="A2412" t="str" cm="1">
        <f t="array" ref="A2412">IF(INDEX(CUEs!$A:$A,INT((ROW()-1)/7)*57+MOD(ROW()-1,7)+50)&lt;&gt;"","set "&amp;INDEX(CUEs!$A:$A,INT((ROW()-1)/7)*57+MOD(ROW()-1,7)+50)&amp;"=/ s "&amp;INDEX(CUEs!$B:$B,INT((ROW()-1)/7)*57+MOD(ROW()-1,7)+50),"")</f>
        <v/>
      </c>
    </row>
    <row r="2413" spans="1:1" x14ac:dyDescent="0.25">
      <c r="A2413" t="str" cm="1">
        <f t="array" ref="A2413">IF(INDEX(CUEs!$A:$A,INT((ROW()-1)/7)*57+MOD(ROW()-1,7)+50)&lt;&gt;"","set "&amp;INDEX(CUEs!$A:$A,INT((ROW()-1)/7)*57+MOD(ROW()-1,7)+50)&amp;"=/ s "&amp;INDEX(CUEs!$B:$B,INT((ROW()-1)/7)*57+MOD(ROW()-1,7)+50),"")</f>
        <v/>
      </c>
    </row>
    <row r="2414" spans="1:1" x14ac:dyDescent="0.25">
      <c r="A2414" t="str" cm="1">
        <f t="array" ref="A2414">IF(INDEX(CUEs!$A:$A,INT((ROW()-1)/7)*57+MOD(ROW()-1,7)+50)&lt;&gt;"","set "&amp;INDEX(CUEs!$A:$A,INT((ROW()-1)/7)*57+MOD(ROW()-1,7)+50)&amp;"=/ s "&amp;INDEX(CUEs!$B:$B,INT((ROW()-1)/7)*57+MOD(ROW()-1,7)+50),"")</f>
        <v/>
      </c>
    </row>
    <row r="2415" spans="1:1" x14ac:dyDescent="0.25">
      <c r="A2415" t="str" cm="1">
        <f t="array" ref="A2415">IF(INDEX(CUEs!$A:$A,INT((ROW()-1)/7)*57+MOD(ROW()-1,7)+50)&lt;&gt;"","set "&amp;INDEX(CUEs!$A:$A,INT((ROW()-1)/7)*57+MOD(ROW()-1,7)+50)&amp;"=/ s "&amp;INDEX(CUEs!$B:$B,INT((ROW()-1)/7)*57+MOD(ROW()-1,7)+50),"")</f>
        <v/>
      </c>
    </row>
    <row r="2416" spans="1:1" x14ac:dyDescent="0.25">
      <c r="A2416" t="str" cm="1">
        <f t="array" ref="A2416">IF(INDEX(CUEs!$A:$A,INT((ROW()-1)/7)*57+MOD(ROW()-1,7)+50)&lt;&gt;"","set "&amp;INDEX(CUEs!$A:$A,INT((ROW()-1)/7)*57+MOD(ROW()-1,7)+50)&amp;"=/ s "&amp;INDEX(CUEs!$B:$B,INT((ROW()-1)/7)*57+MOD(ROW()-1,7)+50),"")</f>
        <v/>
      </c>
    </row>
    <row r="2417" spans="1:1" x14ac:dyDescent="0.25">
      <c r="A2417" t="str" cm="1">
        <f t="array" ref="A2417">IF(INDEX(CUEs!$A:$A,INT((ROW()-1)/7)*57+MOD(ROW()-1,7)+50)&lt;&gt;"","set "&amp;INDEX(CUEs!$A:$A,INT((ROW()-1)/7)*57+MOD(ROW()-1,7)+50)&amp;"=/ s "&amp;INDEX(CUEs!$B:$B,INT((ROW()-1)/7)*57+MOD(ROW()-1,7)+50),"")</f>
        <v/>
      </c>
    </row>
    <row r="2418" spans="1:1" x14ac:dyDescent="0.25">
      <c r="A2418" t="str" cm="1">
        <f t="array" ref="A2418">IF(INDEX(CUEs!$A:$A,INT((ROW()-1)/7)*57+MOD(ROW()-1,7)+50)&lt;&gt;"","set "&amp;INDEX(CUEs!$A:$A,INT((ROW()-1)/7)*57+MOD(ROW()-1,7)+50)&amp;"=/ s "&amp;INDEX(CUEs!$B:$B,INT((ROW()-1)/7)*57+MOD(ROW()-1,7)+50),"")</f>
        <v/>
      </c>
    </row>
    <row r="2419" spans="1:1" x14ac:dyDescent="0.25">
      <c r="A2419" t="str" cm="1">
        <f t="array" ref="A2419">IF(INDEX(CUEs!$A:$A,INT((ROW()-1)/7)*57+MOD(ROW()-1,7)+50)&lt;&gt;"","set "&amp;INDEX(CUEs!$A:$A,INT((ROW()-1)/7)*57+MOD(ROW()-1,7)+50)&amp;"=/ s "&amp;INDEX(CUEs!$B:$B,INT((ROW()-1)/7)*57+MOD(ROW()-1,7)+50),"")</f>
        <v/>
      </c>
    </row>
    <row r="2420" spans="1:1" x14ac:dyDescent="0.25">
      <c r="A2420" t="str" cm="1">
        <f t="array" ref="A2420">IF(INDEX(CUEs!$A:$A,INT((ROW()-1)/7)*57+MOD(ROW()-1,7)+50)&lt;&gt;"","set "&amp;INDEX(CUEs!$A:$A,INT((ROW()-1)/7)*57+MOD(ROW()-1,7)+50)&amp;"=/ s "&amp;INDEX(CUEs!$B:$B,INT((ROW()-1)/7)*57+MOD(ROW()-1,7)+50),"")</f>
        <v/>
      </c>
    </row>
    <row r="2421" spans="1:1" x14ac:dyDescent="0.25">
      <c r="A2421" t="str" cm="1">
        <f t="array" ref="A2421">IF(INDEX(CUEs!$A:$A,INT((ROW()-1)/7)*57+MOD(ROW()-1,7)+50)&lt;&gt;"","set "&amp;INDEX(CUEs!$A:$A,INT((ROW()-1)/7)*57+MOD(ROW()-1,7)+50)&amp;"=/ s "&amp;INDEX(CUEs!$B:$B,INT((ROW()-1)/7)*57+MOD(ROW()-1,7)+50),"")</f>
        <v/>
      </c>
    </row>
    <row r="2422" spans="1:1" x14ac:dyDescent="0.25">
      <c r="A2422" t="str" cm="1">
        <f t="array" ref="A2422">IF(INDEX(CUEs!$A:$A,INT((ROW()-1)/7)*57+MOD(ROW()-1,7)+50)&lt;&gt;"","set "&amp;INDEX(CUEs!$A:$A,INT((ROW()-1)/7)*57+MOD(ROW()-1,7)+50)&amp;"=/ s "&amp;INDEX(CUEs!$B:$B,INT((ROW()-1)/7)*57+MOD(ROW()-1,7)+50),"")</f>
        <v/>
      </c>
    </row>
    <row r="2423" spans="1:1" x14ac:dyDescent="0.25">
      <c r="A2423" t="str" cm="1">
        <f t="array" ref="A2423">IF(INDEX(CUEs!$A:$A,INT((ROW()-1)/7)*57+MOD(ROW()-1,7)+50)&lt;&gt;"","set "&amp;INDEX(CUEs!$A:$A,INT((ROW()-1)/7)*57+MOD(ROW()-1,7)+50)&amp;"=/ s "&amp;INDEX(CUEs!$B:$B,INT((ROW()-1)/7)*57+MOD(ROW()-1,7)+50),"")</f>
        <v/>
      </c>
    </row>
    <row r="2424" spans="1:1" x14ac:dyDescent="0.25">
      <c r="A2424" t="str" cm="1">
        <f t="array" ref="A2424">IF(INDEX(CUEs!$A:$A,INT((ROW()-1)/7)*57+MOD(ROW()-1,7)+50)&lt;&gt;"","set "&amp;INDEX(CUEs!$A:$A,INT((ROW()-1)/7)*57+MOD(ROW()-1,7)+50)&amp;"=/ s "&amp;INDEX(CUEs!$B:$B,INT((ROW()-1)/7)*57+MOD(ROW()-1,7)+50),"")</f>
        <v/>
      </c>
    </row>
    <row r="2425" spans="1:1" x14ac:dyDescent="0.25">
      <c r="A2425" t="str" cm="1">
        <f t="array" ref="A2425">IF(INDEX(CUEs!$A:$A,INT((ROW()-1)/7)*57+MOD(ROW()-1,7)+50)&lt;&gt;"","set "&amp;INDEX(CUEs!$A:$A,INT((ROW()-1)/7)*57+MOD(ROW()-1,7)+50)&amp;"=/ s "&amp;INDEX(CUEs!$B:$B,INT((ROW()-1)/7)*57+MOD(ROW()-1,7)+50),"")</f>
        <v/>
      </c>
    </row>
    <row r="2426" spans="1:1" x14ac:dyDescent="0.25">
      <c r="A2426" t="str" cm="1">
        <f t="array" ref="A2426">IF(INDEX(CUEs!$A:$A,INT((ROW()-1)/7)*57+MOD(ROW()-1,7)+50)&lt;&gt;"","set "&amp;INDEX(CUEs!$A:$A,INT((ROW()-1)/7)*57+MOD(ROW()-1,7)+50)&amp;"=/ s "&amp;INDEX(CUEs!$B:$B,INT((ROW()-1)/7)*57+MOD(ROW()-1,7)+50),"")</f>
        <v/>
      </c>
    </row>
    <row r="2427" spans="1:1" x14ac:dyDescent="0.25">
      <c r="A2427" t="str" cm="1">
        <f t="array" ref="A2427">IF(INDEX(CUEs!$A:$A,INT((ROW()-1)/7)*57+MOD(ROW()-1,7)+50)&lt;&gt;"","set "&amp;INDEX(CUEs!$A:$A,INT((ROW()-1)/7)*57+MOD(ROW()-1,7)+50)&amp;"=/ s "&amp;INDEX(CUEs!$B:$B,INT((ROW()-1)/7)*57+MOD(ROW()-1,7)+50),"")</f>
        <v/>
      </c>
    </row>
    <row r="2428" spans="1:1" x14ac:dyDescent="0.25">
      <c r="A2428" t="str" cm="1">
        <f t="array" ref="A2428">IF(INDEX(CUEs!$A:$A,INT((ROW()-1)/7)*57+MOD(ROW()-1,7)+50)&lt;&gt;"","set "&amp;INDEX(CUEs!$A:$A,INT((ROW()-1)/7)*57+MOD(ROW()-1,7)+50)&amp;"=/ s "&amp;INDEX(CUEs!$B:$B,INT((ROW()-1)/7)*57+MOD(ROW()-1,7)+50),"")</f>
        <v/>
      </c>
    </row>
    <row r="2429" spans="1:1" x14ac:dyDescent="0.25">
      <c r="A2429" t="str" cm="1">
        <f t="array" ref="A2429">IF(INDEX(CUEs!$A:$A,INT((ROW()-1)/7)*57+MOD(ROW()-1,7)+50)&lt;&gt;"","set "&amp;INDEX(CUEs!$A:$A,INT((ROW()-1)/7)*57+MOD(ROW()-1,7)+50)&amp;"=/ s "&amp;INDEX(CUEs!$B:$B,INT((ROW()-1)/7)*57+MOD(ROW()-1,7)+50),"")</f>
        <v/>
      </c>
    </row>
    <row r="2430" spans="1:1" x14ac:dyDescent="0.25">
      <c r="A2430" t="str" cm="1">
        <f t="array" ref="A2430">IF(INDEX(CUEs!$A:$A,INT((ROW()-1)/7)*57+MOD(ROW()-1,7)+50)&lt;&gt;"","set "&amp;INDEX(CUEs!$A:$A,INT((ROW()-1)/7)*57+MOD(ROW()-1,7)+50)&amp;"=/ s "&amp;INDEX(CUEs!$B:$B,INT((ROW()-1)/7)*57+MOD(ROW()-1,7)+50),"")</f>
        <v/>
      </c>
    </row>
    <row r="2431" spans="1:1" x14ac:dyDescent="0.25">
      <c r="A2431" t="str" cm="1">
        <f t="array" ref="A2431">IF(INDEX(CUEs!$A:$A,INT((ROW()-1)/7)*57+MOD(ROW()-1,7)+50)&lt;&gt;"","set "&amp;INDEX(CUEs!$A:$A,INT((ROW()-1)/7)*57+MOD(ROW()-1,7)+50)&amp;"=/ s "&amp;INDEX(CUEs!$B:$B,INT((ROW()-1)/7)*57+MOD(ROW()-1,7)+50),"")</f>
        <v/>
      </c>
    </row>
    <row r="2432" spans="1:1" x14ac:dyDescent="0.25">
      <c r="A2432" t="str" cm="1">
        <f t="array" ref="A2432">IF(INDEX(CUEs!$A:$A,INT((ROW()-1)/7)*57+MOD(ROW()-1,7)+50)&lt;&gt;"","set "&amp;INDEX(CUEs!$A:$A,INT((ROW()-1)/7)*57+MOD(ROW()-1,7)+50)&amp;"=/ s "&amp;INDEX(CUEs!$B:$B,INT((ROW()-1)/7)*57+MOD(ROW()-1,7)+50),"")</f>
        <v/>
      </c>
    </row>
    <row r="2433" spans="1:1" x14ac:dyDescent="0.25">
      <c r="A2433" t="str" cm="1">
        <f t="array" ref="A2433">IF(INDEX(CUEs!$A:$A,INT((ROW()-1)/7)*57+MOD(ROW()-1,7)+50)&lt;&gt;"","set "&amp;INDEX(CUEs!$A:$A,INT((ROW()-1)/7)*57+MOD(ROW()-1,7)+50)&amp;"=/ s "&amp;INDEX(CUEs!$B:$B,INT((ROW()-1)/7)*57+MOD(ROW()-1,7)+50),"")</f>
        <v/>
      </c>
    </row>
    <row r="2434" spans="1:1" x14ac:dyDescent="0.25">
      <c r="A2434" t="str" cm="1">
        <f t="array" ref="A2434">IF(INDEX(CUEs!$A:$A,INT((ROW()-1)/7)*57+MOD(ROW()-1,7)+50)&lt;&gt;"","set "&amp;INDEX(CUEs!$A:$A,INT((ROW()-1)/7)*57+MOD(ROW()-1,7)+50)&amp;"=/ s "&amp;INDEX(CUEs!$B:$B,INT((ROW()-1)/7)*57+MOD(ROW()-1,7)+50),"")</f>
        <v/>
      </c>
    </row>
    <row r="2435" spans="1:1" x14ac:dyDescent="0.25">
      <c r="A2435" t="str" cm="1">
        <f t="array" ref="A2435">IF(INDEX(CUEs!$A:$A,INT((ROW()-1)/7)*57+MOD(ROW()-1,7)+50)&lt;&gt;"","set "&amp;INDEX(CUEs!$A:$A,INT((ROW()-1)/7)*57+MOD(ROW()-1,7)+50)&amp;"=/ s "&amp;INDEX(CUEs!$B:$B,INT((ROW()-1)/7)*57+MOD(ROW()-1,7)+50),"")</f>
        <v/>
      </c>
    </row>
    <row r="2436" spans="1:1" x14ac:dyDescent="0.25">
      <c r="A2436" t="str" cm="1">
        <f t="array" ref="A2436">IF(INDEX(CUEs!$A:$A,INT((ROW()-1)/7)*57+MOD(ROW()-1,7)+50)&lt;&gt;"","set "&amp;INDEX(CUEs!$A:$A,INT((ROW()-1)/7)*57+MOD(ROW()-1,7)+50)&amp;"=/ s "&amp;INDEX(CUEs!$B:$B,INT((ROW()-1)/7)*57+MOD(ROW()-1,7)+50),"")</f>
        <v/>
      </c>
    </row>
    <row r="2437" spans="1:1" x14ac:dyDescent="0.25">
      <c r="A2437" t="str" cm="1">
        <f t="array" ref="A2437">IF(INDEX(CUEs!$A:$A,INT((ROW()-1)/7)*57+MOD(ROW()-1,7)+50)&lt;&gt;"","set "&amp;INDEX(CUEs!$A:$A,INT((ROW()-1)/7)*57+MOD(ROW()-1,7)+50)&amp;"=/ s "&amp;INDEX(CUEs!$B:$B,INT((ROW()-1)/7)*57+MOD(ROW()-1,7)+50),"")</f>
        <v/>
      </c>
    </row>
    <row r="2438" spans="1:1" x14ac:dyDescent="0.25">
      <c r="A2438" t="str" cm="1">
        <f t="array" ref="A2438">IF(INDEX(CUEs!$A:$A,INT((ROW()-1)/7)*57+MOD(ROW()-1,7)+50)&lt;&gt;"","set "&amp;INDEX(CUEs!$A:$A,INT((ROW()-1)/7)*57+MOD(ROW()-1,7)+50)&amp;"=/ s "&amp;INDEX(CUEs!$B:$B,INT((ROW()-1)/7)*57+MOD(ROW()-1,7)+50),"")</f>
        <v/>
      </c>
    </row>
    <row r="2439" spans="1:1" x14ac:dyDescent="0.25">
      <c r="A2439" t="str" cm="1">
        <f t="array" ref="A2439">IF(INDEX(CUEs!$A:$A,INT((ROW()-1)/7)*57+MOD(ROW()-1,7)+50)&lt;&gt;"","set "&amp;INDEX(CUEs!$A:$A,INT((ROW()-1)/7)*57+MOD(ROW()-1,7)+50)&amp;"=/ s "&amp;INDEX(CUEs!$B:$B,INT((ROW()-1)/7)*57+MOD(ROW()-1,7)+50),"")</f>
        <v/>
      </c>
    </row>
    <row r="2440" spans="1:1" x14ac:dyDescent="0.25">
      <c r="A2440" t="str" cm="1">
        <f t="array" ref="A2440">IF(INDEX(CUEs!$A:$A,INT((ROW()-1)/7)*57+MOD(ROW()-1,7)+50)&lt;&gt;"","set "&amp;INDEX(CUEs!$A:$A,INT((ROW()-1)/7)*57+MOD(ROW()-1,7)+50)&amp;"=/ s "&amp;INDEX(CUEs!$B:$B,INT((ROW()-1)/7)*57+MOD(ROW()-1,7)+50),"")</f>
        <v/>
      </c>
    </row>
    <row r="2441" spans="1:1" x14ac:dyDescent="0.25">
      <c r="A2441" t="str" cm="1">
        <f t="array" ref="A2441">IF(INDEX(CUEs!$A:$A,INT((ROW()-1)/7)*57+MOD(ROW()-1,7)+50)&lt;&gt;"","set "&amp;INDEX(CUEs!$A:$A,INT((ROW()-1)/7)*57+MOD(ROW()-1,7)+50)&amp;"=/ s "&amp;INDEX(CUEs!$B:$B,INT((ROW()-1)/7)*57+MOD(ROW()-1,7)+50),"")</f>
        <v/>
      </c>
    </row>
    <row r="2442" spans="1:1" x14ac:dyDescent="0.25">
      <c r="A2442" t="str" cm="1">
        <f t="array" ref="A2442">IF(INDEX(CUEs!$A:$A,INT((ROW()-1)/7)*57+MOD(ROW()-1,7)+50)&lt;&gt;"","set "&amp;INDEX(CUEs!$A:$A,INT((ROW()-1)/7)*57+MOD(ROW()-1,7)+50)&amp;"=/ s "&amp;INDEX(CUEs!$B:$B,INT((ROW()-1)/7)*57+MOD(ROW()-1,7)+50),"")</f>
        <v/>
      </c>
    </row>
    <row r="2443" spans="1:1" x14ac:dyDescent="0.25">
      <c r="A2443" t="str" cm="1">
        <f t="array" ref="A2443">IF(INDEX(CUEs!$A:$A,INT((ROW()-1)/7)*57+MOD(ROW()-1,7)+50)&lt;&gt;"","set "&amp;INDEX(CUEs!$A:$A,INT((ROW()-1)/7)*57+MOD(ROW()-1,7)+50)&amp;"=/ s "&amp;INDEX(CUEs!$B:$B,INT((ROW()-1)/7)*57+MOD(ROW()-1,7)+50),"")</f>
        <v/>
      </c>
    </row>
    <row r="2444" spans="1:1" x14ac:dyDescent="0.25">
      <c r="A2444" t="str" cm="1">
        <f t="array" ref="A2444">IF(INDEX(CUEs!$A:$A,INT((ROW()-1)/7)*57+MOD(ROW()-1,7)+50)&lt;&gt;"","set "&amp;INDEX(CUEs!$A:$A,INT((ROW()-1)/7)*57+MOD(ROW()-1,7)+50)&amp;"=/ s "&amp;INDEX(CUEs!$B:$B,INT((ROW()-1)/7)*57+MOD(ROW()-1,7)+50),"")</f>
        <v/>
      </c>
    </row>
    <row r="2445" spans="1:1" x14ac:dyDescent="0.25">
      <c r="A2445" t="str" cm="1">
        <f t="array" ref="A2445">IF(INDEX(CUEs!$A:$A,INT((ROW()-1)/7)*57+MOD(ROW()-1,7)+50)&lt;&gt;"","set "&amp;INDEX(CUEs!$A:$A,INT((ROW()-1)/7)*57+MOD(ROW()-1,7)+50)&amp;"=/ s "&amp;INDEX(CUEs!$B:$B,INT((ROW()-1)/7)*57+MOD(ROW()-1,7)+50),"")</f>
        <v/>
      </c>
    </row>
    <row r="2446" spans="1:1" x14ac:dyDescent="0.25">
      <c r="A2446" t="str" cm="1">
        <f t="array" ref="A2446">IF(INDEX(CUEs!$A:$A,INT((ROW()-1)/7)*57+MOD(ROW()-1,7)+50)&lt;&gt;"","set "&amp;INDEX(CUEs!$A:$A,INT((ROW()-1)/7)*57+MOD(ROW()-1,7)+50)&amp;"=/ s "&amp;INDEX(CUEs!$B:$B,INT((ROW()-1)/7)*57+MOD(ROW()-1,7)+50),"")</f>
        <v/>
      </c>
    </row>
    <row r="2447" spans="1:1" x14ac:dyDescent="0.25">
      <c r="A2447" t="str" cm="1">
        <f t="array" ref="A2447">IF(INDEX(CUEs!$A:$A,INT((ROW()-1)/7)*57+MOD(ROW()-1,7)+50)&lt;&gt;"","set "&amp;INDEX(CUEs!$A:$A,INT((ROW()-1)/7)*57+MOD(ROW()-1,7)+50)&amp;"=/ s "&amp;INDEX(CUEs!$B:$B,INT((ROW()-1)/7)*57+MOD(ROW()-1,7)+50),"")</f>
        <v/>
      </c>
    </row>
    <row r="2448" spans="1:1" x14ac:dyDescent="0.25">
      <c r="A2448" t="str" cm="1">
        <f t="array" ref="A2448">IF(INDEX(CUEs!$A:$A,INT((ROW()-1)/7)*57+MOD(ROW()-1,7)+50)&lt;&gt;"","set "&amp;INDEX(CUEs!$A:$A,INT((ROW()-1)/7)*57+MOD(ROW()-1,7)+50)&amp;"=/ s "&amp;INDEX(CUEs!$B:$B,INT((ROW()-1)/7)*57+MOD(ROW()-1,7)+50),"")</f>
        <v/>
      </c>
    </row>
    <row r="2449" spans="1:1" x14ac:dyDescent="0.25">
      <c r="A2449" t="str" cm="1">
        <f t="array" ref="A2449">IF(INDEX(CUEs!$A:$A,INT((ROW()-1)/7)*57+MOD(ROW()-1,7)+50)&lt;&gt;"","set "&amp;INDEX(CUEs!$A:$A,INT((ROW()-1)/7)*57+MOD(ROW()-1,7)+50)&amp;"=/ s "&amp;INDEX(CUEs!$B:$B,INT((ROW()-1)/7)*57+MOD(ROW()-1,7)+50),"")</f>
        <v/>
      </c>
    </row>
    <row r="2450" spans="1:1" x14ac:dyDescent="0.25">
      <c r="A2450" t="str" cm="1">
        <f t="array" ref="A2450">IF(INDEX(CUEs!$A:$A,INT((ROW()-1)/7)*57+MOD(ROW()-1,7)+50)&lt;&gt;"","set "&amp;INDEX(CUEs!$A:$A,INT((ROW()-1)/7)*57+MOD(ROW()-1,7)+50)&amp;"=/ s "&amp;INDEX(CUEs!$B:$B,INT((ROW()-1)/7)*57+MOD(ROW()-1,7)+50),"")</f>
        <v/>
      </c>
    </row>
    <row r="2451" spans="1:1" x14ac:dyDescent="0.25">
      <c r="A2451" t="str" cm="1">
        <f t="array" ref="A2451">IF(INDEX(CUEs!$A:$A,INT((ROW()-1)/7)*57+MOD(ROW()-1,7)+50)&lt;&gt;"","set "&amp;INDEX(CUEs!$A:$A,INT((ROW()-1)/7)*57+MOD(ROW()-1,7)+50)&amp;"=/ s "&amp;INDEX(CUEs!$B:$B,INT((ROW()-1)/7)*57+MOD(ROW()-1,7)+50),"")</f>
        <v/>
      </c>
    </row>
    <row r="2452" spans="1:1" x14ac:dyDescent="0.25">
      <c r="A2452" t="str" cm="1">
        <f t="array" ref="A2452">IF(INDEX(CUEs!$A:$A,INT((ROW()-1)/7)*57+MOD(ROW()-1,7)+50)&lt;&gt;"","set "&amp;INDEX(CUEs!$A:$A,INT((ROW()-1)/7)*57+MOD(ROW()-1,7)+50)&amp;"=/ s "&amp;INDEX(CUEs!$B:$B,INT((ROW()-1)/7)*57+MOD(ROW()-1,7)+50),"")</f>
        <v/>
      </c>
    </row>
    <row r="2453" spans="1:1" x14ac:dyDescent="0.25">
      <c r="A2453" t="str" cm="1">
        <f t="array" ref="A2453">IF(INDEX(CUEs!$A:$A,INT((ROW()-1)/7)*57+MOD(ROW()-1,7)+50)&lt;&gt;"","set "&amp;INDEX(CUEs!$A:$A,INT((ROW()-1)/7)*57+MOD(ROW()-1,7)+50)&amp;"=/ s "&amp;INDEX(CUEs!$B:$B,INT((ROW()-1)/7)*57+MOD(ROW()-1,7)+50),"")</f>
        <v/>
      </c>
    </row>
    <row r="2454" spans="1:1" x14ac:dyDescent="0.25">
      <c r="A2454" t="str" cm="1">
        <f t="array" ref="A2454">IF(INDEX(CUEs!$A:$A,INT((ROW()-1)/7)*57+MOD(ROW()-1,7)+50)&lt;&gt;"","set "&amp;INDEX(CUEs!$A:$A,INT((ROW()-1)/7)*57+MOD(ROW()-1,7)+50)&amp;"=/ s "&amp;INDEX(CUEs!$B:$B,INT((ROW()-1)/7)*57+MOD(ROW()-1,7)+50),"")</f>
        <v/>
      </c>
    </row>
    <row r="2455" spans="1:1" x14ac:dyDescent="0.25">
      <c r="A2455" t="str" cm="1">
        <f t="array" ref="A2455">IF(INDEX(CUEs!$A:$A,INT((ROW()-1)/7)*57+MOD(ROW()-1,7)+50)&lt;&gt;"","set "&amp;INDEX(CUEs!$A:$A,INT((ROW()-1)/7)*57+MOD(ROW()-1,7)+50)&amp;"=/ s "&amp;INDEX(CUEs!$B:$B,INT((ROW()-1)/7)*57+MOD(ROW()-1,7)+50),"")</f>
        <v/>
      </c>
    </row>
    <row r="2456" spans="1:1" x14ac:dyDescent="0.25">
      <c r="A2456" t="str" cm="1">
        <f t="array" ref="A2456">IF(INDEX(CUEs!$A:$A,INT((ROW()-1)/7)*57+MOD(ROW()-1,7)+50)&lt;&gt;"","set "&amp;INDEX(CUEs!$A:$A,INT((ROW()-1)/7)*57+MOD(ROW()-1,7)+50)&amp;"=/ s "&amp;INDEX(CUEs!$B:$B,INT((ROW()-1)/7)*57+MOD(ROW()-1,7)+50),"")</f>
        <v/>
      </c>
    </row>
    <row r="2457" spans="1:1" x14ac:dyDescent="0.25">
      <c r="A2457" t="str" cm="1">
        <f t="array" ref="A2457">IF(INDEX(CUEs!$A:$A,INT((ROW()-1)/7)*57+MOD(ROW()-1,7)+50)&lt;&gt;"","set "&amp;INDEX(CUEs!$A:$A,INT((ROW()-1)/7)*57+MOD(ROW()-1,7)+50)&amp;"=/ s "&amp;INDEX(CUEs!$B:$B,INT((ROW()-1)/7)*57+MOD(ROW()-1,7)+50),"")</f>
        <v/>
      </c>
    </row>
    <row r="2458" spans="1:1" x14ac:dyDescent="0.25">
      <c r="A2458" t="str" cm="1">
        <f t="array" ref="A2458">IF(INDEX(CUEs!$A:$A,INT((ROW()-1)/7)*57+MOD(ROW()-1,7)+50)&lt;&gt;"","set "&amp;INDEX(CUEs!$A:$A,INT((ROW()-1)/7)*57+MOD(ROW()-1,7)+50)&amp;"=/ s "&amp;INDEX(CUEs!$B:$B,INT((ROW()-1)/7)*57+MOD(ROW()-1,7)+50),"")</f>
        <v/>
      </c>
    </row>
    <row r="2459" spans="1:1" x14ac:dyDescent="0.25">
      <c r="A2459" t="str" cm="1">
        <f t="array" ref="A2459">IF(INDEX(CUEs!$A:$A,INT((ROW()-1)/7)*57+MOD(ROW()-1,7)+50)&lt;&gt;"","set "&amp;INDEX(CUEs!$A:$A,INT((ROW()-1)/7)*57+MOD(ROW()-1,7)+50)&amp;"=/ s "&amp;INDEX(CUEs!$B:$B,INT((ROW()-1)/7)*57+MOD(ROW()-1,7)+50),"")</f>
        <v/>
      </c>
    </row>
    <row r="2460" spans="1:1" x14ac:dyDescent="0.25">
      <c r="A2460" t="str" cm="1">
        <f t="array" ref="A2460">IF(INDEX(CUEs!$A:$A,INT((ROW()-1)/7)*57+MOD(ROW()-1,7)+50)&lt;&gt;"","set "&amp;INDEX(CUEs!$A:$A,INT((ROW()-1)/7)*57+MOD(ROW()-1,7)+50)&amp;"=/ s "&amp;INDEX(CUEs!$B:$B,INT((ROW()-1)/7)*57+MOD(ROW()-1,7)+50),"")</f>
        <v/>
      </c>
    </row>
    <row r="2461" spans="1:1" x14ac:dyDescent="0.25">
      <c r="A2461" t="str" cm="1">
        <f t="array" ref="A2461">IF(INDEX(CUEs!$A:$A,INT((ROW()-1)/7)*57+MOD(ROW()-1,7)+50)&lt;&gt;"","set "&amp;INDEX(CUEs!$A:$A,INT((ROW()-1)/7)*57+MOD(ROW()-1,7)+50)&amp;"=/ s "&amp;INDEX(CUEs!$B:$B,INT((ROW()-1)/7)*57+MOD(ROW()-1,7)+50),"")</f>
        <v/>
      </c>
    </row>
    <row r="2462" spans="1:1" x14ac:dyDescent="0.25">
      <c r="A2462" t="str" cm="1">
        <f t="array" ref="A2462">IF(INDEX(CUEs!$A:$A,INT((ROW()-1)/7)*57+MOD(ROW()-1,7)+50)&lt;&gt;"","set "&amp;INDEX(CUEs!$A:$A,INT((ROW()-1)/7)*57+MOD(ROW()-1,7)+50)&amp;"=/ s "&amp;INDEX(CUEs!$B:$B,INT((ROW()-1)/7)*57+MOD(ROW()-1,7)+50),"")</f>
        <v/>
      </c>
    </row>
    <row r="2463" spans="1:1" x14ac:dyDescent="0.25">
      <c r="A2463" t="str" cm="1">
        <f t="array" ref="A2463">IF(INDEX(CUEs!$A:$A,INT((ROW()-1)/7)*57+MOD(ROW()-1,7)+50)&lt;&gt;"","set "&amp;INDEX(CUEs!$A:$A,INT((ROW()-1)/7)*57+MOD(ROW()-1,7)+50)&amp;"=/ s "&amp;INDEX(CUEs!$B:$B,INT((ROW()-1)/7)*57+MOD(ROW()-1,7)+50),"")</f>
        <v/>
      </c>
    </row>
    <row r="2464" spans="1:1" x14ac:dyDescent="0.25">
      <c r="A2464" t="str" cm="1">
        <f t="array" ref="A2464">IF(INDEX(CUEs!$A:$A,INT((ROW()-1)/7)*57+MOD(ROW()-1,7)+50)&lt;&gt;"","set "&amp;INDEX(CUEs!$A:$A,INT((ROW()-1)/7)*57+MOD(ROW()-1,7)+50)&amp;"=/ s "&amp;INDEX(CUEs!$B:$B,INT((ROW()-1)/7)*57+MOD(ROW()-1,7)+50),"")</f>
        <v/>
      </c>
    </row>
    <row r="2465" spans="1:1" x14ac:dyDescent="0.25">
      <c r="A2465" t="str" cm="1">
        <f t="array" ref="A2465">IF(INDEX(CUEs!$A:$A,INT((ROW()-1)/7)*57+MOD(ROW()-1,7)+50)&lt;&gt;"","set "&amp;INDEX(CUEs!$A:$A,INT((ROW()-1)/7)*57+MOD(ROW()-1,7)+50)&amp;"=/ s "&amp;INDEX(CUEs!$B:$B,INT((ROW()-1)/7)*57+MOD(ROW()-1,7)+50),"")</f>
        <v/>
      </c>
    </row>
    <row r="2466" spans="1:1" x14ac:dyDescent="0.25">
      <c r="A2466" t="str" cm="1">
        <f t="array" ref="A2466">IF(INDEX(CUEs!$A:$A,INT((ROW()-1)/7)*57+MOD(ROW()-1,7)+50)&lt;&gt;"","set "&amp;INDEX(CUEs!$A:$A,INT((ROW()-1)/7)*57+MOD(ROW()-1,7)+50)&amp;"=/ s "&amp;INDEX(CUEs!$B:$B,INT((ROW()-1)/7)*57+MOD(ROW()-1,7)+50),"")</f>
        <v/>
      </c>
    </row>
    <row r="2467" spans="1:1" x14ac:dyDescent="0.25">
      <c r="A2467" t="str" cm="1">
        <f t="array" ref="A2467">IF(INDEX(CUEs!$A:$A,INT((ROW()-1)/7)*57+MOD(ROW()-1,7)+50)&lt;&gt;"","set "&amp;INDEX(CUEs!$A:$A,INT((ROW()-1)/7)*57+MOD(ROW()-1,7)+50)&amp;"=/ s "&amp;INDEX(CUEs!$B:$B,INT((ROW()-1)/7)*57+MOD(ROW()-1,7)+50),"")</f>
        <v/>
      </c>
    </row>
    <row r="2468" spans="1:1" x14ac:dyDescent="0.25">
      <c r="A2468" t="str" cm="1">
        <f t="array" ref="A2468">IF(INDEX(CUEs!$A:$A,INT((ROW()-1)/7)*57+MOD(ROW()-1,7)+50)&lt;&gt;"","set "&amp;INDEX(CUEs!$A:$A,INT((ROW()-1)/7)*57+MOD(ROW()-1,7)+50)&amp;"=/ s "&amp;INDEX(CUEs!$B:$B,INT((ROW()-1)/7)*57+MOD(ROW()-1,7)+50),"")</f>
        <v/>
      </c>
    </row>
    <row r="2469" spans="1:1" x14ac:dyDescent="0.25">
      <c r="A2469" t="str" cm="1">
        <f t="array" ref="A2469">IF(INDEX(CUEs!$A:$A,INT((ROW()-1)/7)*57+MOD(ROW()-1,7)+50)&lt;&gt;"","set "&amp;INDEX(CUEs!$A:$A,INT((ROW()-1)/7)*57+MOD(ROW()-1,7)+50)&amp;"=/ s "&amp;INDEX(CUEs!$B:$B,INT((ROW()-1)/7)*57+MOD(ROW()-1,7)+50),"")</f>
        <v/>
      </c>
    </row>
    <row r="2470" spans="1:1" x14ac:dyDescent="0.25">
      <c r="A2470" t="str" cm="1">
        <f t="array" ref="A2470">IF(INDEX(CUEs!$A:$A,INT((ROW()-1)/7)*57+MOD(ROW()-1,7)+50)&lt;&gt;"","set "&amp;INDEX(CUEs!$A:$A,INT((ROW()-1)/7)*57+MOD(ROW()-1,7)+50)&amp;"=/ s "&amp;INDEX(CUEs!$B:$B,INT((ROW()-1)/7)*57+MOD(ROW()-1,7)+50),"")</f>
        <v/>
      </c>
    </row>
    <row r="2471" spans="1:1" x14ac:dyDescent="0.25">
      <c r="A2471" t="str" cm="1">
        <f t="array" ref="A2471">IF(INDEX(CUEs!$A:$A,INT((ROW()-1)/7)*57+MOD(ROW()-1,7)+50)&lt;&gt;"","set "&amp;INDEX(CUEs!$A:$A,INT((ROW()-1)/7)*57+MOD(ROW()-1,7)+50)&amp;"=/ s "&amp;INDEX(CUEs!$B:$B,INT((ROW()-1)/7)*57+MOD(ROW()-1,7)+50),"")</f>
        <v/>
      </c>
    </row>
    <row r="2472" spans="1:1" x14ac:dyDescent="0.25">
      <c r="A2472" t="str" cm="1">
        <f t="array" ref="A2472">IF(INDEX(CUEs!$A:$A,INT((ROW()-1)/7)*57+MOD(ROW()-1,7)+50)&lt;&gt;"","set "&amp;INDEX(CUEs!$A:$A,INT((ROW()-1)/7)*57+MOD(ROW()-1,7)+50)&amp;"=/ s "&amp;INDEX(CUEs!$B:$B,INT((ROW()-1)/7)*57+MOD(ROW()-1,7)+50),"")</f>
        <v/>
      </c>
    </row>
    <row r="2473" spans="1:1" x14ac:dyDescent="0.25">
      <c r="A2473" t="str" cm="1">
        <f t="array" ref="A2473">IF(INDEX(CUEs!$A:$A,INT((ROW()-1)/7)*57+MOD(ROW()-1,7)+50)&lt;&gt;"","set "&amp;INDEX(CUEs!$A:$A,INT((ROW()-1)/7)*57+MOD(ROW()-1,7)+50)&amp;"=/ s "&amp;INDEX(CUEs!$B:$B,INT((ROW()-1)/7)*57+MOD(ROW()-1,7)+50),"")</f>
        <v/>
      </c>
    </row>
    <row r="2474" spans="1:1" x14ac:dyDescent="0.25">
      <c r="A2474" t="str" cm="1">
        <f t="array" ref="A2474">IF(INDEX(CUEs!$A:$A,INT((ROW()-1)/7)*57+MOD(ROW()-1,7)+50)&lt;&gt;"","set "&amp;INDEX(CUEs!$A:$A,INT((ROW()-1)/7)*57+MOD(ROW()-1,7)+50)&amp;"=/ s "&amp;INDEX(CUEs!$B:$B,INT((ROW()-1)/7)*57+MOD(ROW()-1,7)+50),"")</f>
        <v/>
      </c>
    </row>
    <row r="2475" spans="1:1" x14ac:dyDescent="0.25">
      <c r="A2475" t="str" cm="1">
        <f t="array" ref="A2475">IF(INDEX(CUEs!$A:$A,INT((ROW()-1)/7)*57+MOD(ROW()-1,7)+50)&lt;&gt;"","set "&amp;INDEX(CUEs!$A:$A,INT((ROW()-1)/7)*57+MOD(ROW()-1,7)+50)&amp;"=/ s "&amp;INDEX(CUEs!$B:$B,INT((ROW()-1)/7)*57+MOD(ROW()-1,7)+50),"")</f>
        <v/>
      </c>
    </row>
    <row r="2476" spans="1:1" x14ac:dyDescent="0.25">
      <c r="A2476" t="str" cm="1">
        <f t="array" ref="A2476">IF(INDEX(CUEs!$A:$A,INT((ROW()-1)/7)*57+MOD(ROW()-1,7)+50)&lt;&gt;"","set "&amp;INDEX(CUEs!$A:$A,INT((ROW()-1)/7)*57+MOD(ROW()-1,7)+50)&amp;"=/ s "&amp;INDEX(CUEs!$B:$B,INT((ROW()-1)/7)*57+MOD(ROW()-1,7)+50),"")</f>
        <v/>
      </c>
    </row>
    <row r="2477" spans="1:1" x14ac:dyDescent="0.25">
      <c r="A2477" t="str" cm="1">
        <f t="array" ref="A2477">IF(INDEX(CUEs!$A:$A,INT((ROW()-1)/7)*57+MOD(ROW()-1,7)+50)&lt;&gt;"","set "&amp;INDEX(CUEs!$A:$A,INT((ROW()-1)/7)*57+MOD(ROW()-1,7)+50)&amp;"=/ s "&amp;INDEX(CUEs!$B:$B,INT((ROW()-1)/7)*57+MOD(ROW()-1,7)+50),"")</f>
        <v/>
      </c>
    </row>
    <row r="2478" spans="1:1" x14ac:dyDescent="0.25">
      <c r="A2478" t="str" cm="1">
        <f t="array" ref="A2478">IF(INDEX(CUEs!$A:$A,INT((ROW()-1)/7)*57+MOD(ROW()-1,7)+50)&lt;&gt;"","set "&amp;INDEX(CUEs!$A:$A,INT((ROW()-1)/7)*57+MOD(ROW()-1,7)+50)&amp;"=/ s "&amp;INDEX(CUEs!$B:$B,INT((ROW()-1)/7)*57+MOD(ROW()-1,7)+50),"")</f>
        <v/>
      </c>
    </row>
    <row r="2479" spans="1:1" x14ac:dyDescent="0.25">
      <c r="A2479" t="str" cm="1">
        <f t="array" ref="A2479">IF(INDEX(CUEs!$A:$A,INT((ROW()-1)/7)*57+MOD(ROW()-1,7)+50)&lt;&gt;"","set "&amp;INDEX(CUEs!$A:$A,INT((ROW()-1)/7)*57+MOD(ROW()-1,7)+50)&amp;"=/ s "&amp;INDEX(CUEs!$B:$B,INT((ROW()-1)/7)*57+MOD(ROW()-1,7)+50),"")</f>
        <v/>
      </c>
    </row>
    <row r="2480" spans="1:1" x14ac:dyDescent="0.25">
      <c r="A2480" t="str" cm="1">
        <f t="array" ref="A2480">IF(INDEX(CUEs!$A:$A,INT((ROW()-1)/7)*57+MOD(ROW()-1,7)+50)&lt;&gt;"","set "&amp;INDEX(CUEs!$A:$A,INT((ROW()-1)/7)*57+MOD(ROW()-1,7)+50)&amp;"=/ s "&amp;INDEX(CUEs!$B:$B,INT((ROW()-1)/7)*57+MOD(ROW()-1,7)+50),"")</f>
        <v/>
      </c>
    </row>
    <row r="2481" spans="1:1" x14ac:dyDescent="0.25">
      <c r="A2481" t="str" cm="1">
        <f t="array" ref="A2481">IF(INDEX(CUEs!$A:$A,INT((ROW()-1)/7)*57+MOD(ROW()-1,7)+50)&lt;&gt;"","set "&amp;INDEX(CUEs!$A:$A,INT((ROW()-1)/7)*57+MOD(ROW()-1,7)+50)&amp;"=/ s "&amp;INDEX(CUEs!$B:$B,INT((ROW()-1)/7)*57+MOD(ROW()-1,7)+50),"")</f>
        <v/>
      </c>
    </row>
    <row r="2482" spans="1:1" x14ac:dyDescent="0.25">
      <c r="A2482" t="str" cm="1">
        <f t="array" ref="A2482">IF(INDEX(CUEs!$A:$A,INT((ROW()-1)/7)*57+MOD(ROW()-1,7)+50)&lt;&gt;"","set "&amp;INDEX(CUEs!$A:$A,INT((ROW()-1)/7)*57+MOD(ROW()-1,7)+50)&amp;"=/ s "&amp;INDEX(CUEs!$B:$B,INT((ROW()-1)/7)*57+MOD(ROW()-1,7)+50),"")</f>
        <v/>
      </c>
    </row>
    <row r="2483" spans="1:1" x14ac:dyDescent="0.25">
      <c r="A2483" t="str" cm="1">
        <f t="array" ref="A2483">IF(INDEX(CUEs!$A:$A,INT((ROW()-1)/7)*57+MOD(ROW()-1,7)+50)&lt;&gt;"","set "&amp;INDEX(CUEs!$A:$A,INT((ROW()-1)/7)*57+MOD(ROW()-1,7)+50)&amp;"=/ s "&amp;INDEX(CUEs!$B:$B,INT((ROW()-1)/7)*57+MOD(ROW()-1,7)+50),"")</f>
        <v/>
      </c>
    </row>
    <row r="2484" spans="1:1" x14ac:dyDescent="0.25">
      <c r="A2484" t="str" cm="1">
        <f t="array" ref="A2484">IF(INDEX(CUEs!$A:$A,INT((ROW()-1)/7)*57+MOD(ROW()-1,7)+50)&lt;&gt;"","set "&amp;INDEX(CUEs!$A:$A,INT((ROW()-1)/7)*57+MOD(ROW()-1,7)+50)&amp;"=/ s "&amp;INDEX(CUEs!$B:$B,INT((ROW()-1)/7)*57+MOD(ROW()-1,7)+50),"")</f>
        <v/>
      </c>
    </row>
    <row r="2485" spans="1:1" x14ac:dyDescent="0.25">
      <c r="A2485" t="str" cm="1">
        <f t="array" ref="A2485">IF(INDEX(CUEs!$A:$A,INT((ROW()-1)/7)*57+MOD(ROW()-1,7)+50)&lt;&gt;"","set "&amp;INDEX(CUEs!$A:$A,INT((ROW()-1)/7)*57+MOD(ROW()-1,7)+50)&amp;"=/ s "&amp;INDEX(CUEs!$B:$B,INT((ROW()-1)/7)*57+MOD(ROW()-1,7)+50),"")</f>
        <v/>
      </c>
    </row>
    <row r="2486" spans="1:1" x14ac:dyDescent="0.25">
      <c r="A2486" t="str" cm="1">
        <f t="array" ref="A2486">IF(INDEX(CUEs!$A:$A,INT((ROW()-1)/7)*57+MOD(ROW()-1,7)+50)&lt;&gt;"","set "&amp;INDEX(CUEs!$A:$A,INT((ROW()-1)/7)*57+MOD(ROW()-1,7)+50)&amp;"=/ s "&amp;INDEX(CUEs!$B:$B,INT((ROW()-1)/7)*57+MOD(ROW()-1,7)+50),"")</f>
        <v/>
      </c>
    </row>
    <row r="2487" spans="1:1" x14ac:dyDescent="0.25">
      <c r="A2487" t="str" cm="1">
        <f t="array" ref="A2487">IF(INDEX(CUEs!$A:$A,INT((ROW()-1)/7)*57+MOD(ROW()-1,7)+50)&lt;&gt;"","set "&amp;INDEX(CUEs!$A:$A,INT((ROW()-1)/7)*57+MOD(ROW()-1,7)+50)&amp;"=/ s "&amp;INDEX(CUEs!$B:$B,INT((ROW()-1)/7)*57+MOD(ROW()-1,7)+50),"")</f>
        <v/>
      </c>
    </row>
    <row r="2488" spans="1:1" x14ac:dyDescent="0.25">
      <c r="A2488" t="str" cm="1">
        <f t="array" ref="A2488">IF(INDEX(CUEs!$A:$A,INT((ROW()-1)/7)*57+MOD(ROW()-1,7)+50)&lt;&gt;"","set "&amp;INDEX(CUEs!$A:$A,INT((ROW()-1)/7)*57+MOD(ROW()-1,7)+50)&amp;"=/ s "&amp;INDEX(CUEs!$B:$B,INT((ROW()-1)/7)*57+MOD(ROW()-1,7)+50),"")</f>
        <v/>
      </c>
    </row>
    <row r="2489" spans="1:1" x14ac:dyDescent="0.25">
      <c r="A2489" t="str" cm="1">
        <f t="array" ref="A2489">IF(INDEX(CUEs!$A:$A,INT((ROW()-1)/7)*57+MOD(ROW()-1,7)+50)&lt;&gt;"","set "&amp;INDEX(CUEs!$A:$A,INT((ROW()-1)/7)*57+MOD(ROW()-1,7)+50)&amp;"=/ s "&amp;INDEX(CUEs!$B:$B,INT((ROW()-1)/7)*57+MOD(ROW()-1,7)+50),"")</f>
        <v/>
      </c>
    </row>
    <row r="2490" spans="1:1" x14ac:dyDescent="0.25">
      <c r="A2490" t="str" cm="1">
        <f t="array" ref="A2490">IF(INDEX(CUEs!$A:$A,INT((ROW()-1)/7)*57+MOD(ROW()-1,7)+50)&lt;&gt;"","set "&amp;INDEX(CUEs!$A:$A,INT((ROW()-1)/7)*57+MOD(ROW()-1,7)+50)&amp;"=/ s "&amp;INDEX(CUEs!$B:$B,INT((ROW()-1)/7)*57+MOD(ROW()-1,7)+50),"")</f>
        <v/>
      </c>
    </row>
    <row r="2491" spans="1:1" x14ac:dyDescent="0.25">
      <c r="A2491" t="str" cm="1">
        <f t="array" ref="A2491">IF(INDEX(CUEs!$A:$A,INT((ROW()-1)/7)*57+MOD(ROW()-1,7)+50)&lt;&gt;"","set "&amp;INDEX(CUEs!$A:$A,INT((ROW()-1)/7)*57+MOD(ROW()-1,7)+50)&amp;"=/ s "&amp;INDEX(CUEs!$B:$B,INT((ROW()-1)/7)*57+MOD(ROW()-1,7)+50),"")</f>
        <v/>
      </c>
    </row>
    <row r="2492" spans="1:1" x14ac:dyDescent="0.25">
      <c r="A2492" t="str" cm="1">
        <f t="array" ref="A2492">IF(INDEX(CUEs!$A:$A,INT((ROW()-1)/7)*57+MOD(ROW()-1,7)+50)&lt;&gt;"","set "&amp;INDEX(CUEs!$A:$A,INT((ROW()-1)/7)*57+MOD(ROW()-1,7)+50)&amp;"=/ s "&amp;INDEX(CUEs!$B:$B,INT((ROW()-1)/7)*57+MOD(ROW()-1,7)+50),"")</f>
        <v/>
      </c>
    </row>
    <row r="2493" spans="1:1" x14ac:dyDescent="0.25">
      <c r="A2493" t="str" cm="1">
        <f t="array" ref="A2493">IF(INDEX(CUEs!$A:$A,INT((ROW()-1)/7)*57+MOD(ROW()-1,7)+50)&lt;&gt;"","set "&amp;INDEX(CUEs!$A:$A,INT((ROW()-1)/7)*57+MOD(ROW()-1,7)+50)&amp;"=/ s "&amp;INDEX(CUEs!$B:$B,INT((ROW()-1)/7)*57+MOD(ROW()-1,7)+50),"")</f>
        <v/>
      </c>
    </row>
    <row r="2494" spans="1:1" x14ac:dyDescent="0.25">
      <c r="A2494" t="str" cm="1">
        <f t="array" ref="A2494">IF(INDEX(CUEs!$A:$A,INT((ROW()-1)/7)*57+MOD(ROW()-1,7)+50)&lt;&gt;"","set "&amp;INDEX(CUEs!$A:$A,INT((ROW()-1)/7)*57+MOD(ROW()-1,7)+50)&amp;"=/ s "&amp;INDEX(CUEs!$B:$B,INT((ROW()-1)/7)*57+MOD(ROW()-1,7)+50),"")</f>
        <v/>
      </c>
    </row>
    <row r="2495" spans="1:1" x14ac:dyDescent="0.25">
      <c r="A2495" t="str" cm="1">
        <f t="array" ref="A2495">IF(INDEX(CUEs!$A:$A,INT((ROW()-1)/7)*57+MOD(ROW()-1,7)+50)&lt;&gt;"","set "&amp;INDEX(CUEs!$A:$A,INT((ROW()-1)/7)*57+MOD(ROW()-1,7)+50)&amp;"=/ s "&amp;INDEX(CUEs!$B:$B,INT((ROW()-1)/7)*57+MOD(ROW()-1,7)+50),"")</f>
        <v/>
      </c>
    </row>
    <row r="2496" spans="1:1" x14ac:dyDescent="0.25">
      <c r="A2496" t="str" cm="1">
        <f t="array" ref="A2496">IF(INDEX(CUEs!$A:$A,INT((ROW()-1)/7)*57+MOD(ROW()-1,7)+50)&lt;&gt;"","set "&amp;INDEX(CUEs!$A:$A,INT((ROW()-1)/7)*57+MOD(ROW()-1,7)+50)&amp;"=/ s "&amp;INDEX(CUEs!$B:$B,INT((ROW()-1)/7)*57+MOD(ROW()-1,7)+50),"")</f>
        <v/>
      </c>
    </row>
    <row r="2497" spans="1:1" x14ac:dyDescent="0.25">
      <c r="A2497" t="str" cm="1">
        <f t="array" ref="A2497">IF(INDEX(CUEs!$A:$A,INT((ROW()-1)/7)*57+MOD(ROW()-1,7)+50)&lt;&gt;"","set "&amp;INDEX(CUEs!$A:$A,INT((ROW()-1)/7)*57+MOD(ROW()-1,7)+50)&amp;"=/ s "&amp;INDEX(CUEs!$B:$B,INT((ROW()-1)/7)*57+MOD(ROW()-1,7)+50),"")</f>
        <v/>
      </c>
    </row>
    <row r="2498" spans="1:1" x14ac:dyDescent="0.25">
      <c r="A2498" t="str" cm="1">
        <f t="array" ref="A2498">IF(INDEX(CUEs!$A:$A,INT((ROW()-1)/7)*57+MOD(ROW()-1,7)+50)&lt;&gt;"","set "&amp;INDEX(CUEs!$A:$A,INT((ROW()-1)/7)*57+MOD(ROW()-1,7)+50)&amp;"=/ s "&amp;INDEX(CUEs!$B:$B,INT((ROW()-1)/7)*57+MOD(ROW()-1,7)+50),"")</f>
        <v/>
      </c>
    </row>
    <row r="2499" spans="1:1" x14ac:dyDescent="0.25">
      <c r="A2499" t="str" cm="1">
        <f t="array" ref="A2499">IF(INDEX(CUEs!$A:$A,INT((ROW()-1)/7)*57+MOD(ROW()-1,7)+50)&lt;&gt;"","set "&amp;INDEX(CUEs!$A:$A,INT((ROW()-1)/7)*57+MOD(ROW()-1,7)+50)&amp;"=/ s "&amp;INDEX(CUEs!$B:$B,INT((ROW()-1)/7)*57+MOD(ROW()-1,7)+50),"")</f>
        <v/>
      </c>
    </row>
    <row r="2500" spans="1:1" x14ac:dyDescent="0.25">
      <c r="A2500" t="str" cm="1">
        <f t="array" ref="A2500">IF(INDEX(CUEs!$A:$A,INT((ROW()-1)/7)*57+MOD(ROW()-1,7)+50)&lt;&gt;"","set "&amp;INDEX(CUEs!$A:$A,INT((ROW()-1)/7)*57+MOD(ROW()-1,7)+50)&amp;"=/ s "&amp;INDEX(CUEs!$B:$B,INT((ROW()-1)/7)*57+MOD(ROW()-1,7)+50),"")</f>
        <v/>
      </c>
    </row>
    <row r="2501" spans="1:1" x14ac:dyDescent="0.25">
      <c r="A2501" t="str" cm="1">
        <f t="array" ref="A2501">IF(INDEX(CUEs!$A:$A,INT((ROW()-1)/7)*57+MOD(ROW()-1,7)+50)&lt;&gt;"","set "&amp;INDEX(CUEs!$A:$A,INT((ROW()-1)/7)*57+MOD(ROW()-1,7)+50)&amp;"=/ s "&amp;INDEX(CUEs!$B:$B,INT((ROW()-1)/7)*57+MOD(ROW()-1,7)+50),"")</f>
        <v/>
      </c>
    </row>
    <row r="2502" spans="1:1" x14ac:dyDescent="0.25">
      <c r="A2502" t="str" cm="1">
        <f t="array" ref="A2502">IF(INDEX(CUEs!$A:$A,INT((ROW()-1)/7)*57+MOD(ROW()-1,7)+50)&lt;&gt;"","set "&amp;INDEX(CUEs!$A:$A,INT((ROW()-1)/7)*57+MOD(ROW()-1,7)+50)&amp;"=/ s "&amp;INDEX(CUEs!$B:$B,INT((ROW()-1)/7)*57+MOD(ROW()-1,7)+50),"")</f>
        <v/>
      </c>
    </row>
    <row r="2503" spans="1:1" x14ac:dyDescent="0.25">
      <c r="A2503" t="str" cm="1">
        <f t="array" ref="A2503">IF(INDEX(CUEs!$A:$A,INT((ROW()-1)/7)*57+MOD(ROW()-1,7)+50)&lt;&gt;"","set "&amp;INDEX(CUEs!$A:$A,INT((ROW()-1)/7)*57+MOD(ROW()-1,7)+50)&amp;"=/ s "&amp;INDEX(CUEs!$B:$B,INT((ROW()-1)/7)*57+MOD(ROW()-1,7)+50),"")</f>
        <v/>
      </c>
    </row>
    <row r="2504" spans="1:1" x14ac:dyDescent="0.25">
      <c r="A2504" t="str" cm="1">
        <f t="array" ref="A2504">IF(INDEX(CUEs!$A:$A,INT((ROW()-1)/7)*57+MOD(ROW()-1,7)+50)&lt;&gt;"","set "&amp;INDEX(CUEs!$A:$A,INT((ROW()-1)/7)*57+MOD(ROW()-1,7)+50)&amp;"=/ s "&amp;INDEX(CUEs!$B:$B,INT((ROW()-1)/7)*57+MOD(ROW()-1,7)+50),"")</f>
        <v/>
      </c>
    </row>
    <row r="2505" spans="1:1" x14ac:dyDescent="0.25">
      <c r="A2505" t="str" cm="1">
        <f t="array" ref="A2505">IF(INDEX(CUEs!$A:$A,INT((ROW()-1)/7)*57+MOD(ROW()-1,7)+50)&lt;&gt;"","set "&amp;INDEX(CUEs!$A:$A,INT((ROW()-1)/7)*57+MOD(ROW()-1,7)+50)&amp;"=/ s "&amp;INDEX(CUEs!$B:$B,INT((ROW()-1)/7)*57+MOD(ROW()-1,7)+50),"")</f>
        <v/>
      </c>
    </row>
    <row r="2506" spans="1:1" x14ac:dyDescent="0.25">
      <c r="A2506" t="str" cm="1">
        <f t="array" ref="A2506">IF(INDEX(CUEs!$A:$A,INT((ROW()-1)/7)*57+MOD(ROW()-1,7)+50)&lt;&gt;"","set "&amp;INDEX(CUEs!$A:$A,INT((ROW()-1)/7)*57+MOD(ROW()-1,7)+50)&amp;"=/ s "&amp;INDEX(CUEs!$B:$B,INT((ROW()-1)/7)*57+MOD(ROW()-1,7)+50),"")</f>
        <v/>
      </c>
    </row>
    <row r="2507" spans="1:1" x14ac:dyDescent="0.25">
      <c r="A2507" t="str" cm="1">
        <f t="array" ref="A2507">IF(INDEX(CUEs!$A:$A,INT((ROW()-1)/7)*57+MOD(ROW()-1,7)+50)&lt;&gt;"","set "&amp;INDEX(CUEs!$A:$A,INT((ROW()-1)/7)*57+MOD(ROW()-1,7)+50)&amp;"=/ s "&amp;INDEX(CUEs!$B:$B,INT((ROW()-1)/7)*57+MOD(ROW()-1,7)+50),"")</f>
        <v/>
      </c>
    </row>
    <row r="2508" spans="1:1" x14ac:dyDescent="0.25">
      <c r="A2508" t="str" cm="1">
        <f t="array" ref="A2508">IF(INDEX(CUEs!$A:$A,INT((ROW()-1)/7)*57+MOD(ROW()-1,7)+50)&lt;&gt;"","set "&amp;INDEX(CUEs!$A:$A,INT((ROW()-1)/7)*57+MOD(ROW()-1,7)+50)&amp;"=/ s "&amp;INDEX(CUEs!$B:$B,INT((ROW()-1)/7)*57+MOD(ROW()-1,7)+50),"")</f>
        <v/>
      </c>
    </row>
    <row r="2509" spans="1:1" x14ac:dyDescent="0.25">
      <c r="A2509" t="str" cm="1">
        <f t="array" ref="A2509">IF(INDEX(CUEs!$A:$A,INT((ROW()-1)/7)*57+MOD(ROW()-1,7)+50)&lt;&gt;"","set "&amp;INDEX(CUEs!$A:$A,INT((ROW()-1)/7)*57+MOD(ROW()-1,7)+50)&amp;"=/ s "&amp;INDEX(CUEs!$B:$B,INT((ROW()-1)/7)*57+MOD(ROW()-1,7)+50),"")</f>
        <v/>
      </c>
    </row>
    <row r="2510" spans="1:1" x14ac:dyDescent="0.25">
      <c r="A2510" t="str" cm="1">
        <f t="array" ref="A2510">IF(INDEX(CUEs!$A:$A,INT((ROW()-1)/7)*57+MOD(ROW()-1,7)+50)&lt;&gt;"","set "&amp;INDEX(CUEs!$A:$A,INT((ROW()-1)/7)*57+MOD(ROW()-1,7)+50)&amp;"=/ s "&amp;INDEX(CUEs!$B:$B,INT((ROW()-1)/7)*57+MOD(ROW()-1,7)+50),"")</f>
        <v/>
      </c>
    </row>
    <row r="2511" spans="1:1" x14ac:dyDescent="0.25">
      <c r="A2511" t="str" cm="1">
        <f t="array" ref="A2511">IF(INDEX(CUEs!$A:$A,INT((ROW()-1)/7)*57+MOD(ROW()-1,7)+50)&lt;&gt;"","set "&amp;INDEX(CUEs!$A:$A,INT((ROW()-1)/7)*57+MOD(ROW()-1,7)+50)&amp;"=/ s "&amp;INDEX(CUEs!$B:$B,INT((ROW()-1)/7)*57+MOD(ROW()-1,7)+50),"")</f>
        <v/>
      </c>
    </row>
    <row r="2512" spans="1:1" x14ac:dyDescent="0.25">
      <c r="A2512" t="str" cm="1">
        <f t="array" ref="A2512">IF(INDEX(CUEs!$A:$A,INT((ROW()-1)/7)*57+MOD(ROW()-1,7)+50)&lt;&gt;"","set "&amp;INDEX(CUEs!$A:$A,INT((ROW()-1)/7)*57+MOD(ROW()-1,7)+50)&amp;"=/ s "&amp;INDEX(CUEs!$B:$B,INT((ROW()-1)/7)*57+MOD(ROW()-1,7)+50),"")</f>
        <v/>
      </c>
    </row>
    <row r="2513" spans="1:1" x14ac:dyDescent="0.25">
      <c r="A2513" t="str" cm="1">
        <f t="array" ref="A2513">IF(INDEX(CUEs!$A:$A,INT((ROW()-1)/7)*57+MOD(ROW()-1,7)+50)&lt;&gt;"","set "&amp;INDEX(CUEs!$A:$A,INT((ROW()-1)/7)*57+MOD(ROW()-1,7)+50)&amp;"=/ s "&amp;INDEX(CUEs!$B:$B,INT((ROW()-1)/7)*57+MOD(ROW()-1,7)+50),"")</f>
        <v/>
      </c>
    </row>
    <row r="2514" spans="1:1" x14ac:dyDescent="0.25">
      <c r="A2514" t="str" cm="1">
        <f t="array" ref="A2514">IF(INDEX(CUEs!$A:$A,INT((ROW()-1)/7)*57+MOD(ROW()-1,7)+50)&lt;&gt;"","set "&amp;INDEX(CUEs!$A:$A,INT((ROW()-1)/7)*57+MOD(ROW()-1,7)+50)&amp;"=/ s "&amp;INDEX(CUEs!$B:$B,INT((ROW()-1)/7)*57+MOD(ROW()-1,7)+50),"")</f>
        <v/>
      </c>
    </row>
    <row r="2515" spans="1:1" x14ac:dyDescent="0.25">
      <c r="A2515" t="str" cm="1">
        <f t="array" ref="A2515">IF(INDEX(CUEs!$A:$A,INT((ROW()-1)/7)*57+MOD(ROW()-1,7)+50)&lt;&gt;"","set "&amp;INDEX(CUEs!$A:$A,INT((ROW()-1)/7)*57+MOD(ROW()-1,7)+50)&amp;"=/ s "&amp;INDEX(CUEs!$B:$B,INT((ROW()-1)/7)*57+MOD(ROW()-1,7)+50),"")</f>
        <v/>
      </c>
    </row>
    <row r="2516" spans="1:1" x14ac:dyDescent="0.25">
      <c r="A2516" t="str" cm="1">
        <f t="array" ref="A2516">IF(INDEX(CUEs!$A:$A,INT((ROW()-1)/7)*57+MOD(ROW()-1,7)+50)&lt;&gt;"","set "&amp;INDEX(CUEs!$A:$A,INT((ROW()-1)/7)*57+MOD(ROW()-1,7)+50)&amp;"=/ s "&amp;INDEX(CUEs!$B:$B,INT((ROW()-1)/7)*57+MOD(ROW()-1,7)+50),"")</f>
        <v/>
      </c>
    </row>
    <row r="2517" spans="1:1" x14ac:dyDescent="0.25">
      <c r="A2517" t="str" cm="1">
        <f t="array" ref="A2517">IF(INDEX(CUEs!$A:$A,INT((ROW()-1)/7)*57+MOD(ROW()-1,7)+50)&lt;&gt;"","set "&amp;INDEX(CUEs!$A:$A,INT((ROW()-1)/7)*57+MOD(ROW()-1,7)+50)&amp;"=/ s "&amp;INDEX(CUEs!$B:$B,INT((ROW()-1)/7)*57+MOD(ROW()-1,7)+50),"")</f>
        <v/>
      </c>
    </row>
    <row r="2518" spans="1:1" x14ac:dyDescent="0.25">
      <c r="A2518" t="str" cm="1">
        <f t="array" ref="A2518">IF(INDEX(CUEs!$A:$A,INT((ROW()-1)/7)*57+MOD(ROW()-1,7)+50)&lt;&gt;"","set "&amp;INDEX(CUEs!$A:$A,INT((ROW()-1)/7)*57+MOD(ROW()-1,7)+50)&amp;"=/ s "&amp;INDEX(CUEs!$B:$B,INT((ROW()-1)/7)*57+MOD(ROW()-1,7)+50),"")</f>
        <v/>
      </c>
    </row>
    <row r="2519" spans="1:1" x14ac:dyDescent="0.25">
      <c r="A2519" t="str" cm="1">
        <f t="array" ref="A2519">IF(INDEX(CUEs!$A:$A,INT((ROW()-1)/7)*57+MOD(ROW()-1,7)+50)&lt;&gt;"","set "&amp;INDEX(CUEs!$A:$A,INT((ROW()-1)/7)*57+MOD(ROW()-1,7)+50)&amp;"=/ s "&amp;INDEX(CUEs!$B:$B,INT((ROW()-1)/7)*57+MOD(ROW()-1,7)+50),"")</f>
        <v/>
      </c>
    </row>
    <row r="2520" spans="1:1" x14ac:dyDescent="0.25">
      <c r="A2520" t="str" cm="1">
        <f t="array" ref="A2520">IF(INDEX(CUEs!$A:$A,INT((ROW()-1)/7)*57+MOD(ROW()-1,7)+50)&lt;&gt;"","set "&amp;INDEX(CUEs!$A:$A,INT((ROW()-1)/7)*57+MOD(ROW()-1,7)+50)&amp;"=/ s "&amp;INDEX(CUEs!$B:$B,INT((ROW()-1)/7)*57+MOD(ROW()-1,7)+50),"")</f>
        <v/>
      </c>
    </row>
    <row r="2521" spans="1:1" x14ac:dyDescent="0.25">
      <c r="A2521" t="str" cm="1">
        <f t="array" ref="A2521">IF(INDEX(CUEs!$A:$A,INT((ROW()-1)/7)*57+MOD(ROW()-1,7)+50)&lt;&gt;"","set "&amp;INDEX(CUEs!$A:$A,INT((ROW()-1)/7)*57+MOD(ROW()-1,7)+50)&amp;"=/ s "&amp;INDEX(CUEs!$B:$B,INT((ROW()-1)/7)*57+MOD(ROW()-1,7)+50),"")</f>
        <v/>
      </c>
    </row>
    <row r="2522" spans="1:1" x14ac:dyDescent="0.25">
      <c r="A2522" t="str" cm="1">
        <f t="array" ref="A2522">IF(INDEX(CUEs!$A:$A,INT((ROW()-1)/7)*57+MOD(ROW()-1,7)+50)&lt;&gt;"","set "&amp;INDEX(CUEs!$A:$A,INT((ROW()-1)/7)*57+MOD(ROW()-1,7)+50)&amp;"=/ s "&amp;INDEX(CUEs!$B:$B,INT((ROW()-1)/7)*57+MOD(ROW()-1,7)+50),"")</f>
        <v/>
      </c>
    </row>
    <row r="2523" spans="1:1" x14ac:dyDescent="0.25">
      <c r="A2523" t="str" cm="1">
        <f t="array" ref="A2523">IF(INDEX(CUEs!$A:$A,INT((ROW()-1)/7)*57+MOD(ROW()-1,7)+50)&lt;&gt;"","set "&amp;INDEX(CUEs!$A:$A,INT((ROW()-1)/7)*57+MOD(ROW()-1,7)+50)&amp;"=/ s "&amp;INDEX(CUEs!$B:$B,INT((ROW()-1)/7)*57+MOD(ROW()-1,7)+50),"")</f>
        <v/>
      </c>
    </row>
    <row r="2524" spans="1:1" x14ac:dyDescent="0.25">
      <c r="A2524" t="str" cm="1">
        <f t="array" ref="A2524">IF(INDEX(CUEs!$A:$A,INT((ROW()-1)/7)*57+MOD(ROW()-1,7)+50)&lt;&gt;"","set "&amp;INDEX(CUEs!$A:$A,INT((ROW()-1)/7)*57+MOD(ROW()-1,7)+50)&amp;"=/ s "&amp;INDEX(CUEs!$B:$B,INT((ROW()-1)/7)*57+MOD(ROW()-1,7)+50),"")</f>
        <v/>
      </c>
    </row>
    <row r="2525" spans="1:1" x14ac:dyDescent="0.25">
      <c r="A2525" t="str" cm="1">
        <f t="array" ref="A2525">IF(INDEX(CUEs!$A:$A,INT((ROW()-1)/7)*57+MOD(ROW()-1,7)+50)&lt;&gt;"","set "&amp;INDEX(CUEs!$A:$A,INT((ROW()-1)/7)*57+MOD(ROW()-1,7)+50)&amp;"=/ s "&amp;INDEX(CUEs!$B:$B,INT((ROW()-1)/7)*57+MOD(ROW()-1,7)+50),"")</f>
        <v/>
      </c>
    </row>
    <row r="2526" spans="1:1" x14ac:dyDescent="0.25">
      <c r="A2526" t="str" cm="1">
        <f t="array" ref="A2526">IF(INDEX(CUEs!$A:$A,INT((ROW()-1)/7)*57+MOD(ROW()-1,7)+50)&lt;&gt;"","set "&amp;INDEX(CUEs!$A:$A,INT((ROW()-1)/7)*57+MOD(ROW()-1,7)+50)&amp;"=/ s "&amp;INDEX(CUEs!$B:$B,INT((ROW()-1)/7)*57+MOD(ROW()-1,7)+50),"")</f>
        <v/>
      </c>
    </row>
    <row r="2527" spans="1:1" x14ac:dyDescent="0.25">
      <c r="A2527" t="str" cm="1">
        <f t="array" ref="A2527">IF(INDEX(CUEs!$A:$A,INT((ROW()-1)/7)*57+MOD(ROW()-1,7)+50)&lt;&gt;"","set "&amp;INDEX(CUEs!$A:$A,INT((ROW()-1)/7)*57+MOD(ROW()-1,7)+50)&amp;"=/ s "&amp;INDEX(CUEs!$B:$B,INT((ROW()-1)/7)*57+MOD(ROW()-1,7)+50),"")</f>
        <v/>
      </c>
    </row>
    <row r="2528" spans="1:1" x14ac:dyDescent="0.25">
      <c r="A2528" t="str" cm="1">
        <f t="array" ref="A2528">IF(INDEX(CUEs!$A:$A,INT((ROW()-1)/7)*57+MOD(ROW()-1,7)+50)&lt;&gt;"","set "&amp;INDEX(CUEs!$A:$A,INT((ROW()-1)/7)*57+MOD(ROW()-1,7)+50)&amp;"=/ s "&amp;INDEX(CUEs!$B:$B,INT((ROW()-1)/7)*57+MOD(ROW()-1,7)+50),"")</f>
        <v/>
      </c>
    </row>
    <row r="2529" spans="1:1" x14ac:dyDescent="0.25">
      <c r="A2529" t="str" cm="1">
        <f t="array" ref="A2529">IF(INDEX(CUEs!$A:$A,INT((ROW()-1)/7)*57+MOD(ROW()-1,7)+50)&lt;&gt;"","set "&amp;INDEX(CUEs!$A:$A,INT((ROW()-1)/7)*57+MOD(ROW()-1,7)+50)&amp;"=/ s "&amp;INDEX(CUEs!$B:$B,INT((ROW()-1)/7)*57+MOD(ROW()-1,7)+50),"")</f>
        <v/>
      </c>
    </row>
    <row r="2530" spans="1:1" x14ac:dyDescent="0.25">
      <c r="A2530" t="str" cm="1">
        <f t="array" ref="A2530">IF(INDEX(CUEs!$A:$A,INT((ROW()-1)/7)*57+MOD(ROW()-1,7)+50)&lt;&gt;"","set "&amp;INDEX(CUEs!$A:$A,INT((ROW()-1)/7)*57+MOD(ROW()-1,7)+50)&amp;"=/ s "&amp;INDEX(CUEs!$B:$B,INT((ROW()-1)/7)*57+MOD(ROW()-1,7)+50),"")</f>
        <v/>
      </c>
    </row>
    <row r="2531" spans="1:1" x14ac:dyDescent="0.25">
      <c r="A2531" t="str" cm="1">
        <f t="array" ref="A2531">IF(INDEX(CUEs!$A:$A,INT((ROW()-1)/7)*57+MOD(ROW()-1,7)+50)&lt;&gt;"","set "&amp;INDEX(CUEs!$A:$A,INT((ROW()-1)/7)*57+MOD(ROW()-1,7)+50)&amp;"=/ s "&amp;INDEX(CUEs!$B:$B,INT((ROW()-1)/7)*57+MOD(ROW()-1,7)+50),"")</f>
        <v/>
      </c>
    </row>
    <row r="2532" spans="1:1" x14ac:dyDescent="0.25">
      <c r="A2532" t="str" cm="1">
        <f t="array" ref="A2532">IF(INDEX(CUEs!$A:$A,INT((ROW()-1)/7)*57+MOD(ROW()-1,7)+50)&lt;&gt;"","set "&amp;INDEX(CUEs!$A:$A,INT((ROW()-1)/7)*57+MOD(ROW()-1,7)+50)&amp;"=/ s "&amp;INDEX(CUEs!$B:$B,INT((ROW()-1)/7)*57+MOD(ROW()-1,7)+50),"")</f>
        <v/>
      </c>
    </row>
    <row r="2533" spans="1:1" x14ac:dyDescent="0.25">
      <c r="A2533" t="str" cm="1">
        <f t="array" ref="A2533">IF(INDEX(CUEs!$A:$A,INT((ROW()-1)/7)*57+MOD(ROW()-1,7)+50)&lt;&gt;"","set "&amp;INDEX(CUEs!$A:$A,INT((ROW()-1)/7)*57+MOD(ROW()-1,7)+50)&amp;"=/ s "&amp;INDEX(CUEs!$B:$B,INT((ROW()-1)/7)*57+MOD(ROW()-1,7)+50),"")</f>
        <v/>
      </c>
    </row>
    <row r="2534" spans="1:1" x14ac:dyDescent="0.25">
      <c r="A2534" t="str" cm="1">
        <f t="array" ref="A2534">IF(INDEX(CUEs!$A:$A,INT((ROW()-1)/7)*57+MOD(ROW()-1,7)+50)&lt;&gt;"","set "&amp;INDEX(CUEs!$A:$A,INT((ROW()-1)/7)*57+MOD(ROW()-1,7)+50)&amp;"=/ s "&amp;INDEX(CUEs!$B:$B,INT((ROW()-1)/7)*57+MOD(ROW()-1,7)+50),"")</f>
        <v/>
      </c>
    </row>
    <row r="2535" spans="1:1" x14ac:dyDescent="0.25">
      <c r="A2535" t="str" cm="1">
        <f t="array" ref="A2535">IF(INDEX(CUEs!$A:$A,INT((ROW()-1)/7)*57+MOD(ROW()-1,7)+50)&lt;&gt;"","set "&amp;INDEX(CUEs!$A:$A,INT((ROW()-1)/7)*57+MOD(ROW()-1,7)+50)&amp;"=/ s "&amp;INDEX(CUEs!$B:$B,INT((ROW()-1)/7)*57+MOD(ROW()-1,7)+50),"")</f>
        <v/>
      </c>
    </row>
    <row r="2536" spans="1:1" x14ac:dyDescent="0.25">
      <c r="A2536" t="str" cm="1">
        <f t="array" ref="A2536">IF(INDEX(CUEs!$A:$A,INT((ROW()-1)/7)*57+MOD(ROW()-1,7)+50)&lt;&gt;"","set "&amp;INDEX(CUEs!$A:$A,INT((ROW()-1)/7)*57+MOD(ROW()-1,7)+50)&amp;"=/ s "&amp;INDEX(CUEs!$B:$B,INT((ROW()-1)/7)*57+MOD(ROW()-1,7)+50),"")</f>
        <v/>
      </c>
    </row>
    <row r="2537" spans="1:1" x14ac:dyDescent="0.25">
      <c r="A2537" t="str" cm="1">
        <f t="array" ref="A2537">IF(INDEX(CUEs!$A:$A,INT((ROW()-1)/7)*57+MOD(ROW()-1,7)+50)&lt;&gt;"","set "&amp;INDEX(CUEs!$A:$A,INT((ROW()-1)/7)*57+MOD(ROW()-1,7)+50)&amp;"=/ s "&amp;INDEX(CUEs!$B:$B,INT((ROW()-1)/7)*57+MOD(ROW()-1,7)+50),"")</f>
        <v/>
      </c>
    </row>
    <row r="2538" spans="1:1" x14ac:dyDescent="0.25">
      <c r="A2538" t="str" cm="1">
        <f t="array" ref="A2538">IF(INDEX(CUEs!$A:$A,INT((ROW()-1)/7)*57+MOD(ROW()-1,7)+50)&lt;&gt;"","set "&amp;INDEX(CUEs!$A:$A,INT((ROW()-1)/7)*57+MOD(ROW()-1,7)+50)&amp;"=/ s "&amp;INDEX(CUEs!$B:$B,INT((ROW()-1)/7)*57+MOD(ROW()-1,7)+50),"")</f>
        <v/>
      </c>
    </row>
    <row r="2539" spans="1:1" x14ac:dyDescent="0.25">
      <c r="A2539" t="str" cm="1">
        <f t="array" ref="A2539">IF(INDEX(CUEs!$A:$A,INT((ROW()-1)/7)*57+MOD(ROW()-1,7)+50)&lt;&gt;"","set "&amp;INDEX(CUEs!$A:$A,INT((ROW()-1)/7)*57+MOD(ROW()-1,7)+50)&amp;"=/ s "&amp;INDEX(CUEs!$B:$B,INT((ROW()-1)/7)*57+MOD(ROW()-1,7)+50),"")</f>
        <v/>
      </c>
    </row>
    <row r="2540" spans="1:1" x14ac:dyDescent="0.25">
      <c r="A2540" t="str" cm="1">
        <f t="array" ref="A2540">IF(INDEX(CUEs!$A:$A,INT((ROW()-1)/7)*57+MOD(ROW()-1,7)+50)&lt;&gt;"","set "&amp;INDEX(CUEs!$A:$A,INT((ROW()-1)/7)*57+MOD(ROW()-1,7)+50)&amp;"=/ s "&amp;INDEX(CUEs!$B:$B,INT((ROW()-1)/7)*57+MOD(ROW()-1,7)+50),"")</f>
        <v/>
      </c>
    </row>
    <row r="2541" spans="1:1" x14ac:dyDescent="0.25">
      <c r="A2541" t="str" cm="1">
        <f t="array" ref="A2541">IF(INDEX(CUEs!$A:$A,INT((ROW()-1)/7)*57+MOD(ROW()-1,7)+50)&lt;&gt;"","set "&amp;INDEX(CUEs!$A:$A,INT((ROW()-1)/7)*57+MOD(ROW()-1,7)+50)&amp;"=/ s "&amp;INDEX(CUEs!$B:$B,INT((ROW()-1)/7)*57+MOD(ROW()-1,7)+50),"")</f>
        <v/>
      </c>
    </row>
    <row r="2542" spans="1:1" x14ac:dyDescent="0.25">
      <c r="A2542" t="str" cm="1">
        <f t="array" ref="A2542">IF(INDEX(CUEs!$A:$A,INT((ROW()-1)/7)*57+MOD(ROW()-1,7)+50)&lt;&gt;"","set "&amp;INDEX(CUEs!$A:$A,INT((ROW()-1)/7)*57+MOD(ROW()-1,7)+50)&amp;"=/ s "&amp;INDEX(CUEs!$B:$B,INT((ROW()-1)/7)*57+MOD(ROW()-1,7)+50),"")</f>
        <v/>
      </c>
    </row>
    <row r="2543" spans="1:1" x14ac:dyDescent="0.25">
      <c r="A2543" t="str" cm="1">
        <f t="array" ref="A2543">IF(INDEX(CUEs!$A:$A,INT((ROW()-1)/7)*57+MOD(ROW()-1,7)+50)&lt;&gt;"","set "&amp;INDEX(CUEs!$A:$A,INT((ROW()-1)/7)*57+MOD(ROW()-1,7)+50)&amp;"=/ s "&amp;INDEX(CUEs!$B:$B,INT((ROW()-1)/7)*57+MOD(ROW()-1,7)+50),"")</f>
        <v/>
      </c>
    </row>
    <row r="2544" spans="1:1" x14ac:dyDescent="0.25">
      <c r="A2544" t="str" cm="1">
        <f t="array" ref="A2544">IF(INDEX(CUEs!$A:$A,INT((ROW()-1)/7)*57+MOD(ROW()-1,7)+50)&lt;&gt;"","set "&amp;INDEX(CUEs!$A:$A,INT((ROW()-1)/7)*57+MOD(ROW()-1,7)+50)&amp;"=/ s "&amp;INDEX(CUEs!$B:$B,INT((ROW()-1)/7)*57+MOD(ROW()-1,7)+50),"")</f>
        <v/>
      </c>
    </row>
    <row r="2545" spans="1:1" x14ac:dyDescent="0.25">
      <c r="A2545" t="str" cm="1">
        <f t="array" ref="A2545">IF(INDEX(CUEs!$A:$A,INT((ROW()-1)/7)*57+MOD(ROW()-1,7)+50)&lt;&gt;"","set "&amp;INDEX(CUEs!$A:$A,INT((ROW()-1)/7)*57+MOD(ROW()-1,7)+50)&amp;"=/ s "&amp;INDEX(CUEs!$B:$B,INT((ROW()-1)/7)*57+MOD(ROW()-1,7)+50),"")</f>
        <v/>
      </c>
    </row>
    <row r="2546" spans="1:1" x14ac:dyDescent="0.25">
      <c r="A2546" t="str" cm="1">
        <f t="array" ref="A2546">IF(INDEX(CUEs!$A:$A,INT((ROW()-1)/7)*57+MOD(ROW()-1,7)+50)&lt;&gt;"","set "&amp;INDEX(CUEs!$A:$A,INT((ROW()-1)/7)*57+MOD(ROW()-1,7)+50)&amp;"=/ s "&amp;INDEX(CUEs!$B:$B,INT((ROW()-1)/7)*57+MOD(ROW()-1,7)+50),"")</f>
        <v/>
      </c>
    </row>
    <row r="2547" spans="1:1" x14ac:dyDescent="0.25">
      <c r="A2547" t="str" cm="1">
        <f t="array" ref="A2547">IF(INDEX(CUEs!$A:$A,INT((ROW()-1)/7)*57+MOD(ROW()-1,7)+50)&lt;&gt;"","set "&amp;INDEX(CUEs!$A:$A,INT((ROW()-1)/7)*57+MOD(ROW()-1,7)+50)&amp;"=/ s "&amp;INDEX(CUEs!$B:$B,INT((ROW()-1)/7)*57+MOD(ROW()-1,7)+50),"")</f>
        <v/>
      </c>
    </row>
    <row r="2548" spans="1:1" x14ac:dyDescent="0.25">
      <c r="A2548" t="str" cm="1">
        <f t="array" ref="A2548">IF(INDEX(CUEs!$A:$A,INT((ROW()-1)/7)*57+MOD(ROW()-1,7)+50)&lt;&gt;"","set "&amp;INDEX(CUEs!$A:$A,INT((ROW()-1)/7)*57+MOD(ROW()-1,7)+50)&amp;"=/ s "&amp;INDEX(CUEs!$B:$B,INT((ROW()-1)/7)*57+MOD(ROW()-1,7)+50),"")</f>
        <v/>
      </c>
    </row>
    <row r="2549" spans="1:1" x14ac:dyDescent="0.25">
      <c r="A2549" t="str" cm="1">
        <f t="array" ref="A2549">IF(INDEX(CUEs!$A:$A,INT((ROW()-1)/7)*57+MOD(ROW()-1,7)+50)&lt;&gt;"","set "&amp;INDEX(CUEs!$A:$A,INT((ROW()-1)/7)*57+MOD(ROW()-1,7)+50)&amp;"=/ s "&amp;INDEX(CUEs!$B:$B,INT((ROW()-1)/7)*57+MOD(ROW()-1,7)+50),"")</f>
        <v/>
      </c>
    </row>
    <row r="2550" spans="1:1" x14ac:dyDescent="0.25">
      <c r="A2550" t="str" cm="1">
        <f t="array" ref="A2550">IF(INDEX(CUEs!$A:$A,INT((ROW()-1)/7)*57+MOD(ROW()-1,7)+50)&lt;&gt;"","set "&amp;INDEX(CUEs!$A:$A,INT((ROW()-1)/7)*57+MOD(ROW()-1,7)+50)&amp;"=/ s "&amp;INDEX(CUEs!$B:$B,INT((ROW()-1)/7)*57+MOD(ROW()-1,7)+50),"")</f>
        <v/>
      </c>
    </row>
    <row r="2551" spans="1:1" x14ac:dyDescent="0.25">
      <c r="A2551" t="str" cm="1">
        <f t="array" ref="A2551">IF(INDEX(CUEs!$A:$A,INT((ROW()-1)/7)*57+MOD(ROW()-1,7)+50)&lt;&gt;"","set "&amp;INDEX(CUEs!$A:$A,INT((ROW()-1)/7)*57+MOD(ROW()-1,7)+50)&amp;"=/ s "&amp;INDEX(CUEs!$B:$B,INT((ROW()-1)/7)*57+MOD(ROW()-1,7)+50),"")</f>
        <v/>
      </c>
    </row>
    <row r="2552" spans="1:1" x14ac:dyDescent="0.25">
      <c r="A2552" t="str" cm="1">
        <f t="array" ref="A2552">IF(INDEX(CUEs!$A:$A,INT((ROW()-1)/7)*57+MOD(ROW()-1,7)+50)&lt;&gt;"","set "&amp;INDEX(CUEs!$A:$A,INT((ROW()-1)/7)*57+MOD(ROW()-1,7)+50)&amp;"=/ s "&amp;INDEX(CUEs!$B:$B,INT((ROW()-1)/7)*57+MOD(ROW()-1,7)+50),"")</f>
        <v/>
      </c>
    </row>
    <row r="2553" spans="1:1" x14ac:dyDescent="0.25">
      <c r="A2553" t="str" cm="1">
        <f t="array" ref="A2553">IF(INDEX(CUEs!$A:$A,INT((ROW()-1)/7)*57+MOD(ROW()-1,7)+50)&lt;&gt;"","set "&amp;INDEX(CUEs!$A:$A,INT((ROW()-1)/7)*57+MOD(ROW()-1,7)+50)&amp;"=/ s "&amp;INDEX(CUEs!$B:$B,INT((ROW()-1)/7)*57+MOD(ROW()-1,7)+50),"")</f>
        <v/>
      </c>
    </row>
    <row r="2554" spans="1:1" x14ac:dyDescent="0.25">
      <c r="A2554" t="str" cm="1">
        <f t="array" ref="A2554">IF(INDEX(CUEs!$A:$A,INT((ROW()-1)/7)*57+MOD(ROW()-1,7)+50)&lt;&gt;"","set "&amp;INDEX(CUEs!$A:$A,INT((ROW()-1)/7)*57+MOD(ROW()-1,7)+50)&amp;"=/ s "&amp;INDEX(CUEs!$B:$B,INT((ROW()-1)/7)*57+MOD(ROW()-1,7)+50),"")</f>
        <v/>
      </c>
    </row>
    <row r="2555" spans="1:1" x14ac:dyDescent="0.25">
      <c r="A2555" t="str" cm="1">
        <f t="array" ref="A2555">IF(INDEX(CUEs!$A:$A,INT((ROW()-1)/7)*57+MOD(ROW()-1,7)+50)&lt;&gt;"","set "&amp;INDEX(CUEs!$A:$A,INT((ROW()-1)/7)*57+MOD(ROW()-1,7)+50)&amp;"=/ s "&amp;INDEX(CUEs!$B:$B,INT((ROW()-1)/7)*57+MOD(ROW()-1,7)+50),"")</f>
        <v/>
      </c>
    </row>
    <row r="2556" spans="1:1" x14ac:dyDescent="0.25">
      <c r="A2556" t="str" cm="1">
        <f t="array" ref="A2556">IF(INDEX(CUEs!$A:$A,INT((ROW()-1)/7)*57+MOD(ROW()-1,7)+50)&lt;&gt;"","set "&amp;INDEX(CUEs!$A:$A,INT((ROW()-1)/7)*57+MOD(ROW()-1,7)+50)&amp;"=/ s "&amp;INDEX(CUEs!$B:$B,INT((ROW()-1)/7)*57+MOD(ROW()-1,7)+50),"")</f>
        <v/>
      </c>
    </row>
    <row r="2557" spans="1:1" x14ac:dyDescent="0.25">
      <c r="A2557" t="str" cm="1">
        <f t="array" ref="A2557">IF(INDEX(CUEs!$A:$A,INT((ROW()-1)/7)*57+MOD(ROW()-1,7)+50)&lt;&gt;"","set "&amp;INDEX(CUEs!$A:$A,INT((ROW()-1)/7)*57+MOD(ROW()-1,7)+50)&amp;"=/ s "&amp;INDEX(CUEs!$B:$B,INT((ROW()-1)/7)*57+MOD(ROW()-1,7)+50),"")</f>
        <v/>
      </c>
    </row>
    <row r="2558" spans="1:1" x14ac:dyDescent="0.25">
      <c r="A2558" t="str" cm="1">
        <f t="array" ref="A2558">IF(INDEX(CUEs!$A:$A,INT((ROW()-1)/7)*57+MOD(ROW()-1,7)+50)&lt;&gt;"","set "&amp;INDEX(CUEs!$A:$A,INT((ROW()-1)/7)*57+MOD(ROW()-1,7)+50)&amp;"=/ s "&amp;INDEX(CUEs!$B:$B,INT((ROW()-1)/7)*57+MOD(ROW()-1,7)+50),"")</f>
        <v/>
      </c>
    </row>
    <row r="2559" spans="1:1" x14ac:dyDescent="0.25">
      <c r="A2559" t="str" cm="1">
        <f t="array" ref="A2559">IF(INDEX(CUEs!$A:$A,INT((ROW()-1)/7)*57+MOD(ROW()-1,7)+50)&lt;&gt;"","set "&amp;INDEX(CUEs!$A:$A,INT((ROW()-1)/7)*57+MOD(ROW()-1,7)+50)&amp;"=/ s "&amp;INDEX(CUEs!$B:$B,INT((ROW()-1)/7)*57+MOD(ROW()-1,7)+50),"")</f>
        <v/>
      </c>
    </row>
    <row r="2560" spans="1:1" x14ac:dyDescent="0.25">
      <c r="A2560" t="str" cm="1">
        <f t="array" ref="A2560">IF(INDEX(CUEs!$A:$A,INT((ROW()-1)/7)*57+MOD(ROW()-1,7)+50)&lt;&gt;"","set "&amp;INDEX(CUEs!$A:$A,INT((ROW()-1)/7)*57+MOD(ROW()-1,7)+50)&amp;"=/ s "&amp;INDEX(CUEs!$B:$B,INT((ROW()-1)/7)*57+MOD(ROW()-1,7)+50),"")</f>
        <v/>
      </c>
    </row>
    <row r="2561" spans="1:1" x14ac:dyDescent="0.25">
      <c r="A2561" t="str" cm="1">
        <f t="array" ref="A2561">IF(INDEX(CUEs!$A:$A,INT((ROW()-1)/7)*57+MOD(ROW()-1,7)+50)&lt;&gt;"","set "&amp;INDEX(CUEs!$A:$A,INT((ROW()-1)/7)*57+MOD(ROW()-1,7)+50)&amp;"=/ s "&amp;INDEX(CUEs!$B:$B,INT((ROW()-1)/7)*57+MOD(ROW()-1,7)+50),"")</f>
        <v/>
      </c>
    </row>
    <row r="2562" spans="1:1" x14ac:dyDescent="0.25">
      <c r="A2562" t="str" cm="1">
        <f t="array" ref="A2562">IF(INDEX(CUEs!$A:$A,INT((ROW()-1)/7)*57+MOD(ROW()-1,7)+50)&lt;&gt;"","set "&amp;INDEX(CUEs!$A:$A,INT((ROW()-1)/7)*57+MOD(ROW()-1,7)+50)&amp;"=/ s "&amp;INDEX(CUEs!$B:$B,INT((ROW()-1)/7)*57+MOD(ROW()-1,7)+50),"")</f>
        <v/>
      </c>
    </row>
    <row r="2563" spans="1:1" x14ac:dyDescent="0.25">
      <c r="A2563" t="str" cm="1">
        <f t="array" ref="A2563">IF(INDEX(CUEs!$A:$A,INT((ROW()-1)/7)*57+MOD(ROW()-1,7)+50)&lt;&gt;"","set "&amp;INDEX(CUEs!$A:$A,INT((ROW()-1)/7)*57+MOD(ROW()-1,7)+50)&amp;"=/ s "&amp;INDEX(CUEs!$B:$B,INT((ROW()-1)/7)*57+MOD(ROW()-1,7)+50),"")</f>
        <v/>
      </c>
    </row>
    <row r="2564" spans="1:1" x14ac:dyDescent="0.25">
      <c r="A2564" t="str" cm="1">
        <f t="array" ref="A2564">IF(INDEX(CUEs!$A:$A,INT((ROW()-1)/7)*57+MOD(ROW()-1,7)+50)&lt;&gt;"","set "&amp;INDEX(CUEs!$A:$A,INT((ROW()-1)/7)*57+MOD(ROW()-1,7)+50)&amp;"=/ s "&amp;INDEX(CUEs!$B:$B,INT((ROW()-1)/7)*57+MOD(ROW()-1,7)+50),"")</f>
        <v/>
      </c>
    </row>
    <row r="2565" spans="1:1" x14ac:dyDescent="0.25">
      <c r="A2565" t="str" cm="1">
        <f t="array" ref="A2565">IF(INDEX(CUEs!$A:$A,INT((ROW()-1)/7)*57+MOD(ROW()-1,7)+50)&lt;&gt;"","set "&amp;INDEX(CUEs!$A:$A,INT((ROW()-1)/7)*57+MOD(ROW()-1,7)+50)&amp;"=/ s "&amp;INDEX(CUEs!$B:$B,INT((ROW()-1)/7)*57+MOD(ROW()-1,7)+50),"")</f>
        <v/>
      </c>
    </row>
    <row r="2566" spans="1:1" x14ac:dyDescent="0.25">
      <c r="A2566" t="str" cm="1">
        <f t="array" ref="A2566">IF(INDEX(CUEs!$A:$A,INT((ROW()-1)/7)*57+MOD(ROW()-1,7)+50)&lt;&gt;"","set "&amp;INDEX(CUEs!$A:$A,INT((ROW()-1)/7)*57+MOD(ROW()-1,7)+50)&amp;"=/ s "&amp;INDEX(CUEs!$B:$B,INT((ROW()-1)/7)*57+MOD(ROW()-1,7)+50),"")</f>
        <v/>
      </c>
    </row>
    <row r="2567" spans="1:1" x14ac:dyDescent="0.25">
      <c r="A2567" t="str" cm="1">
        <f t="array" ref="A2567">IF(INDEX(CUEs!$A:$A,INT((ROW()-1)/7)*57+MOD(ROW()-1,7)+50)&lt;&gt;"","set "&amp;INDEX(CUEs!$A:$A,INT((ROW()-1)/7)*57+MOD(ROW()-1,7)+50)&amp;"=/ s "&amp;INDEX(CUEs!$B:$B,INT((ROW()-1)/7)*57+MOD(ROW()-1,7)+50),"")</f>
        <v/>
      </c>
    </row>
    <row r="2568" spans="1:1" x14ac:dyDescent="0.25">
      <c r="A2568" t="str" cm="1">
        <f t="array" ref="A2568">IF(INDEX(CUEs!$A:$A,INT((ROW()-1)/7)*57+MOD(ROW()-1,7)+50)&lt;&gt;"","set "&amp;INDEX(CUEs!$A:$A,INT((ROW()-1)/7)*57+MOD(ROW()-1,7)+50)&amp;"=/ s "&amp;INDEX(CUEs!$B:$B,INT((ROW()-1)/7)*57+MOD(ROW()-1,7)+50),"")</f>
        <v/>
      </c>
    </row>
    <row r="2569" spans="1:1" x14ac:dyDescent="0.25">
      <c r="A2569" t="str" cm="1">
        <f t="array" ref="A2569">IF(INDEX(CUEs!$A:$A,INT((ROW()-1)/7)*57+MOD(ROW()-1,7)+50)&lt;&gt;"","set "&amp;INDEX(CUEs!$A:$A,INT((ROW()-1)/7)*57+MOD(ROW()-1,7)+50)&amp;"=/ s "&amp;INDEX(CUEs!$B:$B,INT((ROW()-1)/7)*57+MOD(ROW()-1,7)+50),"")</f>
        <v/>
      </c>
    </row>
    <row r="2570" spans="1:1" x14ac:dyDescent="0.25">
      <c r="A2570" t="str" cm="1">
        <f t="array" ref="A2570">IF(INDEX(CUEs!$A:$A,INT((ROW()-1)/7)*57+MOD(ROW()-1,7)+50)&lt;&gt;"","set "&amp;INDEX(CUEs!$A:$A,INT((ROW()-1)/7)*57+MOD(ROW()-1,7)+50)&amp;"=/ s "&amp;INDEX(CUEs!$B:$B,INT((ROW()-1)/7)*57+MOD(ROW()-1,7)+50),"")</f>
        <v/>
      </c>
    </row>
    <row r="2571" spans="1:1" x14ac:dyDescent="0.25">
      <c r="A2571" t="str" cm="1">
        <f t="array" ref="A2571">IF(INDEX(CUEs!$A:$A,INT((ROW()-1)/7)*57+MOD(ROW()-1,7)+50)&lt;&gt;"","set "&amp;INDEX(CUEs!$A:$A,INT((ROW()-1)/7)*57+MOD(ROW()-1,7)+50)&amp;"=/ s "&amp;INDEX(CUEs!$B:$B,INT((ROW()-1)/7)*57+MOD(ROW()-1,7)+50),"")</f>
        <v/>
      </c>
    </row>
    <row r="2572" spans="1:1" x14ac:dyDescent="0.25">
      <c r="A2572" t="str" cm="1">
        <f t="array" ref="A2572">IF(INDEX(CUEs!$A:$A,INT((ROW()-1)/7)*57+MOD(ROW()-1,7)+50)&lt;&gt;"","set "&amp;INDEX(CUEs!$A:$A,INT((ROW()-1)/7)*57+MOD(ROW()-1,7)+50)&amp;"=/ s "&amp;INDEX(CUEs!$B:$B,INT((ROW()-1)/7)*57+MOD(ROW()-1,7)+50),"")</f>
        <v/>
      </c>
    </row>
    <row r="2573" spans="1:1" x14ac:dyDescent="0.25">
      <c r="A2573" t="str" cm="1">
        <f t="array" ref="A2573">IF(INDEX(CUEs!$A:$A,INT((ROW()-1)/7)*57+MOD(ROW()-1,7)+50)&lt;&gt;"","set "&amp;INDEX(CUEs!$A:$A,INT((ROW()-1)/7)*57+MOD(ROW()-1,7)+50)&amp;"=/ s "&amp;INDEX(CUEs!$B:$B,INT((ROW()-1)/7)*57+MOD(ROW()-1,7)+50),"")</f>
        <v/>
      </c>
    </row>
    <row r="2574" spans="1:1" x14ac:dyDescent="0.25">
      <c r="A2574" t="str" cm="1">
        <f t="array" ref="A2574">IF(INDEX(CUEs!$A:$A,INT((ROW()-1)/7)*57+MOD(ROW()-1,7)+50)&lt;&gt;"","set "&amp;INDEX(CUEs!$A:$A,INT((ROW()-1)/7)*57+MOD(ROW()-1,7)+50)&amp;"=/ s "&amp;INDEX(CUEs!$B:$B,INT((ROW()-1)/7)*57+MOD(ROW()-1,7)+50),"")</f>
        <v/>
      </c>
    </row>
    <row r="2575" spans="1:1" x14ac:dyDescent="0.25">
      <c r="A2575" t="str" cm="1">
        <f t="array" ref="A2575">IF(INDEX(CUEs!$A:$A,INT((ROW()-1)/7)*57+MOD(ROW()-1,7)+50)&lt;&gt;"","set "&amp;INDEX(CUEs!$A:$A,INT((ROW()-1)/7)*57+MOD(ROW()-1,7)+50)&amp;"=/ s "&amp;INDEX(CUEs!$B:$B,INT((ROW()-1)/7)*57+MOD(ROW()-1,7)+50),"")</f>
        <v/>
      </c>
    </row>
    <row r="2576" spans="1:1" x14ac:dyDescent="0.25">
      <c r="A2576" t="str" cm="1">
        <f t="array" ref="A2576">IF(INDEX(CUEs!$A:$A,INT((ROW()-1)/7)*57+MOD(ROW()-1,7)+50)&lt;&gt;"","set "&amp;INDEX(CUEs!$A:$A,INT((ROW()-1)/7)*57+MOD(ROW()-1,7)+50)&amp;"=/ s "&amp;INDEX(CUEs!$B:$B,INT((ROW()-1)/7)*57+MOD(ROW()-1,7)+50),"")</f>
        <v/>
      </c>
    </row>
    <row r="2577" spans="1:1" x14ac:dyDescent="0.25">
      <c r="A2577" t="str" cm="1">
        <f t="array" ref="A2577">IF(INDEX(CUEs!$A:$A,INT((ROW()-1)/7)*57+MOD(ROW()-1,7)+50)&lt;&gt;"","set "&amp;INDEX(CUEs!$A:$A,INT((ROW()-1)/7)*57+MOD(ROW()-1,7)+50)&amp;"=/ s "&amp;INDEX(CUEs!$B:$B,INT((ROW()-1)/7)*57+MOD(ROW()-1,7)+50),"")</f>
        <v/>
      </c>
    </row>
    <row r="2578" spans="1:1" x14ac:dyDescent="0.25">
      <c r="A2578" t="str" cm="1">
        <f t="array" ref="A2578">IF(INDEX(CUEs!$A:$A,INT((ROW()-1)/7)*57+MOD(ROW()-1,7)+50)&lt;&gt;"","set "&amp;INDEX(CUEs!$A:$A,INT((ROW()-1)/7)*57+MOD(ROW()-1,7)+50)&amp;"=/ s "&amp;INDEX(CUEs!$B:$B,INT((ROW()-1)/7)*57+MOD(ROW()-1,7)+50),"")</f>
        <v/>
      </c>
    </row>
    <row r="2579" spans="1:1" x14ac:dyDescent="0.25">
      <c r="A2579" t="str" cm="1">
        <f t="array" ref="A2579">IF(INDEX(CUEs!$A:$A,INT((ROW()-1)/7)*57+MOD(ROW()-1,7)+50)&lt;&gt;"","set "&amp;INDEX(CUEs!$A:$A,INT((ROW()-1)/7)*57+MOD(ROW()-1,7)+50)&amp;"=/ s "&amp;INDEX(CUEs!$B:$B,INT((ROW()-1)/7)*57+MOD(ROW()-1,7)+50),"")</f>
        <v/>
      </c>
    </row>
    <row r="2580" spans="1:1" x14ac:dyDescent="0.25">
      <c r="A2580" t="str" cm="1">
        <f t="array" ref="A2580">IF(INDEX(CUEs!$A:$A,INT((ROW()-1)/7)*57+MOD(ROW()-1,7)+50)&lt;&gt;"","set "&amp;INDEX(CUEs!$A:$A,INT((ROW()-1)/7)*57+MOD(ROW()-1,7)+50)&amp;"=/ s "&amp;INDEX(CUEs!$B:$B,INT((ROW()-1)/7)*57+MOD(ROW()-1,7)+50),"")</f>
        <v/>
      </c>
    </row>
    <row r="2581" spans="1:1" x14ac:dyDescent="0.25">
      <c r="A2581" t="str" cm="1">
        <f t="array" ref="A2581">IF(INDEX(CUEs!$A:$A,INT((ROW()-1)/7)*57+MOD(ROW()-1,7)+50)&lt;&gt;"","set "&amp;INDEX(CUEs!$A:$A,INT((ROW()-1)/7)*57+MOD(ROW()-1,7)+50)&amp;"=/ s "&amp;INDEX(CUEs!$B:$B,INT((ROW()-1)/7)*57+MOD(ROW()-1,7)+50),"")</f>
        <v/>
      </c>
    </row>
    <row r="2582" spans="1:1" x14ac:dyDescent="0.25">
      <c r="A2582" t="str" cm="1">
        <f t="array" ref="A2582">IF(INDEX(CUEs!$A:$A,INT((ROW()-1)/7)*57+MOD(ROW()-1,7)+50)&lt;&gt;"","set "&amp;INDEX(CUEs!$A:$A,INT((ROW()-1)/7)*57+MOD(ROW()-1,7)+50)&amp;"=/ s "&amp;INDEX(CUEs!$B:$B,INT((ROW()-1)/7)*57+MOD(ROW()-1,7)+50),"")</f>
        <v/>
      </c>
    </row>
    <row r="2583" spans="1:1" x14ac:dyDescent="0.25">
      <c r="A2583" t="str" cm="1">
        <f t="array" ref="A2583">IF(INDEX(CUEs!$A:$A,INT((ROW()-1)/7)*57+MOD(ROW()-1,7)+50)&lt;&gt;"","set "&amp;INDEX(CUEs!$A:$A,INT((ROW()-1)/7)*57+MOD(ROW()-1,7)+50)&amp;"=/ s "&amp;INDEX(CUEs!$B:$B,INT((ROW()-1)/7)*57+MOD(ROW()-1,7)+50),"")</f>
        <v/>
      </c>
    </row>
    <row r="2584" spans="1:1" x14ac:dyDescent="0.25">
      <c r="A2584" t="str" cm="1">
        <f t="array" ref="A2584">IF(INDEX(CUEs!$A:$A,INT((ROW()-1)/7)*57+MOD(ROW()-1,7)+50)&lt;&gt;"","set "&amp;INDEX(CUEs!$A:$A,INT((ROW()-1)/7)*57+MOD(ROW()-1,7)+50)&amp;"=/ s "&amp;INDEX(CUEs!$B:$B,INT((ROW()-1)/7)*57+MOD(ROW()-1,7)+50),"")</f>
        <v/>
      </c>
    </row>
    <row r="2585" spans="1:1" x14ac:dyDescent="0.25">
      <c r="A2585" t="str" cm="1">
        <f t="array" ref="A2585">IF(INDEX(CUEs!$A:$A,INT((ROW()-1)/7)*57+MOD(ROW()-1,7)+50)&lt;&gt;"","set "&amp;INDEX(CUEs!$A:$A,INT((ROW()-1)/7)*57+MOD(ROW()-1,7)+50)&amp;"=/ s "&amp;INDEX(CUEs!$B:$B,INT((ROW()-1)/7)*57+MOD(ROW()-1,7)+50),"")</f>
        <v/>
      </c>
    </row>
    <row r="2586" spans="1:1" x14ac:dyDescent="0.25">
      <c r="A2586" t="str" cm="1">
        <f t="array" ref="A2586">IF(INDEX(CUEs!$A:$A,INT((ROW()-1)/7)*57+MOD(ROW()-1,7)+50)&lt;&gt;"","set "&amp;INDEX(CUEs!$A:$A,INT((ROW()-1)/7)*57+MOD(ROW()-1,7)+50)&amp;"=/ s "&amp;INDEX(CUEs!$B:$B,INT((ROW()-1)/7)*57+MOD(ROW()-1,7)+50),"")</f>
        <v/>
      </c>
    </row>
    <row r="2587" spans="1:1" x14ac:dyDescent="0.25">
      <c r="A2587" t="str" cm="1">
        <f t="array" ref="A2587">IF(INDEX(CUEs!$A:$A,INT((ROW()-1)/7)*57+MOD(ROW()-1,7)+50)&lt;&gt;"","set "&amp;INDEX(CUEs!$A:$A,INT((ROW()-1)/7)*57+MOD(ROW()-1,7)+50)&amp;"=/ s "&amp;INDEX(CUEs!$B:$B,INT((ROW()-1)/7)*57+MOD(ROW()-1,7)+50),"")</f>
        <v/>
      </c>
    </row>
    <row r="2588" spans="1:1" x14ac:dyDescent="0.25">
      <c r="A2588" t="str" cm="1">
        <f t="array" ref="A2588">IF(INDEX(CUEs!$A:$A,INT((ROW()-1)/7)*57+MOD(ROW()-1,7)+50)&lt;&gt;"","set "&amp;INDEX(CUEs!$A:$A,INT((ROW()-1)/7)*57+MOD(ROW()-1,7)+50)&amp;"=/ s "&amp;INDEX(CUEs!$B:$B,INT((ROW()-1)/7)*57+MOD(ROW()-1,7)+50),"")</f>
        <v/>
      </c>
    </row>
    <row r="2589" spans="1:1" x14ac:dyDescent="0.25">
      <c r="A2589" t="str" cm="1">
        <f t="array" ref="A2589">IF(INDEX(CUEs!$A:$A,INT((ROW()-1)/7)*57+MOD(ROW()-1,7)+50)&lt;&gt;"","set "&amp;INDEX(CUEs!$A:$A,INT((ROW()-1)/7)*57+MOD(ROW()-1,7)+50)&amp;"=/ s "&amp;INDEX(CUEs!$B:$B,INT((ROW()-1)/7)*57+MOD(ROW()-1,7)+50),"")</f>
        <v/>
      </c>
    </row>
    <row r="2590" spans="1:1" x14ac:dyDescent="0.25">
      <c r="A2590" t="str" cm="1">
        <f t="array" ref="A2590">IF(INDEX(CUEs!$A:$A,INT((ROW()-1)/7)*57+MOD(ROW()-1,7)+50)&lt;&gt;"","set "&amp;INDEX(CUEs!$A:$A,INT((ROW()-1)/7)*57+MOD(ROW()-1,7)+50)&amp;"=/ s "&amp;INDEX(CUEs!$B:$B,INT((ROW()-1)/7)*57+MOD(ROW()-1,7)+50),"")</f>
        <v/>
      </c>
    </row>
    <row r="2591" spans="1:1" x14ac:dyDescent="0.25">
      <c r="A2591" t="str" cm="1">
        <f t="array" ref="A2591">IF(INDEX(CUEs!$A:$A,INT((ROW()-1)/7)*57+MOD(ROW()-1,7)+50)&lt;&gt;"","set "&amp;INDEX(CUEs!$A:$A,INT((ROW()-1)/7)*57+MOD(ROW()-1,7)+50)&amp;"=/ s "&amp;INDEX(CUEs!$B:$B,INT((ROW()-1)/7)*57+MOD(ROW()-1,7)+50),"")</f>
        <v/>
      </c>
    </row>
    <row r="2592" spans="1:1" x14ac:dyDescent="0.25">
      <c r="A2592" t="str" cm="1">
        <f t="array" ref="A2592">IF(INDEX(CUEs!$A:$A,INT((ROW()-1)/7)*57+MOD(ROW()-1,7)+50)&lt;&gt;"","set "&amp;INDEX(CUEs!$A:$A,INT((ROW()-1)/7)*57+MOD(ROW()-1,7)+50)&amp;"=/ s "&amp;INDEX(CUEs!$B:$B,INT((ROW()-1)/7)*57+MOD(ROW()-1,7)+50),"")</f>
        <v/>
      </c>
    </row>
    <row r="2593" spans="1:1" x14ac:dyDescent="0.25">
      <c r="A2593" t="str" cm="1">
        <f t="array" ref="A2593">IF(INDEX(CUEs!$A:$A,INT((ROW()-1)/7)*57+MOD(ROW()-1,7)+50)&lt;&gt;"","set "&amp;INDEX(CUEs!$A:$A,INT((ROW()-1)/7)*57+MOD(ROW()-1,7)+50)&amp;"=/ s "&amp;INDEX(CUEs!$B:$B,INT((ROW()-1)/7)*57+MOD(ROW()-1,7)+50),"")</f>
        <v/>
      </c>
    </row>
    <row r="2594" spans="1:1" x14ac:dyDescent="0.25">
      <c r="A2594" t="str" cm="1">
        <f t="array" ref="A2594">IF(INDEX(CUEs!$A:$A,INT((ROW()-1)/7)*57+MOD(ROW()-1,7)+50)&lt;&gt;"","set "&amp;INDEX(CUEs!$A:$A,INT((ROW()-1)/7)*57+MOD(ROW()-1,7)+50)&amp;"=/ s "&amp;INDEX(CUEs!$B:$B,INT((ROW()-1)/7)*57+MOD(ROW()-1,7)+50),"")</f>
        <v/>
      </c>
    </row>
    <row r="2595" spans="1:1" x14ac:dyDescent="0.25">
      <c r="A2595" t="str" cm="1">
        <f t="array" ref="A2595">IF(INDEX(CUEs!$A:$A,INT((ROW()-1)/7)*57+MOD(ROW()-1,7)+50)&lt;&gt;"","set "&amp;INDEX(CUEs!$A:$A,INT((ROW()-1)/7)*57+MOD(ROW()-1,7)+50)&amp;"=/ s "&amp;INDEX(CUEs!$B:$B,INT((ROW()-1)/7)*57+MOD(ROW()-1,7)+50),"")</f>
        <v/>
      </c>
    </row>
    <row r="2596" spans="1:1" x14ac:dyDescent="0.25">
      <c r="A2596" t="str" cm="1">
        <f t="array" ref="A2596">IF(INDEX(CUEs!$A:$A,INT((ROW()-1)/7)*57+MOD(ROW()-1,7)+50)&lt;&gt;"","set "&amp;INDEX(CUEs!$A:$A,INT((ROW()-1)/7)*57+MOD(ROW()-1,7)+50)&amp;"=/ s "&amp;INDEX(CUEs!$B:$B,INT((ROW()-1)/7)*57+MOD(ROW()-1,7)+50),"")</f>
        <v/>
      </c>
    </row>
    <row r="2597" spans="1:1" x14ac:dyDescent="0.25">
      <c r="A2597" t="str" cm="1">
        <f t="array" ref="A2597">IF(INDEX(CUEs!$A:$A,INT((ROW()-1)/7)*57+MOD(ROW()-1,7)+50)&lt;&gt;"","set "&amp;INDEX(CUEs!$A:$A,INT((ROW()-1)/7)*57+MOD(ROW()-1,7)+50)&amp;"=/ s "&amp;INDEX(CUEs!$B:$B,INT((ROW()-1)/7)*57+MOD(ROW()-1,7)+50),"")</f>
        <v/>
      </c>
    </row>
    <row r="2598" spans="1:1" x14ac:dyDescent="0.25">
      <c r="A2598" t="str" cm="1">
        <f t="array" ref="A2598">IF(INDEX(CUEs!$A:$A,INT((ROW()-1)/7)*57+MOD(ROW()-1,7)+50)&lt;&gt;"","set "&amp;INDEX(CUEs!$A:$A,INT((ROW()-1)/7)*57+MOD(ROW()-1,7)+50)&amp;"=/ s "&amp;INDEX(CUEs!$B:$B,INT((ROW()-1)/7)*57+MOD(ROW()-1,7)+50),"")</f>
        <v/>
      </c>
    </row>
    <row r="2599" spans="1:1" x14ac:dyDescent="0.25">
      <c r="A2599" t="str" cm="1">
        <f t="array" ref="A2599">IF(INDEX(CUEs!$A:$A,INT((ROW()-1)/7)*57+MOD(ROW()-1,7)+50)&lt;&gt;"","set "&amp;INDEX(CUEs!$A:$A,INT((ROW()-1)/7)*57+MOD(ROW()-1,7)+50)&amp;"=/ s "&amp;INDEX(CUEs!$B:$B,INT((ROW()-1)/7)*57+MOD(ROW()-1,7)+50),"")</f>
        <v/>
      </c>
    </row>
    <row r="2600" spans="1:1" x14ac:dyDescent="0.25">
      <c r="A2600" t="str" cm="1">
        <f t="array" ref="A2600">IF(INDEX(CUEs!$A:$A,INT((ROW()-1)/7)*57+MOD(ROW()-1,7)+50)&lt;&gt;"","set "&amp;INDEX(CUEs!$A:$A,INT((ROW()-1)/7)*57+MOD(ROW()-1,7)+50)&amp;"=/ s "&amp;INDEX(CUEs!$B:$B,INT((ROW()-1)/7)*57+MOD(ROW()-1,7)+50),"")</f>
        <v/>
      </c>
    </row>
    <row r="2601" spans="1:1" x14ac:dyDescent="0.25">
      <c r="A2601" t="str" cm="1">
        <f t="array" ref="A2601">IF(INDEX(CUEs!$A:$A,INT((ROW()-1)/7)*57+MOD(ROW()-1,7)+50)&lt;&gt;"","set "&amp;INDEX(CUEs!$A:$A,INT((ROW()-1)/7)*57+MOD(ROW()-1,7)+50)&amp;"=/ s "&amp;INDEX(CUEs!$B:$B,INT((ROW()-1)/7)*57+MOD(ROW()-1,7)+50),"")</f>
        <v/>
      </c>
    </row>
    <row r="2602" spans="1:1" x14ac:dyDescent="0.25">
      <c r="A2602" t="str" cm="1">
        <f t="array" ref="A2602">IF(INDEX(CUEs!$A:$A,INT((ROW()-1)/7)*57+MOD(ROW()-1,7)+50)&lt;&gt;"","set "&amp;INDEX(CUEs!$A:$A,INT((ROW()-1)/7)*57+MOD(ROW()-1,7)+50)&amp;"=/ s "&amp;INDEX(CUEs!$B:$B,INT((ROW()-1)/7)*57+MOD(ROW()-1,7)+50),"")</f>
        <v/>
      </c>
    </row>
    <row r="2603" spans="1:1" x14ac:dyDescent="0.25">
      <c r="A2603" t="str" cm="1">
        <f t="array" ref="A2603">IF(INDEX(CUEs!$A:$A,INT((ROW()-1)/7)*57+MOD(ROW()-1,7)+50)&lt;&gt;"","set "&amp;INDEX(CUEs!$A:$A,INT((ROW()-1)/7)*57+MOD(ROW()-1,7)+50)&amp;"=/ s "&amp;INDEX(CUEs!$B:$B,INT((ROW()-1)/7)*57+MOD(ROW()-1,7)+50),"")</f>
        <v/>
      </c>
    </row>
    <row r="2604" spans="1:1" x14ac:dyDescent="0.25">
      <c r="A2604" t="str" cm="1">
        <f t="array" ref="A2604">IF(INDEX(CUEs!$A:$A,INT((ROW()-1)/7)*57+MOD(ROW()-1,7)+50)&lt;&gt;"","set "&amp;INDEX(CUEs!$A:$A,INT((ROW()-1)/7)*57+MOD(ROW()-1,7)+50)&amp;"=/ s "&amp;INDEX(CUEs!$B:$B,INT((ROW()-1)/7)*57+MOD(ROW()-1,7)+50),"")</f>
        <v/>
      </c>
    </row>
    <row r="2605" spans="1:1" x14ac:dyDescent="0.25">
      <c r="A2605" t="str" cm="1">
        <f t="array" ref="A2605">IF(INDEX(CUEs!$A:$A,INT((ROW()-1)/7)*57+MOD(ROW()-1,7)+50)&lt;&gt;"","set "&amp;INDEX(CUEs!$A:$A,INT((ROW()-1)/7)*57+MOD(ROW()-1,7)+50)&amp;"=/ s "&amp;INDEX(CUEs!$B:$B,INT((ROW()-1)/7)*57+MOD(ROW()-1,7)+50),"")</f>
        <v/>
      </c>
    </row>
    <row r="2606" spans="1:1" x14ac:dyDescent="0.25">
      <c r="A2606" t="str" cm="1">
        <f t="array" ref="A2606">IF(INDEX(CUEs!$A:$A,INT((ROW()-1)/7)*57+MOD(ROW()-1,7)+50)&lt;&gt;"","set "&amp;INDEX(CUEs!$A:$A,INT((ROW()-1)/7)*57+MOD(ROW()-1,7)+50)&amp;"=/ s "&amp;INDEX(CUEs!$B:$B,INT((ROW()-1)/7)*57+MOD(ROW()-1,7)+50),"")</f>
        <v/>
      </c>
    </row>
    <row r="2607" spans="1:1" x14ac:dyDescent="0.25">
      <c r="A2607" t="str" cm="1">
        <f t="array" ref="A2607">IF(INDEX(CUEs!$A:$A,INT((ROW()-1)/7)*57+MOD(ROW()-1,7)+50)&lt;&gt;"","set "&amp;INDEX(CUEs!$A:$A,INT((ROW()-1)/7)*57+MOD(ROW()-1,7)+50)&amp;"=/ s "&amp;INDEX(CUEs!$B:$B,INT((ROW()-1)/7)*57+MOD(ROW()-1,7)+50),"")</f>
        <v/>
      </c>
    </row>
    <row r="2608" spans="1:1" x14ac:dyDescent="0.25">
      <c r="A2608" t="str" cm="1">
        <f t="array" ref="A2608">IF(INDEX(CUEs!$A:$A,INT((ROW()-1)/7)*57+MOD(ROW()-1,7)+50)&lt;&gt;"","set "&amp;INDEX(CUEs!$A:$A,INT((ROW()-1)/7)*57+MOD(ROW()-1,7)+50)&amp;"=/ s "&amp;INDEX(CUEs!$B:$B,INT((ROW()-1)/7)*57+MOD(ROW()-1,7)+50),"")</f>
        <v/>
      </c>
    </row>
    <row r="2609" spans="1:1" x14ac:dyDescent="0.25">
      <c r="A2609" t="str" cm="1">
        <f t="array" ref="A2609">IF(INDEX(CUEs!$A:$A,INT((ROW()-1)/7)*57+MOD(ROW()-1,7)+50)&lt;&gt;"","set "&amp;INDEX(CUEs!$A:$A,INT((ROW()-1)/7)*57+MOD(ROW()-1,7)+50)&amp;"=/ s "&amp;INDEX(CUEs!$B:$B,INT((ROW()-1)/7)*57+MOD(ROW()-1,7)+50),"")</f>
        <v/>
      </c>
    </row>
    <row r="2610" spans="1:1" x14ac:dyDescent="0.25">
      <c r="A2610" t="str" cm="1">
        <f t="array" ref="A2610">IF(INDEX(CUEs!$A:$A,INT((ROW()-1)/7)*57+MOD(ROW()-1,7)+50)&lt;&gt;"","set "&amp;INDEX(CUEs!$A:$A,INT((ROW()-1)/7)*57+MOD(ROW()-1,7)+50)&amp;"=/ s "&amp;INDEX(CUEs!$B:$B,INT((ROW()-1)/7)*57+MOD(ROW()-1,7)+50),"")</f>
        <v/>
      </c>
    </row>
    <row r="2611" spans="1:1" x14ac:dyDescent="0.25">
      <c r="A2611" t="str" cm="1">
        <f t="array" ref="A2611">IF(INDEX(CUEs!$A:$A,INT((ROW()-1)/7)*57+MOD(ROW()-1,7)+50)&lt;&gt;"","set "&amp;INDEX(CUEs!$A:$A,INT((ROW()-1)/7)*57+MOD(ROW()-1,7)+50)&amp;"=/ s "&amp;INDEX(CUEs!$B:$B,INT((ROW()-1)/7)*57+MOD(ROW()-1,7)+50),"")</f>
        <v/>
      </c>
    </row>
    <row r="2612" spans="1:1" x14ac:dyDescent="0.25">
      <c r="A2612" t="str" cm="1">
        <f t="array" ref="A2612">IF(INDEX(CUEs!$A:$A,INT((ROW()-1)/7)*57+MOD(ROW()-1,7)+50)&lt;&gt;"","set "&amp;INDEX(CUEs!$A:$A,INT((ROW()-1)/7)*57+MOD(ROW()-1,7)+50)&amp;"=/ s "&amp;INDEX(CUEs!$B:$B,INT((ROW()-1)/7)*57+MOD(ROW()-1,7)+50),"")</f>
        <v/>
      </c>
    </row>
    <row r="2613" spans="1:1" x14ac:dyDescent="0.25">
      <c r="A2613" t="str" cm="1">
        <f t="array" ref="A2613">IF(INDEX(CUEs!$A:$A,INT((ROW()-1)/7)*57+MOD(ROW()-1,7)+50)&lt;&gt;"","set "&amp;INDEX(CUEs!$A:$A,INT((ROW()-1)/7)*57+MOD(ROW()-1,7)+50)&amp;"=/ s "&amp;INDEX(CUEs!$B:$B,INT((ROW()-1)/7)*57+MOD(ROW()-1,7)+50),"")</f>
        <v/>
      </c>
    </row>
    <row r="2614" spans="1:1" x14ac:dyDescent="0.25">
      <c r="A2614" t="str" cm="1">
        <f t="array" ref="A2614">IF(INDEX(CUEs!$A:$A,INT((ROW()-1)/7)*57+MOD(ROW()-1,7)+50)&lt;&gt;"","set "&amp;INDEX(CUEs!$A:$A,INT((ROW()-1)/7)*57+MOD(ROW()-1,7)+50)&amp;"=/ s "&amp;INDEX(CUEs!$B:$B,INT((ROW()-1)/7)*57+MOD(ROW()-1,7)+50),"")</f>
        <v/>
      </c>
    </row>
    <row r="2615" spans="1:1" x14ac:dyDescent="0.25">
      <c r="A2615" t="str" cm="1">
        <f t="array" ref="A2615">IF(INDEX(CUEs!$A:$A,INT((ROW()-1)/7)*57+MOD(ROW()-1,7)+50)&lt;&gt;"","set "&amp;INDEX(CUEs!$A:$A,INT((ROW()-1)/7)*57+MOD(ROW()-1,7)+50)&amp;"=/ s "&amp;INDEX(CUEs!$B:$B,INT((ROW()-1)/7)*57+MOD(ROW()-1,7)+50),"")</f>
        <v/>
      </c>
    </row>
    <row r="2616" spans="1:1" x14ac:dyDescent="0.25">
      <c r="A2616" t="str" cm="1">
        <f t="array" ref="A2616">IF(INDEX(CUEs!$A:$A,INT((ROW()-1)/7)*57+MOD(ROW()-1,7)+50)&lt;&gt;"","set "&amp;INDEX(CUEs!$A:$A,INT((ROW()-1)/7)*57+MOD(ROW()-1,7)+50)&amp;"=/ s "&amp;INDEX(CUEs!$B:$B,INT((ROW()-1)/7)*57+MOD(ROW()-1,7)+50),"")</f>
        <v/>
      </c>
    </row>
    <row r="2617" spans="1:1" x14ac:dyDescent="0.25">
      <c r="A2617" t="str" cm="1">
        <f t="array" ref="A2617">IF(INDEX(CUEs!$A:$A,INT((ROW()-1)/7)*57+MOD(ROW()-1,7)+50)&lt;&gt;"","set "&amp;INDEX(CUEs!$A:$A,INT((ROW()-1)/7)*57+MOD(ROW()-1,7)+50)&amp;"=/ s "&amp;INDEX(CUEs!$B:$B,INT((ROW()-1)/7)*57+MOD(ROW()-1,7)+50),"")</f>
        <v/>
      </c>
    </row>
    <row r="2618" spans="1:1" x14ac:dyDescent="0.25">
      <c r="A2618" t="str" cm="1">
        <f t="array" ref="A2618">IF(INDEX(CUEs!$A:$A,INT((ROW()-1)/7)*57+MOD(ROW()-1,7)+50)&lt;&gt;"","set "&amp;INDEX(CUEs!$A:$A,INT((ROW()-1)/7)*57+MOD(ROW()-1,7)+50)&amp;"=/ s "&amp;INDEX(CUEs!$B:$B,INT((ROW()-1)/7)*57+MOD(ROW()-1,7)+50),"")</f>
        <v/>
      </c>
    </row>
    <row r="2619" spans="1:1" x14ac:dyDescent="0.25">
      <c r="A2619" t="str" cm="1">
        <f t="array" ref="A2619">IF(INDEX(CUEs!$A:$A,INT((ROW()-1)/7)*57+MOD(ROW()-1,7)+50)&lt;&gt;"","set "&amp;INDEX(CUEs!$A:$A,INT((ROW()-1)/7)*57+MOD(ROW()-1,7)+50)&amp;"=/ s "&amp;INDEX(CUEs!$B:$B,INT((ROW()-1)/7)*57+MOD(ROW()-1,7)+50),"")</f>
        <v/>
      </c>
    </row>
    <row r="2620" spans="1:1" x14ac:dyDescent="0.25">
      <c r="A2620" t="str" cm="1">
        <f t="array" ref="A2620">IF(INDEX(CUEs!$A:$A,INT((ROW()-1)/7)*57+MOD(ROW()-1,7)+50)&lt;&gt;"","set "&amp;INDEX(CUEs!$A:$A,INT((ROW()-1)/7)*57+MOD(ROW()-1,7)+50)&amp;"=/ s "&amp;INDEX(CUEs!$B:$B,INT((ROW()-1)/7)*57+MOD(ROW()-1,7)+50),"")</f>
        <v/>
      </c>
    </row>
    <row r="2621" spans="1:1" x14ac:dyDescent="0.25">
      <c r="A2621" t="str" cm="1">
        <f t="array" ref="A2621">IF(INDEX(CUEs!$A:$A,INT((ROW()-1)/7)*57+MOD(ROW()-1,7)+50)&lt;&gt;"","set "&amp;INDEX(CUEs!$A:$A,INT((ROW()-1)/7)*57+MOD(ROW()-1,7)+50)&amp;"=/ s "&amp;INDEX(CUEs!$B:$B,INT((ROW()-1)/7)*57+MOD(ROW()-1,7)+50),"")</f>
        <v/>
      </c>
    </row>
    <row r="2622" spans="1:1" x14ac:dyDescent="0.25">
      <c r="A2622" t="str" cm="1">
        <f t="array" ref="A2622">IF(INDEX(CUEs!$A:$A,INT((ROW()-1)/7)*57+MOD(ROW()-1,7)+50)&lt;&gt;"","set "&amp;INDEX(CUEs!$A:$A,INT((ROW()-1)/7)*57+MOD(ROW()-1,7)+50)&amp;"=/ s "&amp;INDEX(CUEs!$B:$B,INT((ROW()-1)/7)*57+MOD(ROW()-1,7)+50),"")</f>
        <v/>
      </c>
    </row>
    <row r="2623" spans="1:1" x14ac:dyDescent="0.25">
      <c r="A2623" t="str" cm="1">
        <f t="array" ref="A2623">IF(INDEX(CUEs!$A:$A,INT((ROW()-1)/7)*57+MOD(ROW()-1,7)+50)&lt;&gt;"","set "&amp;INDEX(CUEs!$A:$A,INT((ROW()-1)/7)*57+MOD(ROW()-1,7)+50)&amp;"=/ s "&amp;INDEX(CUEs!$B:$B,INT((ROW()-1)/7)*57+MOD(ROW()-1,7)+50),"")</f>
        <v/>
      </c>
    </row>
    <row r="2624" spans="1:1" x14ac:dyDescent="0.25">
      <c r="A2624" t="str" cm="1">
        <f t="array" ref="A2624">IF(INDEX(CUEs!$A:$A,INT((ROW()-1)/7)*57+MOD(ROW()-1,7)+50)&lt;&gt;"","set "&amp;INDEX(CUEs!$A:$A,INT((ROW()-1)/7)*57+MOD(ROW()-1,7)+50)&amp;"=/ s "&amp;INDEX(CUEs!$B:$B,INT((ROW()-1)/7)*57+MOD(ROW()-1,7)+50),"")</f>
        <v/>
      </c>
    </row>
    <row r="2625" spans="1:1" x14ac:dyDescent="0.25">
      <c r="A2625" t="str" cm="1">
        <f t="array" ref="A2625">IF(INDEX(CUEs!$A:$A,INT((ROW()-1)/7)*57+MOD(ROW()-1,7)+50)&lt;&gt;"","set "&amp;INDEX(CUEs!$A:$A,INT((ROW()-1)/7)*57+MOD(ROW()-1,7)+50)&amp;"=/ s "&amp;INDEX(CUEs!$B:$B,INT((ROW()-1)/7)*57+MOD(ROW()-1,7)+50),"")</f>
        <v/>
      </c>
    </row>
    <row r="2626" spans="1:1" x14ac:dyDescent="0.25">
      <c r="A2626" t="str" cm="1">
        <f t="array" ref="A2626">IF(INDEX(CUEs!$A:$A,INT((ROW()-1)/7)*57+MOD(ROW()-1,7)+50)&lt;&gt;"","set "&amp;INDEX(CUEs!$A:$A,INT((ROW()-1)/7)*57+MOD(ROW()-1,7)+50)&amp;"=/ s "&amp;INDEX(CUEs!$B:$B,INT((ROW()-1)/7)*57+MOD(ROW()-1,7)+50),"")</f>
        <v/>
      </c>
    </row>
    <row r="2627" spans="1:1" x14ac:dyDescent="0.25">
      <c r="A2627" t="str" cm="1">
        <f t="array" ref="A2627">IF(INDEX(CUEs!$A:$A,INT((ROW()-1)/7)*57+MOD(ROW()-1,7)+50)&lt;&gt;"","set "&amp;INDEX(CUEs!$A:$A,INT((ROW()-1)/7)*57+MOD(ROW()-1,7)+50)&amp;"=/ s "&amp;INDEX(CUEs!$B:$B,INT((ROW()-1)/7)*57+MOD(ROW()-1,7)+50),"")</f>
        <v/>
      </c>
    </row>
    <row r="2628" spans="1:1" x14ac:dyDescent="0.25">
      <c r="A2628" t="str" cm="1">
        <f t="array" ref="A2628">IF(INDEX(CUEs!$A:$A,INT((ROW()-1)/7)*57+MOD(ROW()-1,7)+50)&lt;&gt;"","set "&amp;INDEX(CUEs!$A:$A,INT((ROW()-1)/7)*57+MOD(ROW()-1,7)+50)&amp;"=/ s "&amp;INDEX(CUEs!$B:$B,INT((ROW()-1)/7)*57+MOD(ROW()-1,7)+50),"")</f>
        <v/>
      </c>
    </row>
    <row r="2629" spans="1:1" x14ac:dyDescent="0.25">
      <c r="A2629" t="str" cm="1">
        <f t="array" ref="A2629">IF(INDEX(CUEs!$A:$A,INT((ROW()-1)/7)*57+MOD(ROW()-1,7)+50)&lt;&gt;"","set "&amp;INDEX(CUEs!$A:$A,INT((ROW()-1)/7)*57+MOD(ROW()-1,7)+50)&amp;"=/ s "&amp;INDEX(CUEs!$B:$B,INT((ROW()-1)/7)*57+MOD(ROW()-1,7)+50),"")</f>
        <v/>
      </c>
    </row>
    <row r="2630" spans="1:1" x14ac:dyDescent="0.25">
      <c r="A2630" t="str" cm="1">
        <f t="array" ref="A2630">IF(INDEX(CUEs!$A:$A,INT((ROW()-1)/7)*57+MOD(ROW()-1,7)+50)&lt;&gt;"","set "&amp;INDEX(CUEs!$A:$A,INT((ROW()-1)/7)*57+MOD(ROW()-1,7)+50)&amp;"=/ s "&amp;INDEX(CUEs!$B:$B,INT((ROW()-1)/7)*57+MOD(ROW()-1,7)+50),"")</f>
        <v/>
      </c>
    </row>
    <row r="2631" spans="1:1" x14ac:dyDescent="0.25">
      <c r="A2631" t="str" cm="1">
        <f t="array" ref="A2631">IF(INDEX(CUEs!$A:$A,INT((ROW()-1)/7)*57+MOD(ROW()-1,7)+50)&lt;&gt;"","set "&amp;INDEX(CUEs!$A:$A,INT((ROW()-1)/7)*57+MOD(ROW()-1,7)+50)&amp;"=/ s "&amp;INDEX(CUEs!$B:$B,INT((ROW()-1)/7)*57+MOD(ROW()-1,7)+50),"")</f>
        <v/>
      </c>
    </row>
    <row r="2632" spans="1:1" x14ac:dyDescent="0.25">
      <c r="A2632" t="str" cm="1">
        <f t="array" ref="A2632">IF(INDEX(CUEs!$A:$A,INT((ROW()-1)/7)*57+MOD(ROW()-1,7)+50)&lt;&gt;"","set "&amp;INDEX(CUEs!$A:$A,INT((ROW()-1)/7)*57+MOD(ROW()-1,7)+50)&amp;"=/ s "&amp;INDEX(CUEs!$B:$B,INT((ROW()-1)/7)*57+MOD(ROW()-1,7)+50),"")</f>
        <v/>
      </c>
    </row>
    <row r="2633" spans="1:1" x14ac:dyDescent="0.25">
      <c r="A2633" t="str" cm="1">
        <f t="array" ref="A2633">IF(INDEX(CUEs!$A:$A,INT((ROW()-1)/7)*57+MOD(ROW()-1,7)+50)&lt;&gt;"","set "&amp;INDEX(CUEs!$A:$A,INT((ROW()-1)/7)*57+MOD(ROW()-1,7)+50)&amp;"=/ s "&amp;INDEX(CUEs!$B:$B,INT((ROW()-1)/7)*57+MOD(ROW()-1,7)+50),"")</f>
        <v/>
      </c>
    </row>
    <row r="2634" spans="1:1" x14ac:dyDescent="0.25">
      <c r="A2634" t="str" cm="1">
        <f t="array" ref="A2634">IF(INDEX(CUEs!$A:$A,INT((ROW()-1)/7)*57+MOD(ROW()-1,7)+50)&lt;&gt;"","set "&amp;INDEX(CUEs!$A:$A,INT((ROW()-1)/7)*57+MOD(ROW()-1,7)+50)&amp;"=/ s "&amp;INDEX(CUEs!$B:$B,INT((ROW()-1)/7)*57+MOD(ROW()-1,7)+50),"")</f>
        <v/>
      </c>
    </row>
    <row r="2635" spans="1:1" x14ac:dyDescent="0.25">
      <c r="A2635" t="str" cm="1">
        <f t="array" ref="A2635">IF(INDEX(CUEs!$A:$A,INT((ROW()-1)/7)*57+MOD(ROW()-1,7)+50)&lt;&gt;"","set "&amp;INDEX(CUEs!$A:$A,INT((ROW()-1)/7)*57+MOD(ROW()-1,7)+50)&amp;"=/ s "&amp;INDEX(CUEs!$B:$B,INT((ROW()-1)/7)*57+MOD(ROW()-1,7)+50),"")</f>
        <v/>
      </c>
    </row>
    <row r="2636" spans="1:1" x14ac:dyDescent="0.25">
      <c r="A2636" t="str" cm="1">
        <f t="array" ref="A2636">IF(INDEX(CUEs!$A:$A,INT((ROW()-1)/7)*57+MOD(ROW()-1,7)+50)&lt;&gt;"","set "&amp;INDEX(CUEs!$A:$A,INT((ROW()-1)/7)*57+MOD(ROW()-1,7)+50)&amp;"=/ s "&amp;INDEX(CUEs!$B:$B,INT((ROW()-1)/7)*57+MOD(ROW()-1,7)+50),"")</f>
        <v/>
      </c>
    </row>
    <row r="2637" spans="1:1" x14ac:dyDescent="0.25">
      <c r="A2637" t="str" cm="1">
        <f t="array" ref="A2637">IF(INDEX(CUEs!$A:$A,INT((ROW()-1)/7)*57+MOD(ROW()-1,7)+50)&lt;&gt;"","set "&amp;INDEX(CUEs!$A:$A,INT((ROW()-1)/7)*57+MOD(ROW()-1,7)+50)&amp;"=/ s "&amp;INDEX(CUEs!$B:$B,INT((ROW()-1)/7)*57+MOD(ROW()-1,7)+50),"")</f>
        <v/>
      </c>
    </row>
    <row r="2638" spans="1:1" x14ac:dyDescent="0.25">
      <c r="A2638" t="str" cm="1">
        <f t="array" ref="A2638">IF(INDEX(CUEs!$A:$A,INT((ROW()-1)/7)*57+MOD(ROW()-1,7)+50)&lt;&gt;"","set "&amp;INDEX(CUEs!$A:$A,INT((ROW()-1)/7)*57+MOD(ROW()-1,7)+50)&amp;"=/ s "&amp;INDEX(CUEs!$B:$B,INT((ROW()-1)/7)*57+MOD(ROW()-1,7)+50),"")</f>
        <v/>
      </c>
    </row>
    <row r="2639" spans="1:1" x14ac:dyDescent="0.25">
      <c r="A2639" t="str" cm="1">
        <f t="array" ref="A2639">IF(INDEX(CUEs!$A:$A,INT((ROW()-1)/7)*57+MOD(ROW()-1,7)+50)&lt;&gt;"","set "&amp;INDEX(CUEs!$A:$A,INT((ROW()-1)/7)*57+MOD(ROW()-1,7)+50)&amp;"=/ s "&amp;INDEX(CUEs!$B:$B,INT((ROW()-1)/7)*57+MOD(ROW()-1,7)+50),"")</f>
        <v/>
      </c>
    </row>
    <row r="2640" spans="1:1" x14ac:dyDescent="0.25">
      <c r="A2640" t="str" cm="1">
        <f t="array" ref="A2640">IF(INDEX(CUEs!$A:$A,INT((ROW()-1)/7)*57+MOD(ROW()-1,7)+50)&lt;&gt;"","set "&amp;INDEX(CUEs!$A:$A,INT((ROW()-1)/7)*57+MOD(ROW()-1,7)+50)&amp;"=/ s "&amp;INDEX(CUEs!$B:$B,INT((ROW()-1)/7)*57+MOD(ROW()-1,7)+50),"")</f>
        <v/>
      </c>
    </row>
    <row r="2641" spans="1:1" x14ac:dyDescent="0.25">
      <c r="A2641" t="str" cm="1">
        <f t="array" ref="A2641">IF(INDEX(CUEs!$A:$A,INT((ROW()-1)/7)*57+MOD(ROW()-1,7)+50)&lt;&gt;"","set "&amp;INDEX(CUEs!$A:$A,INT((ROW()-1)/7)*57+MOD(ROW()-1,7)+50)&amp;"=/ s "&amp;INDEX(CUEs!$B:$B,INT((ROW()-1)/7)*57+MOD(ROW()-1,7)+50),"")</f>
        <v/>
      </c>
    </row>
    <row r="2642" spans="1:1" x14ac:dyDescent="0.25">
      <c r="A2642" t="str" cm="1">
        <f t="array" ref="A2642">IF(INDEX(CUEs!$A:$A,INT((ROW()-1)/7)*57+MOD(ROW()-1,7)+50)&lt;&gt;"","set "&amp;INDEX(CUEs!$A:$A,INT((ROW()-1)/7)*57+MOD(ROW()-1,7)+50)&amp;"=/ s "&amp;INDEX(CUEs!$B:$B,INT((ROW()-1)/7)*57+MOD(ROW()-1,7)+50),"")</f>
        <v/>
      </c>
    </row>
    <row r="2643" spans="1:1" x14ac:dyDescent="0.25">
      <c r="A2643" t="str" cm="1">
        <f t="array" ref="A2643">IF(INDEX(CUEs!$A:$A,INT((ROW()-1)/7)*57+MOD(ROW()-1,7)+50)&lt;&gt;"","set "&amp;INDEX(CUEs!$A:$A,INT((ROW()-1)/7)*57+MOD(ROW()-1,7)+50)&amp;"=/ s "&amp;INDEX(CUEs!$B:$B,INT((ROW()-1)/7)*57+MOD(ROW()-1,7)+50),"")</f>
        <v/>
      </c>
    </row>
    <row r="2644" spans="1:1" x14ac:dyDescent="0.25">
      <c r="A2644" t="str" cm="1">
        <f t="array" ref="A2644">IF(INDEX(CUEs!$A:$A,INT((ROW()-1)/7)*57+MOD(ROW()-1,7)+50)&lt;&gt;"","set "&amp;INDEX(CUEs!$A:$A,INT((ROW()-1)/7)*57+MOD(ROW()-1,7)+50)&amp;"=/ s "&amp;INDEX(CUEs!$B:$B,INT((ROW()-1)/7)*57+MOD(ROW()-1,7)+50),"")</f>
        <v/>
      </c>
    </row>
    <row r="2645" spans="1:1" x14ac:dyDescent="0.25">
      <c r="A2645" t="str" cm="1">
        <f t="array" ref="A2645">IF(INDEX(CUEs!$A:$A,INT((ROW()-1)/7)*57+MOD(ROW()-1,7)+50)&lt;&gt;"","set "&amp;INDEX(CUEs!$A:$A,INT((ROW()-1)/7)*57+MOD(ROW()-1,7)+50)&amp;"=/ s "&amp;INDEX(CUEs!$B:$B,INT((ROW()-1)/7)*57+MOD(ROW()-1,7)+50),"")</f>
        <v/>
      </c>
    </row>
    <row r="2646" spans="1:1" x14ac:dyDescent="0.25">
      <c r="A2646" t="str" cm="1">
        <f t="array" ref="A2646">IF(INDEX(CUEs!$A:$A,INT((ROW()-1)/7)*57+MOD(ROW()-1,7)+50)&lt;&gt;"","set "&amp;INDEX(CUEs!$A:$A,INT((ROW()-1)/7)*57+MOD(ROW()-1,7)+50)&amp;"=/ s "&amp;INDEX(CUEs!$B:$B,INT((ROW()-1)/7)*57+MOD(ROW()-1,7)+50),"")</f>
        <v/>
      </c>
    </row>
    <row r="2647" spans="1:1" x14ac:dyDescent="0.25">
      <c r="A2647" t="str" cm="1">
        <f t="array" ref="A2647">IF(INDEX(CUEs!$A:$A,INT((ROW()-1)/7)*57+MOD(ROW()-1,7)+50)&lt;&gt;"","set "&amp;INDEX(CUEs!$A:$A,INT((ROW()-1)/7)*57+MOD(ROW()-1,7)+50)&amp;"=/ s "&amp;INDEX(CUEs!$B:$B,INT((ROW()-1)/7)*57+MOD(ROW()-1,7)+50),"")</f>
        <v/>
      </c>
    </row>
    <row r="2648" spans="1:1" x14ac:dyDescent="0.25">
      <c r="A2648" t="str" cm="1">
        <f t="array" ref="A2648">IF(INDEX(CUEs!$A:$A,INT((ROW()-1)/7)*57+MOD(ROW()-1,7)+50)&lt;&gt;"","set "&amp;INDEX(CUEs!$A:$A,INT((ROW()-1)/7)*57+MOD(ROW()-1,7)+50)&amp;"=/ s "&amp;INDEX(CUEs!$B:$B,INT((ROW()-1)/7)*57+MOD(ROW()-1,7)+50),"")</f>
        <v/>
      </c>
    </row>
    <row r="2649" spans="1:1" x14ac:dyDescent="0.25">
      <c r="A2649" t="str" cm="1">
        <f t="array" ref="A2649">IF(INDEX(CUEs!$A:$A,INT((ROW()-1)/7)*57+MOD(ROW()-1,7)+50)&lt;&gt;"","set "&amp;INDEX(CUEs!$A:$A,INT((ROW()-1)/7)*57+MOD(ROW()-1,7)+50)&amp;"=/ s "&amp;INDEX(CUEs!$B:$B,INT((ROW()-1)/7)*57+MOD(ROW()-1,7)+50),"")</f>
        <v/>
      </c>
    </row>
    <row r="2650" spans="1:1" x14ac:dyDescent="0.25">
      <c r="A2650" t="str" cm="1">
        <f t="array" ref="A2650">IF(INDEX(CUEs!$A:$A,INT((ROW()-1)/7)*57+MOD(ROW()-1,7)+50)&lt;&gt;"","set "&amp;INDEX(CUEs!$A:$A,INT((ROW()-1)/7)*57+MOD(ROW()-1,7)+50)&amp;"=/ s "&amp;INDEX(CUEs!$B:$B,INT((ROW()-1)/7)*57+MOD(ROW()-1,7)+50),"")</f>
        <v/>
      </c>
    </row>
    <row r="2651" spans="1:1" x14ac:dyDescent="0.25">
      <c r="A2651" t="str" cm="1">
        <f t="array" ref="A2651">IF(INDEX(CUEs!$A:$A,INT((ROW()-1)/7)*57+MOD(ROW()-1,7)+50)&lt;&gt;"","set "&amp;INDEX(CUEs!$A:$A,INT((ROW()-1)/7)*57+MOD(ROW()-1,7)+50)&amp;"=/ s "&amp;INDEX(CUEs!$B:$B,INT((ROW()-1)/7)*57+MOD(ROW()-1,7)+50),"")</f>
        <v/>
      </c>
    </row>
    <row r="2652" spans="1:1" x14ac:dyDescent="0.25">
      <c r="A2652" t="str" cm="1">
        <f t="array" ref="A2652">IF(INDEX(CUEs!$A:$A,INT((ROW()-1)/7)*57+MOD(ROW()-1,7)+50)&lt;&gt;"","set "&amp;INDEX(CUEs!$A:$A,INT((ROW()-1)/7)*57+MOD(ROW()-1,7)+50)&amp;"=/ s "&amp;INDEX(CUEs!$B:$B,INT((ROW()-1)/7)*57+MOD(ROW()-1,7)+50),"")</f>
        <v/>
      </c>
    </row>
    <row r="2653" spans="1:1" x14ac:dyDescent="0.25">
      <c r="A2653" t="str" cm="1">
        <f t="array" ref="A2653">IF(INDEX(CUEs!$A:$A,INT((ROW()-1)/7)*57+MOD(ROW()-1,7)+50)&lt;&gt;"","set "&amp;INDEX(CUEs!$A:$A,INT((ROW()-1)/7)*57+MOD(ROW()-1,7)+50)&amp;"=/ s "&amp;INDEX(CUEs!$B:$B,INT((ROW()-1)/7)*57+MOD(ROW()-1,7)+50),"")</f>
        <v/>
      </c>
    </row>
    <row r="2654" spans="1:1" x14ac:dyDescent="0.25">
      <c r="A2654" t="str" cm="1">
        <f t="array" ref="A2654">IF(INDEX(CUEs!$A:$A,INT((ROW()-1)/7)*57+MOD(ROW()-1,7)+50)&lt;&gt;"","set "&amp;INDEX(CUEs!$A:$A,INT((ROW()-1)/7)*57+MOD(ROW()-1,7)+50)&amp;"=/ s "&amp;INDEX(CUEs!$B:$B,INT((ROW()-1)/7)*57+MOD(ROW()-1,7)+50),"")</f>
        <v/>
      </c>
    </row>
    <row r="2655" spans="1:1" x14ac:dyDescent="0.25">
      <c r="A2655" t="str" cm="1">
        <f t="array" ref="A2655">IF(INDEX(CUEs!$A:$A,INT((ROW()-1)/7)*57+MOD(ROW()-1,7)+50)&lt;&gt;"","set "&amp;INDEX(CUEs!$A:$A,INT((ROW()-1)/7)*57+MOD(ROW()-1,7)+50)&amp;"=/ s "&amp;INDEX(CUEs!$B:$B,INT((ROW()-1)/7)*57+MOD(ROW()-1,7)+50),"")</f>
        <v/>
      </c>
    </row>
    <row r="2656" spans="1:1" x14ac:dyDescent="0.25">
      <c r="A2656" t="str" cm="1">
        <f t="array" ref="A2656">IF(INDEX(CUEs!$A:$A,INT((ROW()-1)/7)*57+MOD(ROW()-1,7)+50)&lt;&gt;"","set "&amp;INDEX(CUEs!$A:$A,INT((ROW()-1)/7)*57+MOD(ROW()-1,7)+50)&amp;"=/ s "&amp;INDEX(CUEs!$B:$B,INT((ROW()-1)/7)*57+MOD(ROW()-1,7)+50),"")</f>
        <v/>
      </c>
    </row>
    <row r="2657" spans="1:1" x14ac:dyDescent="0.25">
      <c r="A2657" t="str" cm="1">
        <f t="array" ref="A2657">IF(INDEX(CUEs!$A:$A,INT((ROW()-1)/7)*57+MOD(ROW()-1,7)+50)&lt;&gt;"","set "&amp;INDEX(CUEs!$A:$A,INT((ROW()-1)/7)*57+MOD(ROW()-1,7)+50)&amp;"=/ s "&amp;INDEX(CUEs!$B:$B,INT((ROW()-1)/7)*57+MOD(ROW()-1,7)+50),"")</f>
        <v/>
      </c>
    </row>
    <row r="2658" spans="1:1" x14ac:dyDescent="0.25">
      <c r="A2658" t="str" cm="1">
        <f t="array" ref="A2658">IF(INDEX(CUEs!$A:$A,INT((ROW()-1)/7)*57+MOD(ROW()-1,7)+50)&lt;&gt;"","set "&amp;INDEX(CUEs!$A:$A,INT((ROW()-1)/7)*57+MOD(ROW()-1,7)+50)&amp;"=/ s "&amp;INDEX(CUEs!$B:$B,INT((ROW()-1)/7)*57+MOD(ROW()-1,7)+50),"")</f>
        <v/>
      </c>
    </row>
    <row r="2659" spans="1:1" x14ac:dyDescent="0.25">
      <c r="A2659" t="str" cm="1">
        <f t="array" ref="A2659">IF(INDEX(CUEs!$A:$A,INT((ROW()-1)/7)*57+MOD(ROW()-1,7)+50)&lt;&gt;"","set "&amp;INDEX(CUEs!$A:$A,INT((ROW()-1)/7)*57+MOD(ROW()-1,7)+50)&amp;"=/ s "&amp;INDEX(CUEs!$B:$B,INT((ROW()-1)/7)*57+MOD(ROW()-1,7)+50),"")</f>
        <v/>
      </c>
    </row>
    <row r="2660" spans="1:1" x14ac:dyDescent="0.25">
      <c r="A2660" t="str" cm="1">
        <f t="array" ref="A2660">IF(INDEX(CUEs!$A:$A,INT((ROW()-1)/7)*57+MOD(ROW()-1,7)+50)&lt;&gt;"","set "&amp;INDEX(CUEs!$A:$A,INT((ROW()-1)/7)*57+MOD(ROW()-1,7)+50)&amp;"=/ s "&amp;INDEX(CUEs!$B:$B,INT((ROW()-1)/7)*57+MOD(ROW()-1,7)+50),"")</f>
        <v/>
      </c>
    </row>
    <row r="2661" spans="1:1" x14ac:dyDescent="0.25">
      <c r="A2661" t="str" cm="1">
        <f t="array" ref="A2661">IF(INDEX(CUEs!$A:$A,INT((ROW()-1)/7)*57+MOD(ROW()-1,7)+50)&lt;&gt;"","set "&amp;INDEX(CUEs!$A:$A,INT((ROW()-1)/7)*57+MOD(ROW()-1,7)+50)&amp;"=/ s "&amp;INDEX(CUEs!$B:$B,INT((ROW()-1)/7)*57+MOD(ROW()-1,7)+50),"")</f>
        <v/>
      </c>
    </row>
    <row r="2662" spans="1:1" x14ac:dyDescent="0.25">
      <c r="A2662" t="str" cm="1">
        <f t="array" ref="A2662">IF(INDEX(CUEs!$A:$A,INT((ROW()-1)/7)*57+MOD(ROW()-1,7)+50)&lt;&gt;"","set "&amp;INDEX(CUEs!$A:$A,INT((ROW()-1)/7)*57+MOD(ROW()-1,7)+50)&amp;"=/ s "&amp;INDEX(CUEs!$B:$B,INT((ROW()-1)/7)*57+MOD(ROW()-1,7)+50),"")</f>
        <v/>
      </c>
    </row>
    <row r="2663" spans="1:1" x14ac:dyDescent="0.25">
      <c r="A2663" t="str" cm="1">
        <f t="array" ref="A2663">IF(INDEX(CUEs!$A:$A,INT((ROW()-1)/7)*57+MOD(ROW()-1,7)+50)&lt;&gt;"","set "&amp;INDEX(CUEs!$A:$A,INT((ROW()-1)/7)*57+MOD(ROW()-1,7)+50)&amp;"=/ s "&amp;INDEX(CUEs!$B:$B,INT((ROW()-1)/7)*57+MOD(ROW()-1,7)+50),"")</f>
        <v/>
      </c>
    </row>
    <row r="2664" spans="1:1" x14ac:dyDescent="0.25">
      <c r="A2664" t="str" cm="1">
        <f t="array" ref="A2664">IF(INDEX(CUEs!$A:$A,INT((ROW()-1)/7)*57+MOD(ROW()-1,7)+50)&lt;&gt;"","set "&amp;INDEX(CUEs!$A:$A,INT((ROW()-1)/7)*57+MOD(ROW()-1,7)+50)&amp;"=/ s "&amp;INDEX(CUEs!$B:$B,INT((ROW()-1)/7)*57+MOD(ROW()-1,7)+50),"")</f>
        <v/>
      </c>
    </row>
    <row r="2665" spans="1:1" x14ac:dyDescent="0.25">
      <c r="A2665" t="str" cm="1">
        <f t="array" ref="A2665">IF(INDEX(CUEs!$A:$A,INT((ROW()-1)/7)*57+MOD(ROW()-1,7)+50)&lt;&gt;"","set "&amp;INDEX(CUEs!$A:$A,INT((ROW()-1)/7)*57+MOD(ROW()-1,7)+50)&amp;"=/ s "&amp;INDEX(CUEs!$B:$B,INT((ROW()-1)/7)*57+MOD(ROW()-1,7)+50),"")</f>
        <v/>
      </c>
    </row>
    <row r="2666" spans="1:1" x14ac:dyDescent="0.25">
      <c r="A2666" t="str" cm="1">
        <f t="array" ref="A2666">IF(INDEX(CUEs!$A:$A,INT((ROW()-1)/7)*57+MOD(ROW()-1,7)+50)&lt;&gt;"","set "&amp;INDEX(CUEs!$A:$A,INT((ROW()-1)/7)*57+MOD(ROW()-1,7)+50)&amp;"=/ s "&amp;INDEX(CUEs!$B:$B,INT((ROW()-1)/7)*57+MOD(ROW()-1,7)+50),"")</f>
        <v/>
      </c>
    </row>
    <row r="2667" spans="1:1" x14ac:dyDescent="0.25">
      <c r="A2667" t="str" cm="1">
        <f t="array" ref="A2667">IF(INDEX(CUEs!$A:$A,INT((ROW()-1)/7)*57+MOD(ROW()-1,7)+50)&lt;&gt;"","set "&amp;INDEX(CUEs!$A:$A,INT((ROW()-1)/7)*57+MOD(ROW()-1,7)+50)&amp;"=/ s "&amp;INDEX(CUEs!$B:$B,INT((ROW()-1)/7)*57+MOD(ROW()-1,7)+50),"")</f>
        <v/>
      </c>
    </row>
    <row r="2668" spans="1:1" x14ac:dyDescent="0.25">
      <c r="A2668" t="str" cm="1">
        <f t="array" ref="A2668">IF(INDEX(CUEs!$A:$A,INT((ROW()-1)/7)*57+MOD(ROW()-1,7)+50)&lt;&gt;"","set "&amp;INDEX(CUEs!$A:$A,INT((ROW()-1)/7)*57+MOD(ROW()-1,7)+50)&amp;"=/ s "&amp;INDEX(CUEs!$B:$B,INT((ROW()-1)/7)*57+MOD(ROW()-1,7)+50),"")</f>
        <v/>
      </c>
    </row>
    <row r="2669" spans="1:1" x14ac:dyDescent="0.25">
      <c r="A2669" t="str" cm="1">
        <f t="array" ref="A2669">IF(INDEX(CUEs!$A:$A,INT((ROW()-1)/7)*57+MOD(ROW()-1,7)+50)&lt;&gt;"","set "&amp;INDEX(CUEs!$A:$A,INT((ROW()-1)/7)*57+MOD(ROW()-1,7)+50)&amp;"=/ s "&amp;INDEX(CUEs!$B:$B,INT((ROW()-1)/7)*57+MOD(ROW()-1,7)+50),"")</f>
        <v/>
      </c>
    </row>
    <row r="2670" spans="1:1" x14ac:dyDescent="0.25">
      <c r="A2670" t="str" cm="1">
        <f t="array" ref="A2670">IF(INDEX(CUEs!$A:$A,INT((ROW()-1)/7)*57+MOD(ROW()-1,7)+50)&lt;&gt;"","set "&amp;INDEX(CUEs!$A:$A,INT((ROW()-1)/7)*57+MOD(ROW()-1,7)+50)&amp;"=/ s "&amp;INDEX(CUEs!$B:$B,INT((ROW()-1)/7)*57+MOD(ROW()-1,7)+50),"")</f>
        <v/>
      </c>
    </row>
    <row r="2671" spans="1:1" x14ac:dyDescent="0.25">
      <c r="A2671" t="str" cm="1">
        <f t="array" ref="A2671">IF(INDEX(CUEs!$A:$A,INT((ROW()-1)/7)*57+MOD(ROW()-1,7)+50)&lt;&gt;"","set "&amp;INDEX(CUEs!$A:$A,INT((ROW()-1)/7)*57+MOD(ROW()-1,7)+50)&amp;"=/ s "&amp;INDEX(CUEs!$B:$B,INT((ROW()-1)/7)*57+MOD(ROW()-1,7)+50),"")</f>
        <v/>
      </c>
    </row>
    <row r="2672" spans="1:1" x14ac:dyDescent="0.25">
      <c r="A2672" t="str" cm="1">
        <f t="array" ref="A2672">IF(INDEX(CUEs!$A:$A,INT((ROW()-1)/7)*57+MOD(ROW()-1,7)+50)&lt;&gt;"","set "&amp;INDEX(CUEs!$A:$A,INT((ROW()-1)/7)*57+MOD(ROW()-1,7)+50)&amp;"=/ s "&amp;INDEX(CUEs!$B:$B,INT((ROW()-1)/7)*57+MOD(ROW()-1,7)+50),"")</f>
        <v/>
      </c>
    </row>
    <row r="2673" spans="1:1" x14ac:dyDescent="0.25">
      <c r="A2673" t="str" cm="1">
        <f t="array" ref="A2673">IF(INDEX(CUEs!$A:$A,INT((ROW()-1)/7)*57+MOD(ROW()-1,7)+50)&lt;&gt;"","set "&amp;INDEX(CUEs!$A:$A,INT((ROW()-1)/7)*57+MOD(ROW()-1,7)+50)&amp;"=/ s "&amp;INDEX(CUEs!$B:$B,INT((ROW()-1)/7)*57+MOD(ROW()-1,7)+50),"")</f>
        <v/>
      </c>
    </row>
    <row r="2674" spans="1:1" x14ac:dyDescent="0.25">
      <c r="A2674" t="str" cm="1">
        <f t="array" ref="A2674">IF(INDEX(CUEs!$A:$A,INT((ROW()-1)/7)*57+MOD(ROW()-1,7)+50)&lt;&gt;"","set "&amp;INDEX(CUEs!$A:$A,INT((ROW()-1)/7)*57+MOD(ROW()-1,7)+50)&amp;"=/ s "&amp;INDEX(CUEs!$B:$B,INT((ROW()-1)/7)*57+MOD(ROW()-1,7)+50),"")</f>
        <v/>
      </c>
    </row>
    <row r="2675" spans="1:1" x14ac:dyDescent="0.25">
      <c r="A2675" t="str" cm="1">
        <f t="array" ref="A2675">IF(INDEX(CUEs!$A:$A,INT((ROW()-1)/7)*57+MOD(ROW()-1,7)+50)&lt;&gt;"","set "&amp;INDEX(CUEs!$A:$A,INT((ROW()-1)/7)*57+MOD(ROW()-1,7)+50)&amp;"=/ s "&amp;INDEX(CUEs!$B:$B,INT((ROW()-1)/7)*57+MOD(ROW()-1,7)+50),"")</f>
        <v/>
      </c>
    </row>
    <row r="2676" spans="1:1" x14ac:dyDescent="0.25">
      <c r="A2676" t="str" cm="1">
        <f t="array" ref="A2676">IF(INDEX(CUEs!$A:$A,INT((ROW()-1)/7)*57+MOD(ROW()-1,7)+50)&lt;&gt;"","set "&amp;INDEX(CUEs!$A:$A,INT((ROW()-1)/7)*57+MOD(ROW()-1,7)+50)&amp;"=/ s "&amp;INDEX(CUEs!$B:$B,INT((ROW()-1)/7)*57+MOD(ROW()-1,7)+50),"")</f>
        <v/>
      </c>
    </row>
    <row r="2677" spans="1:1" x14ac:dyDescent="0.25">
      <c r="A2677" t="str" cm="1">
        <f t="array" ref="A2677">IF(INDEX(CUEs!$A:$A,INT((ROW()-1)/7)*57+MOD(ROW()-1,7)+50)&lt;&gt;"","set "&amp;INDEX(CUEs!$A:$A,INT((ROW()-1)/7)*57+MOD(ROW()-1,7)+50)&amp;"=/ s "&amp;INDEX(CUEs!$B:$B,INT((ROW()-1)/7)*57+MOD(ROW()-1,7)+50),"")</f>
        <v/>
      </c>
    </row>
    <row r="2678" spans="1:1" x14ac:dyDescent="0.25">
      <c r="A2678" t="str" cm="1">
        <f t="array" ref="A2678">IF(INDEX(CUEs!$A:$A,INT((ROW()-1)/7)*57+MOD(ROW()-1,7)+50)&lt;&gt;"","set "&amp;INDEX(CUEs!$A:$A,INT((ROW()-1)/7)*57+MOD(ROW()-1,7)+50)&amp;"=/ s "&amp;INDEX(CUEs!$B:$B,INT((ROW()-1)/7)*57+MOD(ROW()-1,7)+50),"")</f>
        <v/>
      </c>
    </row>
    <row r="2679" spans="1:1" x14ac:dyDescent="0.25">
      <c r="A2679" t="str" cm="1">
        <f t="array" ref="A2679">IF(INDEX(CUEs!$A:$A,INT((ROW()-1)/7)*57+MOD(ROW()-1,7)+50)&lt;&gt;"","set "&amp;INDEX(CUEs!$A:$A,INT((ROW()-1)/7)*57+MOD(ROW()-1,7)+50)&amp;"=/ s "&amp;INDEX(CUEs!$B:$B,INT((ROW()-1)/7)*57+MOD(ROW()-1,7)+50),"")</f>
        <v/>
      </c>
    </row>
    <row r="2680" spans="1:1" x14ac:dyDescent="0.25">
      <c r="A2680" t="str" cm="1">
        <f t="array" ref="A2680">IF(INDEX(CUEs!$A:$A,INT((ROW()-1)/7)*57+MOD(ROW()-1,7)+50)&lt;&gt;"","set "&amp;INDEX(CUEs!$A:$A,INT((ROW()-1)/7)*57+MOD(ROW()-1,7)+50)&amp;"=/ s "&amp;INDEX(CUEs!$B:$B,INT((ROW()-1)/7)*57+MOD(ROW()-1,7)+50),"")</f>
        <v/>
      </c>
    </row>
    <row r="2681" spans="1:1" x14ac:dyDescent="0.25">
      <c r="A2681" t="str" cm="1">
        <f t="array" ref="A2681">IF(INDEX(CUEs!$A:$A,INT((ROW()-1)/7)*57+MOD(ROW()-1,7)+50)&lt;&gt;"","set "&amp;INDEX(CUEs!$A:$A,INT((ROW()-1)/7)*57+MOD(ROW()-1,7)+50)&amp;"=/ s "&amp;INDEX(CUEs!$B:$B,INT((ROW()-1)/7)*57+MOD(ROW()-1,7)+50),"")</f>
        <v/>
      </c>
    </row>
    <row r="2682" spans="1:1" x14ac:dyDescent="0.25">
      <c r="A2682" t="str" cm="1">
        <f t="array" ref="A2682">IF(INDEX(CUEs!$A:$A,INT((ROW()-1)/7)*57+MOD(ROW()-1,7)+50)&lt;&gt;"","set "&amp;INDEX(CUEs!$A:$A,INT((ROW()-1)/7)*57+MOD(ROW()-1,7)+50)&amp;"=/ s "&amp;INDEX(CUEs!$B:$B,INT((ROW()-1)/7)*57+MOD(ROW()-1,7)+50),"")</f>
        <v/>
      </c>
    </row>
    <row r="2683" spans="1:1" x14ac:dyDescent="0.25">
      <c r="A2683" t="str" cm="1">
        <f t="array" ref="A2683">IF(INDEX(CUEs!$A:$A,INT((ROW()-1)/7)*57+MOD(ROW()-1,7)+50)&lt;&gt;"","set "&amp;INDEX(CUEs!$A:$A,INT((ROW()-1)/7)*57+MOD(ROW()-1,7)+50)&amp;"=/ s "&amp;INDEX(CUEs!$B:$B,INT((ROW()-1)/7)*57+MOD(ROW()-1,7)+50),"")</f>
        <v/>
      </c>
    </row>
    <row r="2684" spans="1:1" x14ac:dyDescent="0.25">
      <c r="A2684" t="str" cm="1">
        <f t="array" ref="A2684">IF(INDEX(CUEs!$A:$A,INT((ROW()-1)/7)*57+MOD(ROW()-1,7)+50)&lt;&gt;"","set "&amp;INDEX(CUEs!$A:$A,INT((ROW()-1)/7)*57+MOD(ROW()-1,7)+50)&amp;"=/ s "&amp;INDEX(CUEs!$B:$B,INT((ROW()-1)/7)*57+MOD(ROW()-1,7)+50),"")</f>
        <v/>
      </c>
    </row>
    <row r="2685" spans="1:1" x14ac:dyDescent="0.25">
      <c r="A2685" t="str" cm="1">
        <f t="array" ref="A2685">IF(INDEX(CUEs!$A:$A,INT((ROW()-1)/7)*57+MOD(ROW()-1,7)+50)&lt;&gt;"","set "&amp;INDEX(CUEs!$A:$A,INT((ROW()-1)/7)*57+MOD(ROW()-1,7)+50)&amp;"=/ s "&amp;INDEX(CUEs!$B:$B,INT((ROW()-1)/7)*57+MOD(ROW()-1,7)+50),"")</f>
        <v/>
      </c>
    </row>
    <row r="2686" spans="1:1" x14ac:dyDescent="0.25">
      <c r="A2686" t="str" cm="1">
        <f t="array" ref="A2686">IF(INDEX(CUEs!$A:$A,INT((ROW()-1)/7)*57+MOD(ROW()-1,7)+50)&lt;&gt;"","set "&amp;INDEX(CUEs!$A:$A,INT((ROW()-1)/7)*57+MOD(ROW()-1,7)+50)&amp;"=/ s "&amp;INDEX(CUEs!$B:$B,INT((ROW()-1)/7)*57+MOD(ROW()-1,7)+50),"")</f>
        <v/>
      </c>
    </row>
    <row r="2687" spans="1:1" x14ac:dyDescent="0.25">
      <c r="A2687" t="str" cm="1">
        <f t="array" ref="A2687">IF(INDEX(CUEs!$A:$A,INT((ROW()-1)/7)*57+MOD(ROW()-1,7)+50)&lt;&gt;"","set "&amp;INDEX(CUEs!$A:$A,INT((ROW()-1)/7)*57+MOD(ROW()-1,7)+50)&amp;"=/ s "&amp;INDEX(CUEs!$B:$B,INT((ROW()-1)/7)*57+MOD(ROW()-1,7)+50),"")</f>
        <v/>
      </c>
    </row>
    <row r="2688" spans="1:1" x14ac:dyDescent="0.25">
      <c r="A2688" t="str" cm="1">
        <f t="array" ref="A2688">IF(INDEX(CUEs!$A:$A,INT((ROW()-1)/7)*57+MOD(ROW()-1,7)+50)&lt;&gt;"","set "&amp;INDEX(CUEs!$A:$A,INT((ROW()-1)/7)*57+MOD(ROW()-1,7)+50)&amp;"=/ s "&amp;INDEX(CUEs!$B:$B,INT((ROW()-1)/7)*57+MOD(ROW()-1,7)+50),"")</f>
        <v/>
      </c>
    </row>
    <row r="2689" spans="1:1" x14ac:dyDescent="0.25">
      <c r="A2689" t="str" cm="1">
        <f t="array" ref="A2689">IF(INDEX(CUEs!$A:$A,INT((ROW()-1)/7)*57+MOD(ROW()-1,7)+50)&lt;&gt;"","set "&amp;INDEX(CUEs!$A:$A,INT((ROW()-1)/7)*57+MOD(ROW()-1,7)+50)&amp;"=/ s "&amp;INDEX(CUEs!$B:$B,INT((ROW()-1)/7)*57+MOD(ROW()-1,7)+50),"")</f>
        <v/>
      </c>
    </row>
    <row r="2690" spans="1:1" x14ac:dyDescent="0.25">
      <c r="A2690" t="str" cm="1">
        <f t="array" ref="A2690">IF(INDEX(CUEs!$A:$A,INT((ROW()-1)/7)*57+MOD(ROW()-1,7)+50)&lt;&gt;"","set "&amp;INDEX(CUEs!$A:$A,INT((ROW()-1)/7)*57+MOD(ROW()-1,7)+50)&amp;"=/ s "&amp;INDEX(CUEs!$B:$B,INT((ROW()-1)/7)*57+MOD(ROW()-1,7)+50),"")</f>
        <v/>
      </c>
    </row>
    <row r="2691" spans="1:1" x14ac:dyDescent="0.25">
      <c r="A2691" t="str" cm="1">
        <f t="array" ref="A2691">IF(INDEX(CUEs!$A:$A,INT((ROW()-1)/7)*57+MOD(ROW()-1,7)+50)&lt;&gt;"","set "&amp;INDEX(CUEs!$A:$A,INT((ROW()-1)/7)*57+MOD(ROW()-1,7)+50)&amp;"=/ s "&amp;INDEX(CUEs!$B:$B,INT((ROW()-1)/7)*57+MOD(ROW()-1,7)+50),"")</f>
        <v/>
      </c>
    </row>
    <row r="2692" spans="1:1" x14ac:dyDescent="0.25">
      <c r="A2692" t="str" cm="1">
        <f t="array" ref="A2692">IF(INDEX(CUEs!$A:$A,INT((ROW()-1)/7)*57+MOD(ROW()-1,7)+50)&lt;&gt;"","set "&amp;INDEX(CUEs!$A:$A,INT((ROW()-1)/7)*57+MOD(ROW()-1,7)+50)&amp;"=/ s "&amp;INDEX(CUEs!$B:$B,INT((ROW()-1)/7)*57+MOD(ROW()-1,7)+50),"")</f>
        <v/>
      </c>
    </row>
    <row r="2693" spans="1:1" x14ac:dyDescent="0.25">
      <c r="A2693" t="str" cm="1">
        <f t="array" ref="A2693">IF(INDEX(CUEs!$A:$A,INT((ROW()-1)/7)*57+MOD(ROW()-1,7)+50)&lt;&gt;"","set "&amp;INDEX(CUEs!$A:$A,INT((ROW()-1)/7)*57+MOD(ROW()-1,7)+50)&amp;"=/ s "&amp;INDEX(CUEs!$B:$B,INT((ROW()-1)/7)*57+MOD(ROW()-1,7)+50),"")</f>
        <v/>
      </c>
    </row>
    <row r="2694" spans="1:1" x14ac:dyDescent="0.25">
      <c r="A2694" t="str" cm="1">
        <f t="array" ref="A2694">IF(INDEX(CUEs!$A:$A,INT((ROW()-1)/7)*57+MOD(ROW()-1,7)+50)&lt;&gt;"","set "&amp;INDEX(CUEs!$A:$A,INT((ROW()-1)/7)*57+MOD(ROW()-1,7)+50)&amp;"=/ s "&amp;INDEX(CUEs!$B:$B,INT((ROW()-1)/7)*57+MOD(ROW()-1,7)+50),"")</f>
        <v/>
      </c>
    </row>
    <row r="2695" spans="1:1" x14ac:dyDescent="0.25">
      <c r="A2695" t="str" cm="1">
        <f t="array" ref="A2695">IF(INDEX(CUEs!$A:$A,INT((ROW()-1)/7)*57+MOD(ROW()-1,7)+50)&lt;&gt;"","set "&amp;INDEX(CUEs!$A:$A,INT((ROW()-1)/7)*57+MOD(ROW()-1,7)+50)&amp;"=/ s "&amp;INDEX(CUEs!$B:$B,INT((ROW()-1)/7)*57+MOD(ROW()-1,7)+50),"")</f>
        <v/>
      </c>
    </row>
    <row r="2696" spans="1:1" x14ac:dyDescent="0.25">
      <c r="A2696" t="str" cm="1">
        <f t="array" ref="A2696">IF(INDEX(CUEs!$A:$A,INT((ROW()-1)/7)*57+MOD(ROW()-1,7)+50)&lt;&gt;"","set "&amp;INDEX(CUEs!$A:$A,INT((ROW()-1)/7)*57+MOD(ROW()-1,7)+50)&amp;"=/ s "&amp;INDEX(CUEs!$B:$B,INT((ROW()-1)/7)*57+MOD(ROW()-1,7)+50),"")</f>
        <v/>
      </c>
    </row>
    <row r="2697" spans="1:1" x14ac:dyDescent="0.25">
      <c r="A2697" t="str" cm="1">
        <f t="array" ref="A2697">IF(INDEX(CUEs!$A:$A,INT((ROW()-1)/7)*57+MOD(ROW()-1,7)+50)&lt;&gt;"","set "&amp;INDEX(CUEs!$A:$A,INT((ROW()-1)/7)*57+MOD(ROW()-1,7)+50)&amp;"=/ s "&amp;INDEX(CUEs!$B:$B,INT((ROW()-1)/7)*57+MOD(ROW()-1,7)+50),"")</f>
        <v/>
      </c>
    </row>
    <row r="2698" spans="1:1" x14ac:dyDescent="0.25">
      <c r="A2698" t="str" cm="1">
        <f t="array" ref="A2698">IF(INDEX(CUEs!$A:$A,INT((ROW()-1)/7)*57+MOD(ROW()-1,7)+50)&lt;&gt;"","set "&amp;INDEX(CUEs!$A:$A,INT((ROW()-1)/7)*57+MOD(ROW()-1,7)+50)&amp;"=/ s "&amp;INDEX(CUEs!$B:$B,INT((ROW()-1)/7)*57+MOD(ROW()-1,7)+50),"")</f>
        <v/>
      </c>
    </row>
    <row r="2699" spans="1:1" x14ac:dyDescent="0.25">
      <c r="A2699" t="str" cm="1">
        <f t="array" ref="A2699">IF(INDEX(CUEs!$A:$A,INT((ROW()-1)/7)*57+MOD(ROW()-1,7)+50)&lt;&gt;"","set "&amp;INDEX(CUEs!$A:$A,INT((ROW()-1)/7)*57+MOD(ROW()-1,7)+50)&amp;"=/ s "&amp;INDEX(CUEs!$B:$B,INT((ROW()-1)/7)*57+MOD(ROW()-1,7)+50),"")</f>
        <v/>
      </c>
    </row>
    <row r="2700" spans="1:1" x14ac:dyDescent="0.25">
      <c r="A2700" t="str" cm="1">
        <f t="array" ref="A2700">IF(INDEX(CUEs!$A:$A,INT((ROW()-1)/7)*57+MOD(ROW()-1,7)+50)&lt;&gt;"","set "&amp;INDEX(CUEs!$A:$A,INT((ROW()-1)/7)*57+MOD(ROW()-1,7)+50)&amp;"=/ s "&amp;INDEX(CUEs!$B:$B,INT((ROW()-1)/7)*57+MOD(ROW()-1,7)+50),"")</f>
        <v/>
      </c>
    </row>
    <row r="2701" spans="1:1" x14ac:dyDescent="0.25">
      <c r="A2701" t="str" cm="1">
        <f t="array" ref="A2701">IF(INDEX(CUEs!$A:$A,INT((ROW()-1)/7)*57+MOD(ROW()-1,7)+50)&lt;&gt;"","set "&amp;INDEX(CUEs!$A:$A,INT((ROW()-1)/7)*57+MOD(ROW()-1,7)+50)&amp;"=/ s "&amp;INDEX(CUEs!$B:$B,INT((ROW()-1)/7)*57+MOD(ROW()-1,7)+50),"")</f>
        <v/>
      </c>
    </row>
    <row r="2702" spans="1:1" x14ac:dyDescent="0.25">
      <c r="A2702" t="str" cm="1">
        <f t="array" ref="A2702">IF(INDEX(CUEs!$A:$A,INT((ROW()-1)/7)*57+MOD(ROW()-1,7)+50)&lt;&gt;"","set "&amp;INDEX(CUEs!$A:$A,INT((ROW()-1)/7)*57+MOD(ROW()-1,7)+50)&amp;"=/ s "&amp;INDEX(CUEs!$B:$B,INT((ROW()-1)/7)*57+MOD(ROW()-1,7)+50),"")</f>
        <v/>
      </c>
    </row>
    <row r="2703" spans="1:1" x14ac:dyDescent="0.25">
      <c r="A2703" t="str" cm="1">
        <f t="array" ref="A2703">IF(INDEX(CUEs!$A:$A,INT((ROW()-1)/7)*57+MOD(ROW()-1,7)+50)&lt;&gt;"","set "&amp;INDEX(CUEs!$A:$A,INT((ROW()-1)/7)*57+MOD(ROW()-1,7)+50)&amp;"=/ s "&amp;INDEX(CUEs!$B:$B,INT((ROW()-1)/7)*57+MOD(ROW()-1,7)+50),"")</f>
        <v/>
      </c>
    </row>
    <row r="2704" spans="1:1" x14ac:dyDescent="0.25">
      <c r="A2704" t="str" cm="1">
        <f t="array" ref="A2704">IF(INDEX(CUEs!$A:$A,INT((ROW()-1)/7)*57+MOD(ROW()-1,7)+50)&lt;&gt;"","set "&amp;INDEX(CUEs!$A:$A,INT((ROW()-1)/7)*57+MOD(ROW()-1,7)+50)&amp;"=/ s "&amp;INDEX(CUEs!$B:$B,INT((ROW()-1)/7)*57+MOD(ROW()-1,7)+50),"")</f>
        <v/>
      </c>
    </row>
    <row r="2705" spans="1:1" x14ac:dyDescent="0.25">
      <c r="A2705" t="str" cm="1">
        <f t="array" ref="A2705">IF(INDEX(CUEs!$A:$A,INT((ROW()-1)/7)*57+MOD(ROW()-1,7)+50)&lt;&gt;"","set "&amp;INDEX(CUEs!$A:$A,INT((ROW()-1)/7)*57+MOD(ROW()-1,7)+50)&amp;"=/ s "&amp;INDEX(CUEs!$B:$B,INT((ROW()-1)/7)*57+MOD(ROW()-1,7)+50),"")</f>
        <v/>
      </c>
    </row>
    <row r="2706" spans="1:1" x14ac:dyDescent="0.25">
      <c r="A2706" t="str" cm="1">
        <f t="array" ref="A2706">IF(INDEX(CUEs!$A:$A,INT((ROW()-1)/7)*57+MOD(ROW()-1,7)+50)&lt;&gt;"","set "&amp;INDEX(CUEs!$A:$A,INT((ROW()-1)/7)*57+MOD(ROW()-1,7)+50)&amp;"=/ s "&amp;INDEX(CUEs!$B:$B,INT((ROW()-1)/7)*57+MOD(ROW()-1,7)+50),"")</f>
        <v/>
      </c>
    </row>
    <row r="2707" spans="1:1" x14ac:dyDescent="0.25">
      <c r="A2707" t="str" cm="1">
        <f t="array" ref="A2707">IF(INDEX(CUEs!$A:$A,INT((ROW()-1)/7)*57+MOD(ROW()-1,7)+50)&lt;&gt;"","set "&amp;INDEX(CUEs!$A:$A,INT((ROW()-1)/7)*57+MOD(ROW()-1,7)+50)&amp;"=/ s "&amp;INDEX(CUEs!$B:$B,INT((ROW()-1)/7)*57+MOD(ROW()-1,7)+50),"")</f>
        <v/>
      </c>
    </row>
    <row r="2708" spans="1:1" x14ac:dyDescent="0.25">
      <c r="A2708" t="str" cm="1">
        <f t="array" ref="A2708">IF(INDEX(CUEs!$A:$A,INT((ROW()-1)/7)*57+MOD(ROW()-1,7)+50)&lt;&gt;"","set "&amp;INDEX(CUEs!$A:$A,INT((ROW()-1)/7)*57+MOD(ROW()-1,7)+50)&amp;"=/ s "&amp;INDEX(CUEs!$B:$B,INT((ROW()-1)/7)*57+MOD(ROW()-1,7)+50),"")</f>
        <v/>
      </c>
    </row>
    <row r="2709" spans="1:1" x14ac:dyDescent="0.25">
      <c r="A2709" t="str" cm="1">
        <f t="array" ref="A2709">IF(INDEX(CUEs!$A:$A,INT((ROW()-1)/7)*57+MOD(ROW()-1,7)+50)&lt;&gt;"","set "&amp;INDEX(CUEs!$A:$A,INT((ROW()-1)/7)*57+MOD(ROW()-1,7)+50)&amp;"=/ s "&amp;INDEX(CUEs!$B:$B,INT((ROW()-1)/7)*57+MOD(ROW()-1,7)+50),"")</f>
        <v/>
      </c>
    </row>
    <row r="2710" spans="1:1" x14ac:dyDescent="0.25">
      <c r="A2710" t="str" cm="1">
        <f t="array" ref="A2710">IF(INDEX(CUEs!$A:$A,INT((ROW()-1)/7)*57+MOD(ROW()-1,7)+50)&lt;&gt;"","set "&amp;INDEX(CUEs!$A:$A,INT((ROW()-1)/7)*57+MOD(ROW()-1,7)+50)&amp;"=/ s "&amp;INDEX(CUEs!$B:$B,INT((ROW()-1)/7)*57+MOD(ROW()-1,7)+50),"")</f>
        <v/>
      </c>
    </row>
    <row r="2711" spans="1:1" x14ac:dyDescent="0.25">
      <c r="A2711" t="str" cm="1">
        <f t="array" ref="A2711">IF(INDEX(CUEs!$A:$A,INT((ROW()-1)/7)*57+MOD(ROW()-1,7)+50)&lt;&gt;"","set "&amp;INDEX(CUEs!$A:$A,INT((ROW()-1)/7)*57+MOD(ROW()-1,7)+50)&amp;"=/ s "&amp;INDEX(CUEs!$B:$B,INT((ROW()-1)/7)*57+MOD(ROW()-1,7)+50),"")</f>
        <v/>
      </c>
    </row>
    <row r="2712" spans="1:1" x14ac:dyDescent="0.25">
      <c r="A2712" t="str" cm="1">
        <f t="array" ref="A2712">IF(INDEX(CUEs!$A:$A,INT((ROW()-1)/7)*57+MOD(ROW()-1,7)+50)&lt;&gt;"","set "&amp;INDEX(CUEs!$A:$A,INT((ROW()-1)/7)*57+MOD(ROW()-1,7)+50)&amp;"=/ s "&amp;INDEX(CUEs!$B:$B,INT((ROW()-1)/7)*57+MOD(ROW()-1,7)+50),"")</f>
        <v/>
      </c>
    </row>
    <row r="2713" spans="1:1" x14ac:dyDescent="0.25">
      <c r="A2713" t="str" cm="1">
        <f t="array" ref="A2713">IF(INDEX(CUEs!$A:$A,INT((ROW()-1)/7)*57+MOD(ROW()-1,7)+50)&lt;&gt;"","set "&amp;INDEX(CUEs!$A:$A,INT((ROW()-1)/7)*57+MOD(ROW()-1,7)+50)&amp;"=/ s "&amp;INDEX(CUEs!$B:$B,INT((ROW()-1)/7)*57+MOD(ROW()-1,7)+50),"")</f>
        <v/>
      </c>
    </row>
    <row r="2714" spans="1:1" x14ac:dyDescent="0.25">
      <c r="A2714" t="str" cm="1">
        <f t="array" ref="A2714">IF(INDEX(CUEs!$A:$A,INT((ROW()-1)/7)*57+MOD(ROW()-1,7)+50)&lt;&gt;"","set "&amp;INDEX(CUEs!$A:$A,INT((ROW()-1)/7)*57+MOD(ROW()-1,7)+50)&amp;"=/ s "&amp;INDEX(CUEs!$B:$B,INT((ROW()-1)/7)*57+MOD(ROW()-1,7)+50),"")</f>
        <v/>
      </c>
    </row>
    <row r="2715" spans="1:1" x14ac:dyDescent="0.25">
      <c r="A2715" t="str" cm="1">
        <f t="array" ref="A2715">IF(INDEX(CUEs!$A:$A,INT((ROW()-1)/7)*57+MOD(ROW()-1,7)+50)&lt;&gt;"","set "&amp;INDEX(CUEs!$A:$A,INT((ROW()-1)/7)*57+MOD(ROW()-1,7)+50)&amp;"=/ s "&amp;INDEX(CUEs!$B:$B,INT((ROW()-1)/7)*57+MOD(ROW()-1,7)+50),"")</f>
        <v/>
      </c>
    </row>
    <row r="2716" spans="1:1" x14ac:dyDescent="0.25">
      <c r="A2716" t="str" cm="1">
        <f t="array" ref="A2716">IF(INDEX(CUEs!$A:$A,INT((ROW()-1)/7)*57+MOD(ROW()-1,7)+50)&lt;&gt;"","set "&amp;INDEX(CUEs!$A:$A,INT((ROW()-1)/7)*57+MOD(ROW()-1,7)+50)&amp;"=/ s "&amp;INDEX(CUEs!$B:$B,INT((ROW()-1)/7)*57+MOD(ROW()-1,7)+50),"")</f>
        <v/>
      </c>
    </row>
    <row r="2717" spans="1:1" x14ac:dyDescent="0.25">
      <c r="A2717" t="str" cm="1">
        <f t="array" ref="A2717">IF(INDEX(CUEs!$A:$A,INT((ROW()-1)/7)*57+MOD(ROW()-1,7)+50)&lt;&gt;"","set "&amp;INDEX(CUEs!$A:$A,INT((ROW()-1)/7)*57+MOD(ROW()-1,7)+50)&amp;"=/ s "&amp;INDEX(CUEs!$B:$B,INT((ROW()-1)/7)*57+MOD(ROW()-1,7)+50),"")</f>
        <v/>
      </c>
    </row>
    <row r="2718" spans="1:1" x14ac:dyDescent="0.25">
      <c r="A2718" t="str" cm="1">
        <f t="array" ref="A2718">IF(INDEX(CUEs!$A:$A,INT((ROW()-1)/7)*57+MOD(ROW()-1,7)+50)&lt;&gt;"","set "&amp;INDEX(CUEs!$A:$A,INT((ROW()-1)/7)*57+MOD(ROW()-1,7)+50)&amp;"=/ s "&amp;INDEX(CUEs!$B:$B,INT((ROW()-1)/7)*57+MOD(ROW()-1,7)+50),"")</f>
        <v/>
      </c>
    </row>
    <row r="2719" spans="1:1" x14ac:dyDescent="0.25">
      <c r="A2719" t="str" cm="1">
        <f t="array" ref="A2719">IF(INDEX(CUEs!$A:$A,INT((ROW()-1)/7)*57+MOD(ROW()-1,7)+50)&lt;&gt;"","set "&amp;INDEX(CUEs!$A:$A,INT((ROW()-1)/7)*57+MOD(ROW()-1,7)+50)&amp;"=/ s "&amp;INDEX(CUEs!$B:$B,INT((ROW()-1)/7)*57+MOD(ROW()-1,7)+50),"")</f>
        <v/>
      </c>
    </row>
    <row r="2720" spans="1:1" x14ac:dyDescent="0.25">
      <c r="A2720" t="str" cm="1">
        <f t="array" ref="A2720">IF(INDEX(CUEs!$A:$A,INT((ROW()-1)/7)*57+MOD(ROW()-1,7)+50)&lt;&gt;"","set "&amp;INDEX(CUEs!$A:$A,INT((ROW()-1)/7)*57+MOD(ROW()-1,7)+50)&amp;"=/ s "&amp;INDEX(CUEs!$B:$B,INT((ROW()-1)/7)*57+MOD(ROW()-1,7)+50),"")</f>
        <v/>
      </c>
    </row>
    <row r="2721" spans="1:1" x14ac:dyDescent="0.25">
      <c r="A2721" t="str" cm="1">
        <f t="array" ref="A2721">IF(INDEX(CUEs!$A:$A,INT((ROW()-1)/7)*57+MOD(ROW()-1,7)+50)&lt;&gt;"","set "&amp;INDEX(CUEs!$A:$A,INT((ROW()-1)/7)*57+MOD(ROW()-1,7)+50)&amp;"=/ s "&amp;INDEX(CUEs!$B:$B,INT((ROW()-1)/7)*57+MOD(ROW()-1,7)+50),"")</f>
        <v/>
      </c>
    </row>
    <row r="2722" spans="1:1" x14ac:dyDescent="0.25">
      <c r="A2722" t="str" cm="1">
        <f t="array" ref="A2722">IF(INDEX(CUEs!$A:$A,INT((ROW()-1)/7)*57+MOD(ROW()-1,7)+50)&lt;&gt;"","set "&amp;INDEX(CUEs!$A:$A,INT((ROW()-1)/7)*57+MOD(ROW()-1,7)+50)&amp;"=/ s "&amp;INDEX(CUEs!$B:$B,INT((ROW()-1)/7)*57+MOD(ROW()-1,7)+50),"")</f>
        <v/>
      </c>
    </row>
    <row r="2723" spans="1:1" x14ac:dyDescent="0.25">
      <c r="A2723" t="str" cm="1">
        <f t="array" ref="A2723">IF(INDEX(CUEs!$A:$A,INT((ROW()-1)/7)*57+MOD(ROW()-1,7)+50)&lt;&gt;"","set "&amp;INDEX(CUEs!$A:$A,INT((ROW()-1)/7)*57+MOD(ROW()-1,7)+50)&amp;"=/ s "&amp;INDEX(CUEs!$B:$B,INT((ROW()-1)/7)*57+MOD(ROW()-1,7)+50),"")</f>
        <v/>
      </c>
    </row>
    <row r="2724" spans="1:1" x14ac:dyDescent="0.25">
      <c r="A2724" t="str" cm="1">
        <f t="array" ref="A2724">IF(INDEX(CUEs!$A:$A,INT((ROW()-1)/7)*57+MOD(ROW()-1,7)+50)&lt;&gt;"","set "&amp;INDEX(CUEs!$A:$A,INT((ROW()-1)/7)*57+MOD(ROW()-1,7)+50)&amp;"=/ s "&amp;INDEX(CUEs!$B:$B,INT((ROW()-1)/7)*57+MOD(ROW()-1,7)+50),"")</f>
        <v/>
      </c>
    </row>
    <row r="2725" spans="1:1" x14ac:dyDescent="0.25">
      <c r="A2725" t="str" cm="1">
        <f t="array" ref="A2725">IF(INDEX(CUEs!$A:$A,INT((ROW()-1)/7)*57+MOD(ROW()-1,7)+50)&lt;&gt;"","set "&amp;INDEX(CUEs!$A:$A,INT((ROW()-1)/7)*57+MOD(ROW()-1,7)+50)&amp;"=/ s "&amp;INDEX(CUEs!$B:$B,INT((ROW()-1)/7)*57+MOD(ROW()-1,7)+50),"")</f>
        <v/>
      </c>
    </row>
    <row r="2726" spans="1:1" x14ac:dyDescent="0.25">
      <c r="A2726" t="str" cm="1">
        <f t="array" ref="A2726">IF(INDEX(CUEs!$A:$A,INT((ROW()-1)/7)*57+MOD(ROW()-1,7)+50)&lt;&gt;"","set "&amp;INDEX(CUEs!$A:$A,INT((ROW()-1)/7)*57+MOD(ROW()-1,7)+50)&amp;"=/ s "&amp;INDEX(CUEs!$B:$B,INT((ROW()-1)/7)*57+MOD(ROW()-1,7)+50),"")</f>
        <v/>
      </c>
    </row>
    <row r="2727" spans="1:1" x14ac:dyDescent="0.25">
      <c r="A2727" t="str" cm="1">
        <f t="array" ref="A2727">IF(INDEX(CUEs!$A:$A,INT((ROW()-1)/7)*57+MOD(ROW()-1,7)+50)&lt;&gt;"","set "&amp;INDEX(CUEs!$A:$A,INT((ROW()-1)/7)*57+MOD(ROW()-1,7)+50)&amp;"=/ s "&amp;INDEX(CUEs!$B:$B,INT((ROW()-1)/7)*57+MOD(ROW()-1,7)+50),"")</f>
        <v/>
      </c>
    </row>
    <row r="2728" spans="1:1" x14ac:dyDescent="0.25">
      <c r="A2728" t="str" cm="1">
        <f t="array" ref="A2728">IF(INDEX(CUEs!$A:$A,INT((ROW()-1)/7)*57+MOD(ROW()-1,7)+50)&lt;&gt;"","set "&amp;INDEX(CUEs!$A:$A,INT((ROW()-1)/7)*57+MOD(ROW()-1,7)+50)&amp;"=/ s "&amp;INDEX(CUEs!$B:$B,INT((ROW()-1)/7)*57+MOD(ROW()-1,7)+50),"")</f>
        <v/>
      </c>
    </row>
    <row r="2729" spans="1:1" x14ac:dyDescent="0.25">
      <c r="A2729" t="str" cm="1">
        <f t="array" ref="A2729">IF(INDEX(CUEs!$A:$A,INT((ROW()-1)/7)*57+MOD(ROW()-1,7)+50)&lt;&gt;"","set "&amp;INDEX(CUEs!$A:$A,INT((ROW()-1)/7)*57+MOD(ROW()-1,7)+50)&amp;"=/ s "&amp;INDEX(CUEs!$B:$B,INT((ROW()-1)/7)*57+MOD(ROW()-1,7)+50),"")</f>
        <v/>
      </c>
    </row>
    <row r="2730" spans="1:1" x14ac:dyDescent="0.25">
      <c r="A2730" t="str" cm="1">
        <f t="array" ref="A2730">IF(INDEX(CUEs!$A:$A,INT((ROW()-1)/7)*57+MOD(ROW()-1,7)+50)&lt;&gt;"","set "&amp;INDEX(CUEs!$A:$A,INT((ROW()-1)/7)*57+MOD(ROW()-1,7)+50)&amp;"=/ s "&amp;INDEX(CUEs!$B:$B,INT((ROW()-1)/7)*57+MOD(ROW()-1,7)+50),"")</f>
        <v/>
      </c>
    </row>
    <row r="2731" spans="1:1" x14ac:dyDescent="0.25">
      <c r="A2731" t="str" cm="1">
        <f t="array" ref="A2731">IF(INDEX(CUEs!$A:$A,INT((ROW()-1)/7)*57+MOD(ROW()-1,7)+50)&lt;&gt;"","set "&amp;INDEX(CUEs!$A:$A,INT((ROW()-1)/7)*57+MOD(ROW()-1,7)+50)&amp;"=/ s "&amp;INDEX(CUEs!$B:$B,INT((ROW()-1)/7)*57+MOD(ROW()-1,7)+50),"")</f>
        <v/>
      </c>
    </row>
    <row r="2732" spans="1:1" x14ac:dyDescent="0.25">
      <c r="A2732" t="str" cm="1">
        <f t="array" ref="A2732">IF(INDEX(CUEs!$A:$A,INT((ROW()-1)/7)*57+MOD(ROW()-1,7)+50)&lt;&gt;"","set "&amp;INDEX(CUEs!$A:$A,INT((ROW()-1)/7)*57+MOD(ROW()-1,7)+50)&amp;"=/ s "&amp;INDEX(CUEs!$B:$B,INT((ROW()-1)/7)*57+MOD(ROW()-1,7)+50),"")</f>
        <v/>
      </c>
    </row>
    <row r="2733" spans="1:1" x14ac:dyDescent="0.25">
      <c r="A2733" t="str" cm="1">
        <f t="array" ref="A2733">IF(INDEX(CUEs!$A:$A,INT((ROW()-1)/7)*57+MOD(ROW()-1,7)+50)&lt;&gt;"","set "&amp;INDEX(CUEs!$A:$A,INT((ROW()-1)/7)*57+MOD(ROW()-1,7)+50)&amp;"=/ s "&amp;INDEX(CUEs!$B:$B,INT((ROW()-1)/7)*57+MOD(ROW()-1,7)+50),"")</f>
        <v/>
      </c>
    </row>
    <row r="2734" spans="1:1" x14ac:dyDescent="0.25">
      <c r="A2734" t="str" cm="1">
        <f t="array" ref="A2734">IF(INDEX(CUEs!$A:$A,INT((ROW()-1)/7)*57+MOD(ROW()-1,7)+50)&lt;&gt;"","set "&amp;INDEX(CUEs!$A:$A,INT((ROW()-1)/7)*57+MOD(ROW()-1,7)+50)&amp;"=/ s "&amp;INDEX(CUEs!$B:$B,INT((ROW()-1)/7)*57+MOD(ROW()-1,7)+50),"")</f>
        <v/>
      </c>
    </row>
    <row r="2735" spans="1:1" x14ac:dyDescent="0.25">
      <c r="A2735" t="str" cm="1">
        <f t="array" ref="A2735">IF(INDEX(CUEs!$A:$A,INT((ROW()-1)/7)*57+MOD(ROW()-1,7)+50)&lt;&gt;"","set "&amp;INDEX(CUEs!$A:$A,INT((ROW()-1)/7)*57+MOD(ROW()-1,7)+50)&amp;"=/ s "&amp;INDEX(CUEs!$B:$B,INT((ROW()-1)/7)*57+MOD(ROW()-1,7)+50),"")</f>
        <v/>
      </c>
    </row>
    <row r="2736" spans="1:1" x14ac:dyDescent="0.25">
      <c r="A2736" t="str" cm="1">
        <f t="array" ref="A2736">IF(INDEX(CUEs!$A:$A,INT((ROW()-1)/7)*57+MOD(ROW()-1,7)+50)&lt;&gt;"","set "&amp;INDEX(CUEs!$A:$A,INT((ROW()-1)/7)*57+MOD(ROW()-1,7)+50)&amp;"=/ s "&amp;INDEX(CUEs!$B:$B,INT((ROW()-1)/7)*57+MOD(ROW()-1,7)+50),"")</f>
        <v/>
      </c>
    </row>
    <row r="2737" spans="1:1" x14ac:dyDescent="0.25">
      <c r="A2737" t="str" cm="1">
        <f t="array" ref="A2737">IF(INDEX(CUEs!$A:$A,INT((ROW()-1)/7)*57+MOD(ROW()-1,7)+50)&lt;&gt;"","set "&amp;INDEX(CUEs!$A:$A,INT((ROW()-1)/7)*57+MOD(ROW()-1,7)+50)&amp;"=/ s "&amp;INDEX(CUEs!$B:$B,INT((ROW()-1)/7)*57+MOD(ROW()-1,7)+50),"")</f>
        <v/>
      </c>
    </row>
    <row r="2738" spans="1:1" x14ac:dyDescent="0.25">
      <c r="A2738" t="str" cm="1">
        <f t="array" ref="A2738">IF(INDEX(CUEs!$A:$A,INT((ROW()-1)/7)*57+MOD(ROW()-1,7)+50)&lt;&gt;"","set "&amp;INDEX(CUEs!$A:$A,INT((ROW()-1)/7)*57+MOD(ROW()-1,7)+50)&amp;"=/ s "&amp;INDEX(CUEs!$B:$B,INT((ROW()-1)/7)*57+MOD(ROW()-1,7)+50),"")</f>
        <v/>
      </c>
    </row>
    <row r="2739" spans="1:1" x14ac:dyDescent="0.25">
      <c r="A2739" t="str" cm="1">
        <f t="array" ref="A2739">IF(INDEX(CUEs!$A:$A,INT((ROW()-1)/7)*57+MOD(ROW()-1,7)+50)&lt;&gt;"","set "&amp;INDEX(CUEs!$A:$A,INT((ROW()-1)/7)*57+MOD(ROW()-1,7)+50)&amp;"=/ s "&amp;INDEX(CUEs!$B:$B,INT((ROW()-1)/7)*57+MOD(ROW()-1,7)+50),"")</f>
        <v/>
      </c>
    </row>
    <row r="2740" spans="1:1" x14ac:dyDescent="0.25">
      <c r="A2740" t="str" cm="1">
        <f t="array" ref="A2740">IF(INDEX(CUEs!$A:$A,INT((ROW()-1)/7)*57+MOD(ROW()-1,7)+50)&lt;&gt;"","set "&amp;INDEX(CUEs!$A:$A,INT((ROW()-1)/7)*57+MOD(ROW()-1,7)+50)&amp;"=/ s "&amp;INDEX(CUEs!$B:$B,INT((ROW()-1)/7)*57+MOD(ROW()-1,7)+50),"")</f>
        <v/>
      </c>
    </row>
    <row r="2741" spans="1:1" x14ac:dyDescent="0.25">
      <c r="A2741" t="str" cm="1">
        <f t="array" ref="A2741">IF(INDEX(CUEs!$A:$A,INT((ROW()-1)/7)*57+MOD(ROW()-1,7)+50)&lt;&gt;"","set "&amp;INDEX(CUEs!$A:$A,INT((ROW()-1)/7)*57+MOD(ROW()-1,7)+50)&amp;"=/ s "&amp;INDEX(CUEs!$B:$B,INT((ROW()-1)/7)*57+MOD(ROW()-1,7)+50),"")</f>
        <v/>
      </c>
    </row>
    <row r="2742" spans="1:1" x14ac:dyDescent="0.25">
      <c r="A2742" t="str" cm="1">
        <f t="array" ref="A2742">IF(INDEX(CUEs!$A:$A,INT((ROW()-1)/7)*57+MOD(ROW()-1,7)+50)&lt;&gt;"","set "&amp;INDEX(CUEs!$A:$A,INT((ROW()-1)/7)*57+MOD(ROW()-1,7)+50)&amp;"=/ s "&amp;INDEX(CUEs!$B:$B,INT((ROW()-1)/7)*57+MOD(ROW()-1,7)+50),"")</f>
        <v/>
      </c>
    </row>
    <row r="2743" spans="1:1" x14ac:dyDescent="0.25">
      <c r="A2743" t="str" cm="1">
        <f t="array" ref="A2743">IF(INDEX(CUEs!$A:$A,INT((ROW()-1)/7)*57+MOD(ROW()-1,7)+50)&lt;&gt;"","set "&amp;INDEX(CUEs!$A:$A,INT((ROW()-1)/7)*57+MOD(ROW()-1,7)+50)&amp;"=/ s "&amp;INDEX(CUEs!$B:$B,INT((ROW()-1)/7)*57+MOD(ROW()-1,7)+50),"")</f>
        <v/>
      </c>
    </row>
    <row r="2744" spans="1:1" x14ac:dyDescent="0.25">
      <c r="A2744" t="str" cm="1">
        <f t="array" ref="A2744">IF(INDEX(CUEs!$A:$A,INT((ROW()-1)/7)*57+MOD(ROW()-1,7)+50)&lt;&gt;"","set "&amp;INDEX(CUEs!$A:$A,INT((ROW()-1)/7)*57+MOD(ROW()-1,7)+50)&amp;"=/ s "&amp;INDEX(CUEs!$B:$B,INT((ROW()-1)/7)*57+MOD(ROW()-1,7)+50),"")</f>
        <v/>
      </c>
    </row>
    <row r="2745" spans="1:1" x14ac:dyDescent="0.25">
      <c r="A2745" t="str" cm="1">
        <f t="array" ref="A2745">IF(INDEX(CUEs!$A:$A,INT((ROW()-1)/7)*57+MOD(ROW()-1,7)+50)&lt;&gt;"","set "&amp;INDEX(CUEs!$A:$A,INT((ROW()-1)/7)*57+MOD(ROW()-1,7)+50)&amp;"=/ s "&amp;INDEX(CUEs!$B:$B,INT((ROW()-1)/7)*57+MOD(ROW()-1,7)+50),"")</f>
        <v/>
      </c>
    </row>
    <row r="2746" spans="1:1" x14ac:dyDescent="0.25">
      <c r="A2746" t="str" cm="1">
        <f t="array" ref="A2746">IF(INDEX(CUEs!$A:$A,INT((ROW()-1)/7)*57+MOD(ROW()-1,7)+50)&lt;&gt;"","set "&amp;INDEX(CUEs!$A:$A,INT((ROW()-1)/7)*57+MOD(ROW()-1,7)+50)&amp;"=/ s "&amp;INDEX(CUEs!$B:$B,INT((ROW()-1)/7)*57+MOD(ROW()-1,7)+50),"")</f>
        <v/>
      </c>
    </row>
    <row r="2747" spans="1:1" x14ac:dyDescent="0.25">
      <c r="A2747" t="str" cm="1">
        <f t="array" ref="A2747">IF(INDEX(CUEs!$A:$A,INT((ROW()-1)/7)*57+MOD(ROW()-1,7)+50)&lt;&gt;"","set "&amp;INDEX(CUEs!$A:$A,INT((ROW()-1)/7)*57+MOD(ROW()-1,7)+50)&amp;"=/ s "&amp;INDEX(CUEs!$B:$B,INT((ROW()-1)/7)*57+MOD(ROW()-1,7)+50),"")</f>
        <v/>
      </c>
    </row>
    <row r="2748" spans="1:1" x14ac:dyDescent="0.25">
      <c r="A2748" t="str" cm="1">
        <f t="array" ref="A2748">IF(INDEX(CUEs!$A:$A,INT((ROW()-1)/7)*57+MOD(ROW()-1,7)+50)&lt;&gt;"","set "&amp;INDEX(CUEs!$A:$A,INT((ROW()-1)/7)*57+MOD(ROW()-1,7)+50)&amp;"=/ s "&amp;INDEX(CUEs!$B:$B,INT((ROW()-1)/7)*57+MOD(ROW()-1,7)+50),"")</f>
        <v/>
      </c>
    </row>
    <row r="2749" spans="1:1" x14ac:dyDescent="0.25">
      <c r="A2749" t="str" cm="1">
        <f t="array" ref="A2749">IF(INDEX(CUEs!$A:$A,INT((ROW()-1)/7)*57+MOD(ROW()-1,7)+50)&lt;&gt;"","set "&amp;INDEX(CUEs!$A:$A,INT((ROW()-1)/7)*57+MOD(ROW()-1,7)+50)&amp;"=/ s "&amp;INDEX(CUEs!$B:$B,INT((ROW()-1)/7)*57+MOD(ROW()-1,7)+50),"")</f>
        <v/>
      </c>
    </row>
    <row r="2750" spans="1:1" x14ac:dyDescent="0.25">
      <c r="A2750" t="str" cm="1">
        <f t="array" ref="A2750">IF(INDEX(CUEs!$A:$A,INT((ROW()-1)/7)*57+MOD(ROW()-1,7)+50)&lt;&gt;"","set "&amp;INDEX(CUEs!$A:$A,INT((ROW()-1)/7)*57+MOD(ROW()-1,7)+50)&amp;"=/ s "&amp;INDEX(CUEs!$B:$B,INT((ROW()-1)/7)*57+MOD(ROW()-1,7)+50),"")</f>
        <v/>
      </c>
    </row>
    <row r="2751" spans="1:1" x14ac:dyDescent="0.25">
      <c r="A2751" t="str" cm="1">
        <f t="array" ref="A2751">IF(INDEX(CUEs!$A:$A,INT((ROW()-1)/7)*57+MOD(ROW()-1,7)+50)&lt;&gt;"","set "&amp;INDEX(CUEs!$A:$A,INT((ROW()-1)/7)*57+MOD(ROW()-1,7)+50)&amp;"=/ s "&amp;INDEX(CUEs!$B:$B,INT((ROW()-1)/7)*57+MOD(ROW()-1,7)+50),"")</f>
        <v/>
      </c>
    </row>
    <row r="2752" spans="1:1" x14ac:dyDescent="0.25">
      <c r="A2752" t="str" cm="1">
        <f t="array" ref="A2752">IF(INDEX(CUEs!$A:$A,INT((ROW()-1)/7)*57+MOD(ROW()-1,7)+50)&lt;&gt;"","set "&amp;INDEX(CUEs!$A:$A,INT((ROW()-1)/7)*57+MOD(ROW()-1,7)+50)&amp;"=/ s "&amp;INDEX(CUEs!$B:$B,INT((ROW()-1)/7)*57+MOD(ROW()-1,7)+50),"")</f>
        <v/>
      </c>
    </row>
    <row r="2753" spans="1:1" x14ac:dyDescent="0.25">
      <c r="A2753" t="str" cm="1">
        <f t="array" ref="A2753">IF(INDEX(CUEs!$A:$A,INT((ROW()-1)/7)*57+MOD(ROW()-1,7)+50)&lt;&gt;"","set "&amp;INDEX(CUEs!$A:$A,INT((ROW()-1)/7)*57+MOD(ROW()-1,7)+50)&amp;"=/ s "&amp;INDEX(CUEs!$B:$B,INT((ROW()-1)/7)*57+MOD(ROW()-1,7)+50),"")</f>
        <v/>
      </c>
    </row>
    <row r="2754" spans="1:1" x14ac:dyDescent="0.25">
      <c r="A2754" t="str" cm="1">
        <f t="array" ref="A2754">IF(INDEX(CUEs!$A:$A,INT((ROW()-1)/7)*57+MOD(ROW()-1,7)+50)&lt;&gt;"","set "&amp;INDEX(CUEs!$A:$A,INT((ROW()-1)/7)*57+MOD(ROW()-1,7)+50)&amp;"=/ s "&amp;INDEX(CUEs!$B:$B,INT((ROW()-1)/7)*57+MOD(ROW()-1,7)+50),"")</f>
        <v/>
      </c>
    </row>
    <row r="2755" spans="1:1" x14ac:dyDescent="0.25">
      <c r="A2755" t="str" cm="1">
        <f t="array" ref="A2755">IF(INDEX(CUEs!$A:$A,INT((ROW()-1)/7)*57+MOD(ROW()-1,7)+50)&lt;&gt;"","set "&amp;INDEX(CUEs!$A:$A,INT((ROW()-1)/7)*57+MOD(ROW()-1,7)+50)&amp;"=/ s "&amp;INDEX(CUEs!$B:$B,INT((ROW()-1)/7)*57+MOD(ROW()-1,7)+50),"")</f>
        <v/>
      </c>
    </row>
    <row r="2756" spans="1:1" x14ac:dyDescent="0.25">
      <c r="A2756" t="str" cm="1">
        <f t="array" ref="A2756">IF(INDEX(CUEs!$A:$A,INT((ROW()-1)/7)*57+MOD(ROW()-1,7)+50)&lt;&gt;"","set "&amp;INDEX(CUEs!$A:$A,INT((ROW()-1)/7)*57+MOD(ROW()-1,7)+50)&amp;"=/ s "&amp;INDEX(CUEs!$B:$B,INT((ROW()-1)/7)*57+MOD(ROW()-1,7)+50),"")</f>
        <v/>
      </c>
    </row>
    <row r="2757" spans="1:1" x14ac:dyDescent="0.25">
      <c r="A2757" t="str" cm="1">
        <f t="array" ref="A2757">IF(INDEX(CUEs!$A:$A,INT((ROW()-1)/7)*57+MOD(ROW()-1,7)+50)&lt;&gt;"","set "&amp;INDEX(CUEs!$A:$A,INT((ROW()-1)/7)*57+MOD(ROW()-1,7)+50)&amp;"=/ s "&amp;INDEX(CUEs!$B:$B,INT((ROW()-1)/7)*57+MOD(ROW()-1,7)+50),"")</f>
        <v/>
      </c>
    </row>
    <row r="2758" spans="1:1" x14ac:dyDescent="0.25">
      <c r="A2758" t="str" cm="1">
        <f t="array" ref="A2758">IF(INDEX(CUEs!$A:$A,INT((ROW()-1)/7)*57+MOD(ROW()-1,7)+50)&lt;&gt;"","set "&amp;INDEX(CUEs!$A:$A,INT((ROW()-1)/7)*57+MOD(ROW()-1,7)+50)&amp;"=/ s "&amp;INDEX(CUEs!$B:$B,INT((ROW()-1)/7)*57+MOD(ROW()-1,7)+50),"")</f>
        <v/>
      </c>
    </row>
    <row r="2759" spans="1:1" x14ac:dyDescent="0.25">
      <c r="A2759" t="str" cm="1">
        <f t="array" ref="A2759">IF(INDEX(CUEs!$A:$A,INT((ROW()-1)/7)*57+MOD(ROW()-1,7)+50)&lt;&gt;"","set "&amp;INDEX(CUEs!$A:$A,INT((ROW()-1)/7)*57+MOD(ROW()-1,7)+50)&amp;"=/ s "&amp;INDEX(CUEs!$B:$B,INT((ROW()-1)/7)*57+MOD(ROW()-1,7)+50),"")</f>
        <v/>
      </c>
    </row>
    <row r="2760" spans="1:1" x14ac:dyDescent="0.25">
      <c r="A2760" t="str" cm="1">
        <f t="array" ref="A2760">IF(INDEX(CUEs!$A:$A,INT((ROW()-1)/7)*57+MOD(ROW()-1,7)+50)&lt;&gt;"","set "&amp;INDEX(CUEs!$A:$A,INT((ROW()-1)/7)*57+MOD(ROW()-1,7)+50)&amp;"=/ s "&amp;INDEX(CUEs!$B:$B,INT((ROW()-1)/7)*57+MOD(ROW()-1,7)+50),"")</f>
        <v/>
      </c>
    </row>
    <row r="2761" spans="1:1" x14ac:dyDescent="0.25">
      <c r="A2761" t="str" cm="1">
        <f t="array" ref="A2761">IF(INDEX(CUEs!$A:$A,INT((ROW()-1)/7)*57+MOD(ROW()-1,7)+50)&lt;&gt;"","set "&amp;INDEX(CUEs!$A:$A,INT((ROW()-1)/7)*57+MOD(ROW()-1,7)+50)&amp;"=/ s "&amp;INDEX(CUEs!$B:$B,INT((ROW()-1)/7)*57+MOD(ROW()-1,7)+50),"")</f>
        <v/>
      </c>
    </row>
    <row r="2762" spans="1:1" x14ac:dyDescent="0.25">
      <c r="A2762" t="str" cm="1">
        <f t="array" ref="A2762">IF(INDEX(CUEs!$A:$A,INT((ROW()-1)/7)*57+MOD(ROW()-1,7)+50)&lt;&gt;"","set "&amp;INDEX(CUEs!$A:$A,INT((ROW()-1)/7)*57+MOD(ROW()-1,7)+50)&amp;"=/ s "&amp;INDEX(CUEs!$B:$B,INT((ROW()-1)/7)*57+MOD(ROW()-1,7)+50),"")</f>
        <v/>
      </c>
    </row>
    <row r="2763" spans="1:1" x14ac:dyDescent="0.25">
      <c r="A2763" t="str" cm="1">
        <f t="array" ref="A2763">IF(INDEX(CUEs!$A:$A,INT((ROW()-1)/7)*57+MOD(ROW()-1,7)+50)&lt;&gt;"","set "&amp;INDEX(CUEs!$A:$A,INT((ROW()-1)/7)*57+MOD(ROW()-1,7)+50)&amp;"=/ s "&amp;INDEX(CUEs!$B:$B,INT((ROW()-1)/7)*57+MOD(ROW()-1,7)+50),"")</f>
        <v/>
      </c>
    </row>
    <row r="2764" spans="1:1" x14ac:dyDescent="0.25">
      <c r="A2764" t="str" cm="1">
        <f t="array" ref="A2764">IF(INDEX(CUEs!$A:$A,INT((ROW()-1)/7)*57+MOD(ROW()-1,7)+50)&lt;&gt;"","set "&amp;INDEX(CUEs!$A:$A,INT((ROW()-1)/7)*57+MOD(ROW()-1,7)+50)&amp;"=/ s "&amp;INDEX(CUEs!$B:$B,INT((ROW()-1)/7)*57+MOD(ROW()-1,7)+50),"")</f>
        <v/>
      </c>
    </row>
    <row r="2765" spans="1:1" x14ac:dyDescent="0.25">
      <c r="A2765" t="str" cm="1">
        <f t="array" ref="A2765">IF(INDEX(CUEs!$A:$A,INT((ROW()-1)/7)*57+MOD(ROW()-1,7)+50)&lt;&gt;"","set "&amp;INDEX(CUEs!$A:$A,INT((ROW()-1)/7)*57+MOD(ROW()-1,7)+50)&amp;"=/ s "&amp;INDEX(CUEs!$B:$B,INT((ROW()-1)/7)*57+MOD(ROW()-1,7)+50),"")</f>
        <v/>
      </c>
    </row>
    <row r="2766" spans="1:1" x14ac:dyDescent="0.25">
      <c r="A2766" t="str" cm="1">
        <f t="array" ref="A2766">IF(INDEX(CUEs!$A:$A,INT((ROW()-1)/7)*57+MOD(ROW()-1,7)+50)&lt;&gt;"","set "&amp;INDEX(CUEs!$A:$A,INT((ROW()-1)/7)*57+MOD(ROW()-1,7)+50)&amp;"=/ s "&amp;INDEX(CUEs!$B:$B,INT((ROW()-1)/7)*57+MOD(ROW()-1,7)+50),"")</f>
        <v/>
      </c>
    </row>
    <row r="2767" spans="1:1" x14ac:dyDescent="0.25">
      <c r="A2767" t="str" cm="1">
        <f t="array" ref="A2767">IF(INDEX(CUEs!$A:$A,INT((ROW()-1)/7)*57+MOD(ROW()-1,7)+50)&lt;&gt;"","set "&amp;INDEX(CUEs!$A:$A,INT((ROW()-1)/7)*57+MOD(ROW()-1,7)+50)&amp;"=/ s "&amp;INDEX(CUEs!$B:$B,INT((ROW()-1)/7)*57+MOD(ROW()-1,7)+50),"")</f>
        <v/>
      </c>
    </row>
    <row r="2768" spans="1:1" x14ac:dyDescent="0.25">
      <c r="A2768" t="str" cm="1">
        <f t="array" ref="A2768">IF(INDEX(CUEs!$A:$A,INT((ROW()-1)/7)*57+MOD(ROW()-1,7)+50)&lt;&gt;"","set "&amp;INDEX(CUEs!$A:$A,INT((ROW()-1)/7)*57+MOD(ROW()-1,7)+50)&amp;"=/ s "&amp;INDEX(CUEs!$B:$B,INT((ROW()-1)/7)*57+MOD(ROW()-1,7)+50),"")</f>
        <v/>
      </c>
    </row>
    <row r="2769" spans="1:1" x14ac:dyDescent="0.25">
      <c r="A2769" t="str" cm="1">
        <f t="array" ref="A2769">IF(INDEX(CUEs!$A:$A,INT((ROW()-1)/7)*57+MOD(ROW()-1,7)+50)&lt;&gt;"","set "&amp;INDEX(CUEs!$A:$A,INT((ROW()-1)/7)*57+MOD(ROW()-1,7)+50)&amp;"=/ s "&amp;INDEX(CUEs!$B:$B,INT((ROW()-1)/7)*57+MOD(ROW()-1,7)+50),"")</f>
        <v/>
      </c>
    </row>
    <row r="2770" spans="1:1" x14ac:dyDescent="0.25">
      <c r="A2770" t="str" cm="1">
        <f t="array" ref="A2770">IF(INDEX(CUEs!$A:$A,INT((ROW()-1)/7)*57+MOD(ROW()-1,7)+50)&lt;&gt;"","set "&amp;INDEX(CUEs!$A:$A,INT((ROW()-1)/7)*57+MOD(ROW()-1,7)+50)&amp;"=/ s "&amp;INDEX(CUEs!$B:$B,INT((ROW()-1)/7)*57+MOD(ROW()-1,7)+50),"")</f>
        <v/>
      </c>
    </row>
    <row r="2771" spans="1:1" x14ac:dyDescent="0.25">
      <c r="A2771" t="str" cm="1">
        <f t="array" ref="A2771">IF(INDEX(CUEs!$A:$A,INT((ROW()-1)/7)*57+MOD(ROW()-1,7)+50)&lt;&gt;"","set "&amp;INDEX(CUEs!$A:$A,INT((ROW()-1)/7)*57+MOD(ROW()-1,7)+50)&amp;"=/ s "&amp;INDEX(CUEs!$B:$B,INT((ROW()-1)/7)*57+MOD(ROW()-1,7)+50),"")</f>
        <v/>
      </c>
    </row>
    <row r="2772" spans="1:1" x14ac:dyDescent="0.25">
      <c r="A2772" t="str" cm="1">
        <f t="array" ref="A2772">IF(INDEX(CUEs!$A:$A,INT((ROW()-1)/7)*57+MOD(ROW()-1,7)+50)&lt;&gt;"","set "&amp;INDEX(CUEs!$A:$A,INT((ROW()-1)/7)*57+MOD(ROW()-1,7)+50)&amp;"=/ s "&amp;INDEX(CUEs!$B:$B,INT((ROW()-1)/7)*57+MOD(ROW()-1,7)+50),"")</f>
        <v/>
      </c>
    </row>
    <row r="2773" spans="1:1" x14ac:dyDescent="0.25">
      <c r="A2773" t="str" cm="1">
        <f t="array" ref="A2773">IF(INDEX(CUEs!$A:$A,INT((ROW()-1)/7)*57+MOD(ROW()-1,7)+50)&lt;&gt;"","set "&amp;INDEX(CUEs!$A:$A,INT((ROW()-1)/7)*57+MOD(ROW()-1,7)+50)&amp;"=/ s "&amp;INDEX(CUEs!$B:$B,INT((ROW()-1)/7)*57+MOD(ROW()-1,7)+50),"")</f>
        <v/>
      </c>
    </row>
    <row r="2774" spans="1:1" x14ac:dyDescent="0.25">
      <c r="A2774" t="str" cm="1">
        <f t="array" ref="A2774">IF(INDEX(CUEs!$A:$A,INT((ROW()-1)/7)*57+MOD(ROW()-1,7)+50)&lt;&gt;"","set "&amp;INDEX(CUEs!$A:$A,INT((ROW()-1)/7)*57+MOD(ROW()-1,7)+50)&amp;"=/ s "&amp;INDEX(CUEs!$B:$B,INT((ROW()-1)/7)*57+MOD(ROW()-1,7)+50),"")</f>
        <v/>
      </c>
    </row>
    <row r="2775" spans="1:1" x14ac:dyDescent="0.25">
      <c r="A2775" t="str" cm="1">
        <f t="array" ref="A2775">IF(INDEX(CUEs!$A:$A,INT((ROW()-1)/7)*57+MOD(ROW()-1,7)+50)&lt;&gt;"","set "&amp;INDEX(CUEs!$A:$A,INT((ROW()-1)/7)*57+MOD(ROW()-1,7)+50)&amp;"=/ s "&amp;INDEX(CUEs!$B:$B,INT((ROW()-1)/7)*57+MOD(ROW()-1,7)+50),"")</f>
        <v/>
      </c>
    </row>
    <row r="2776" spans="1:1" x14ac:dyDescent="0.25">
      <c r="A2776" t="str" cm="1">
        <f t="array" ref="A2776">IF(INDEX(CUEs!$A:$A,INT((ROW()-1)/7)*57+MOD(ROW()-1,7)+50)&lt;&gt;"","set "&amp;INDEX(CUEs!$A:$A,INT((ROW()-1)/7)*57+MOD(ROW()-1,7)+50)&amp;"=/ s "&amp;INDEX(CUEs!$B:$B,INT((ROW()-1)/7)*57+MOD(ROW()-1,7)+50),"")</f>
        <v/>
      </c>
    </row>
    <row r="2777" spans="1:1" x14ac:dyDescent="0.25">
      <c r="A2777" t="str" cm="1">
        <f t="array" ref="A2777">IF(INDEX(CUEs!$A:$A,INT((ROW()-1)/7)*57+MOD(ROW()-1,7)+50)&lt;&gt;"","set "&amp;INDEX(CUEs!$A:$A,INT((ROW()-1)/7)*57+MOD(ROW()-1,7)+50)&amp;"=/ s "&amp;INDEX(CUEs!$B:$B,INT((ROW()-1)/7)*57+MOD(ROW()-1,7)+50),"")</f>
        <v/>
      </c>
    </row>
    <row r="2778" spans="1:1" x14ac:dyDescent="0.25">
      <c r="A2778" t="str" cm="1">
        <f t="array" ref="A2778">IF(INDEX(CUEs!$A:$A,INT((ROW()-1)/7)*57+MOD(ROW()-1,7)+50)&lt;&gt;"","set "&amp;INDEX(CUEs!$A:$A,INT((ROW()-1)/7)*57+MOD(ROW()-1,7)+50)&amp;"=/ s "&amp;INDEX(CUEs!$B:$B,INT((ROW()-1)/7)*57+MOD(ROW()-1,7)+50),"")</f>
        <v/>
      </c>
    </row>
    <row r="2779" spans="1:1" x14ac:dyDescent="0.25">
      <c r="A2779" t="str" cm="1">
        <f t="array" ref="A2779">IF(INDEX(CUEs!$A:$A,INT((ROW()-1)/7)*57+MOD(ROW()-1,7)+50)&lt;&gt;"","set "&amp;INDEX(CUEs!$A:$A,INT((ROW()-1)/7)*57+MOD(ROW()-1,7)+50)&amp;"=/ s "&amp;INDEX(CUEs!$B:$B,INT((ROW()-1)/7)*57+MOD(ROW()-1,7)+50),"")</f>
        <v/>
      </c>
    </row>
    <row r="2780" spans="1:1" x14ac:dyDescent="0.25">
      <c r="A2780" t="str" cm="1">
        <f t="array" ref="A2780">IF(INDEX(CUEs!$A:$A,INT((ROW()-1)/7)*57+MOD(ROW()-1,7)+50)&lt;&gt;"","set "&amp;INDEX(CUEs!$A:$A,INT((ROW()-1)/7)*57+MOD(ROW()-1,7)+50)&amp;"=/ s "&amp;INDEX(CUEs!$B:$B,INT((ROW()-1)/7)*57+MOD(ROW()-1,7)+50),"")</f>
        <v/>
      </c>
    </row>
    <row r="2781" spans="1:1" x14ac:dyDescent="0.25">
      <c r="A2781" t="str" cm="1">
        <f t="array" ref="A2781">IF(INDEX(CUEs!$A:$A,INT((ROW()-1)/7)*57+MOD(ROW()-1,7)+50)&lt;&gt;"","set "&amp;INDEX(CUEs!$A:$A,INT((ROW()-1)/7)*57+MOD(ROW()-1,7)+50)&amp;"=/ s "&amp;INDEX(CUEs!$B:$B,INT((ROW()-1)/7)*57+MOD(ROW()-1,7)+50),"")</f>
        <v/>
      </c>
    </row>
    <row r="2782" spans="1:1" x14ac:dyDescent="0.25">
      <c r="A2782" t="str" cm="1">
        <f t="array" ref="A2782">IF(INDEX(CUEs!$A:$A,INT((ROW()-1)/7)*57+MOD(ROW()-1,7)+50)&lt;&gt;"","set "&amp;INDEX(CUEs!$A:$A,INT((ROW()-1)/7)*57+MOD(ROW()-1,7)+50)&amp;"=/ s "&amp;INDEX(CUEs!$B:$B,INT((ROW()-1)/7)*57+MOD(ROW()-1,7)+50),"")</f>
        <v/>
      </c>
    </row>
    <row r="2783" spans="1:1" x14ac:dyDescent="0.25">
      <c r="A2783" t="str" cm="1">
        <f t="array" ref="A2783">IF(INDEX(CUEs!$A:$A,INT((ROW()-1)/7)*57+MOD(ROW()-1,7)+50)&lt;&gt;"","set "&amp;INDEX(CUEs!$A:$A,INT((ROW()-1)/7)*57+MOD(ROW()-1,7)+50)&amp;"=/ s "&amp;INDEX(CUEs!$B:$B,INT((ROW()-1)/7)*57+MOD(ROW()-1,7)+50),"")</f>
        <v/>
      </c>
    </row>
    <row r="2784" spans="1:1" x14ac:dyDescent="0.25">
      <c r="A2784" t="str" cm="1">
        <f t="array" ref="A2784">IF(INDEX(CUEs!$A:$A,INT((ROW()-1)/7)*57+MOD(ROW()-1,7)+50)&lt;&gt;"","set "&amp;INDEX(CUEs!$A:$A,INT((ROW()-1)/7)*57+MOD(ROW()-1,7)+50)&amp;"=/ s "&amp;INDEX(CUEs!$B:$B,INT((ROW()-1)/7)*57+MOD(ROW()-1,7)+50),"")</f>
        <v/>
      </c>
    </row>
    <row r="2785" spans="1:1" x14ac:dyDescent="0.25">
      <c r="A2785" t="str" cm="1">
        <f t="array" ref="A2785">IF(INDEX(CUEs!$A:$A,INT((ROW()-1)/7)*57+MOD(ROW()-1,7)+50)&lt;&gt;"","set "&amp;INDEX(CUEs!$A:$A,INT((ROW()-1)/7)*57+MOD(ROW()-1,7)+50)&amp;"=/ s "&amp;INDEX(CUEs!$B:$B,INT((ROW()-1)/7)*57+MOD(ROW()-1,7)+50),"")</f>
        <v/>
      </c>
    </row>
    <row r="2786" spans="1:1" x14ac:dyDescent="0.25">
      <c r="A2786" t="str" cm="1">
        <f t="array" ref="A2786">IF(INDEX(CUEs!$A:$A,INT((ROW()-1)/7)*57+MOD(ROW()-1,7)+50)&lt;&gt;"","set "&amp;INDEX(CUEs!$A:$A,INT((ROW()-1)/7)*57+MOD(ROW()-1,7)+50)&amp;"=/ s "&amp;INDEX(CUEs!$B:$B,INT((ROW()-1)/7)*57+MOD(ROW()-1,7)+50),"")</f>
        <v/>
      </c>
    </row>
    <row r="2787" spans="1:1" x14ac:dyDescent="0.25">
      <c r="A2787" t="str" cm="1">
        <f t="array" ref="A2787">IF(INDEX(CUEs!$A:$A,INT((ROW()-1)/7)*57+MOD(ROW()-1,7)+50)&lt;&gt;"","set "&amp;INDEX(CUEs!$A:$A,INT((ROW()-1)/7)*57+MOD(ROW()-1,7)+50)&amp;"=/ s "&amp;INDEX(CUEs!$B:$B,INT((ROW()-1)/7)*57+MOD(ROW()-1,7)+50),"")</f>
        <v/>
      </c>
    </row>
    <row r="2788" spans="1:1" x14ac:dyDescent="0.25">
      <c r="A2788" t="str" cm="1">
        <f t="array" ref="A2788">IF(INDEX(CUEs!$A:$A,INT((ROW()-1)/7)*57+MOD(ROW()-1,7)+50)&lt;&gt;"","set "&amp;INDEX(CUEs!$A:$A,INT((ROW()-1)/7)*57+MOD(ROW()-1,7)+50)&amp;"=/ s "&amp;INDEX(CUEs!$B:$B,INT((ROW()-1)/7)*57+MOD(ROW()-1,7)+50),"")</f>
        <v/>
      </c>
    </row>
    <row r="2789" spans="1:1" x14ac:dyDescent="0.25">
      <c r="A2789" t="str" cm="1">
        <f t="array" ref="A2789">IF(INDEX(CUEs!$A:$A,INT((ROW()-1)/7)*57+MOD(ROW()-1,7)+50)&lt;&gt;"","set "&amp;INDEX(CUEs!$A:$A,INT((ROW()-1)/7)*57+MOD(ROW()-1,7)+50)&amp;"=/ s "&amp;INDEX(CUEs!$B:$B,INT((ROW()-1)/7)*57+MOD(ROW()-1,7)+50),"")</f>
        <v/>
      </c>
    </row>
    <row r="2790" spans="1:1" x14ac:dyDescent="0.25">
      <c r="A2790" t="str" cm="1">
        <f t="array" ref="A2790">IF(INDEX(CUEs!$A:$A,INT((ROW()-1)/7)*57+MOD(ROW()-1,7)+50)&lt;&gt;"","set "&amp;INDEX(CUEs!$A:$A,INT((ROW()-1)/7)*57+MOD(ROW()-1,7)+50)&amp;"=/ s "&amp;INDEX(CUEs!$B:$B,INT((ROW()-1)/7)*57+MOD(ROW()-1,7)+50),"")</f>
        <v/>
      </c>
    </row>
    <row r="2791" spans="1:1" x14ac:dyDescent="0.25">
      <c r="A2791" t="str" cm="1">
        <f t="array" ref="A2791">IF(INDEX(CUEs!$A:$A,INT((ROW()-1)/7)*57+MOD(ROW()-1,7)+50)&lt;&gt;"","set "&amp;INDEX(CUEs!$A:$A,INT((ROW()-1)/7)*57+MOD(ROW()-1,7)+50)&amp;"=/ s "&amp;INDEX(CUEs!$B:$B,INT((ROW()-1)/7)*57+MOD(ROW()-1,7)+50),"")</f>
        <v/>
      </c>
    </row>
    <row r="2792" spans="1:1" x14ac:dyDescent="0.25">
      <c r="A2792" t="str" cm="1">
        <f t="array" ref="A2792">IF(INDEX(CUEs!$A:$A,INT((ROW()-1)/7)*57+MOD(ROW()-1,7)+50)&lt;&gt;"","set "&amp;INDEX(CUEs!$A:$A,INT((ROW()-1)/7)*57+MOD(ROW()-1,7)+50)&amp;"=/ s "&amp;INDEX(CUEs!$B:$B,INT((ROW()-1)/7)*57+MOD(ROW()-1,7)+50),"")</f>
        <v/>
      </c>
    </row>
    <row r="2793" spans="1:1" x14ac:dyDescent="0.25">
      <c r="A2793" t="str" cm="1">
        <f t="array" ref="A2793">IF(INDEX(CUEs!$A:$A,INT((ROW()-1)/7)*57+MOD(ROW()-1,7)+50)&lt;&gt;"","set "&amp;INDEX(CUEs!$A:$A,INT((ROW()-1)/7)*57+MOD(ROW()-1,7)+50)&amp;"=/ s "&amp;INDEX(CUEs!$B:$B,INT((ROW()-1)/7)*57+MOD(ROW()-1,7)+50),"")</f>
        <v/>
      </c>
    </row>
    <row r="2794" spans="1:1" x14ac:dyDescent="0.25">
      <c r="A2794" t="str" cm="1">
        <f t="array" ref="A2794">IF(INDEX(CUEs!$A:$A,INT((ROW()-1)/7)*57+MOD(ROW()-1,7)+50)&lt;&gt;"","set "&amp;INDEX(CUEs!$A:$A,INT((ROW()-1)/7)*57+MOD(ROW()-1,7)+50)&amp;"=/ s "&amp;INDEX(CUEs!$B:$B,INT((ROW()-1)/7)*57+MOD(ROW()-1,7)+50),"")</f>
        <v/>
      </c>
    </row>
    <row r="2795" spans="1:1" x14ac:dyDescent="0.25">
      <c r="A2795" t="str" cm="1">
        <f t="array" ref="A2795">IF(INDEX(CUEs!$A:$A,INT((ROW()-1)/7)*57+MOD(ROW()-1,7)+50)&lt;&gt;"","set "&amp;INDEX(CUEs!$A:$A,INT((ROW()-1)/7)*57+MOD(ROW()-1,7)+50)&amp;"=/ s "&amp;INDEX(CUEs!$B:$B,INT((ROW()-1)/7)*57+MOD(ROW()-1,7)+50),"")</f>
        <v/>
      </c>
    </row>
    <row r="2796" spans="1:1" x14ac:dyDescent="0.25">
      <c r="A2796" t="str" cm="1">
        <f t="array" ref="A2796">IF(INDEX(CUEs!$A:$A,INT((ROW()-1)/7)*57+MOD(ROW()-1,7)+50)&lt;&gt;"","set "&amp;INDEX(CUEs!$A:$A,INT((ROW()-1)/7)*57+MOD(ROW()-1,7)+50)&amp;"=/ s "&amp;INDEX(CUEs!$B:$B,INT((ROW()-1)/7)*57+MOD(ROW()-1,7)+50),"")</f>
        <v/>
      </c>
    </row>
    <row r="2797" spans="1:1" x14ac:dyDescent="0.25">
      <c r="A2797" t="str" cm="1">
        <f t="array" ref="A2797">IF(INDEX(CUEs!$A:$A,INT((ROW()-1)/7)*57+MOD(ROW()-1,7)+50)&lt;&gt;"","set "&amp;INDEX(CUEs!$A:$A,INT((ROW()-1)/7)*57+MOD(ROW()-1,7)+50)&amp;"=/ s "&amp;INDEX(CUEs!$B:$B,INT((ROW()-1)/7)*57+MOD(ROW()-1,7)+50),"")</f>
        <v/>
      </c>
    </row>
    <row r="2798" spans="1:1" x14ac:dyDescent="0.25">
      <c r="A2798" t="str" cm="1">
        <f t="array" ref="A2798">IF(INDEX(CUEs!$A:$A,INT((ROW()-1)/7)*57+MOD(ROW()-1,7)+50)&lt;&gt;"","set "&amp;INDEX(CUEs!$A:$A,INT((ROW()-1)/7)*57+MOD(ROW()-1,7)+50)&amp;"=/ s "&amp;INDEX(CUEs!$B:$B,INT((ROW()-1)/7)*57+MOD(ROW()-1,7)+50),"")</f>
        <v/>
      </c>
    </row>
    <row r="2799" spans="1:1" x14ac:dyDescent="0.25">
      <c r="A2799" t="str" cm="1">
        <f t="array" ref="A2799">IF(INDEX(CUEs!$A:$A,INT((ROW()-1)/7)*57+MOD(ROW()-1,7)+50)&lt;&gt;"","set "&amp;INDEX(CUEs!$A:$A,INT((ROW()-1)/7)*57+MOD(ROW()-1,7)+50)&amp;"=/ s "&amp;INDEX(CUEs!$B:$B,INT((ROW()-1)/7)*57+MOD(ROW()-1,7)+50),"")</f>
        <v/>
      </c>
    </row>
    <row r="2800" spans="1:1" x14ac:dyDescent="0.25">
      <c r="A2800" t="str" cm="1">
        <f t="array" ref="A2800">IF(INDEX(CUEs!$A:$A,INT((ROW()-1)/7)*57+MOD(ROW()-1,7)+50)&lt;&gt;"","set "&amp;INDEX(CUEs!$A:$A,INT((ROW()-1)/7)*57+MOD(ROW()-1,7)+50)&amp;"=/ s "&amp;INDEX(CUEs!$B:$B,INT((ROW()-1)/7)*57+MOD(ROW()-1,7)+50),"")</f>
        <v/>
      </c>
    </row>
    <row r="2801" spans="1:1" x14ac:dyDescent="0.25">
      <c r="A2801" t="str" cm="1">
        <f t="array" ref="A2801">IF(INDEX(CUEs!$A:$A,INT((ROW()-1)/7)*57+MOD(ROW()-1,7)+50)&lt;&gt;"","set "&amp;INDEX(CUEs!$A:$A,INT((ROW()-1)/7)*57+MOD(ROW()-1,7)+50)&amp;"=/ s "&amp;INDEX(CUEs!$B:$B,INT((ROW()-1)/7)*57+MOD(ROW()-1,7)+50),"")</f>
        <v/>
      </c>
    </row>
    <row r="2802" spans="1:1" x14ac:dyDescent="0.25">
      <c r="A2802" t="str" cm="1">
        <f t="array" ref="A2802">IF(INDEX(CUEs!$A:$A,INT((ROW()-1)/7)*57+MOD(ROW()-1,7)+50)&lt;&gt;"","set "&amp;INDEX(CUEs!$A:$A,INT((ROW()-1)/7)*57+MOD(ROW()-1,7)+50)&amp;"=/ s "&amp;INDEX(CUEs!$B:$B,INT((ROW()-1)/7)*57+MOD(ROW()-1,7)+50),"")</f>
        <v/>
      </c>
    </row>
    <row r="2803" spans="1:1" x14ac:dyDescent="0.25">
      <c r="A2803" t="str" cm="1">
        <f t="array" ref="A2803">IF(INDEX(CUEs!$A:$A,INT((ROW()-1)/7)*57+MOD(ROW()-1,7)+50)&lt;&gt;"","set "&amp;INDEX(CUEs!$A:$A,INT((ROW()-1)/7)*57+MOD(ROW()-1,7)+50)&amp;"=/ s "&amp;INDEX(CUEs!$B:$B,INT((ROW()-1)/7)*57+MOD(ROW()-1,7)+50),"")</f>
        <v/>
      </c>
    </row>
    <row r="2804" spans="1:1" x14ac:dyDescent="0.25">
      <c r="A2804" t="str" cm="1">
        <f t="array" ref="A2804">IF(INDEX(CUEs!$A:$A,INT((ROW()-1)/7)*57+MOD(ROW()-1,7)+50)&lt;&gt;"","set "&amp;INDEX(CUEs!$A:$A,INT((ROW()-1)/7)*57+MOD(ROW()-1,7)+50)&amp;"=/ s "&amp;INDEX(CUEs!$B:$B,INT((ROW()-1)/7)*57+MOD(ROW()-1,7)+50),"")</f>
        <v/>
      </c>
    </row>
    <row r="2805" spans="1:1" x14ac:dyDescent="0.25">
      <c r="A2805" t="str" cm="1">
        <f t="array" ref="A2805">IF(INDEX(CUEs!$A:$A,INT((ROW()-1)/7)*57+MOD(ROW()-1,7)+50)&lt;&gt;"","set "&amp;INDEX(CUEs!$A:$A,INT((ROW()-1)/7)*57+MOD(ROW()-1,7)+50)&amp;"=/ s "&amp;INDEX(CUEs!$B:$B,INT((ROW()-1)/7)*57+MOD(ROW()-1,7)+50),"")</f>
        <v/>
      </c>
    </row>
    <row r="2806" spans="1:1" x14ac:dyDescent="0.25">
      <c r="A2806" t="str" cm="1">
        <f t="array" ref="A2806">IF(INDEX(CUEs!$A:$A,INT((ROW()-1)/7)*57+MOD(ROW()-1,7)+50)&lt;&gt;"","set "&amp;INDEX(CUEs!$A:$A,INT((ROW()-1)/7)*57+MOD(ROW()-1,7)+50)&amp;"=/ s "&amp;INDEX(CUEs!$B:$B,INT((ROW()-1)/7)*57+MOD(ROW()-1,7)+50),"")</f>
        <v/>
      </c>
    </row>
    <row r="2807" spans="1:1" x14ac:dyDescent="0.25">
      <c r="A2807" t="str" cm="1">
        <f t="array" ref="A2807">IF(INDEX(CUEs!$A:$A,INT((ROW()-1)/7)*57+MOD(ROW()-1,7)+50)&lt;&gt;"","set "&amp;INDEX(CUEs!$A:$A,INT((ROW()-1)/7)*57+MOD(ROW()-1,7)+50)&amp;"=/ s "&amp;INDEX(CUEs!$B:$B,INT((ROW()-1)/7)*57+MOD(ROW()-1,7)+50),"")</f>
        <v/>
      </c>
    </row>
    <row r="2808" spans="1:1" x14ac:dyDescent="0.25">
      <c r="A2808" t="str" cm="1">
        <f t="array" ref="A2808">IF(INDEX(CUEs!$A:$A,INT((ROW()-1)/7)*57+MOD(ROW()-1,7)+50)&lt;&gt;"","set "&amp;INDEX(CUEs!$A:$A,INT((ROW()-1)/7)*57+MOD(ROW()-1,7)+50)&amp;"=/ s "&amp;INDEX(CUEs!$B:$B,INT((ROW()-1)/7)*57+MOD(ROW()-1,7)+50),"")</f>
        <v/>
      </c>
    </row>
    <row r="2809" spans="1:1" x14ac:dyDescent="0.25">
      <c r="A2809" t="str" cm="1">
        <f t="array" ref="A2809">IF(INDEX(CUEs!$A:$A,INT((ROW()-1)/7)*57+MOD(ROW()-1,7)+50)&lt;&gt;"","set "&amp;INDEX(CUEs!$A:$A,INT((ROW()-1)/7)*57+MOD(ROW()-1,7)+50)&amp;"=/ s "&amp;INDEX(CUEs!$B:$B,INT((ROW()-1)/7)*57+MOD(ROW()-1,7)+50),"")</f>
        <v/>
      </c>
    </row>
    <row r="2810" spans="1:1" x14ac:dyDescent="0.25">
      <c r="A2810" t="str" cm="1">
        <f t="array" ref="A2810">IF(INDEX(CUEs!$A:$A,INT((ROW()-1)/7)*57+MOD(ROW()-1,7)+50)&lt;&gt;"","set "&amp;INDEX(CUEs!$A:$A,INT((ROW()-1)/7)*57+MOD(ROW()-1,7)+50)&amp;"=/ s "&amp;INDEX(CUEs!$B:$B,INT((ROW()-1)/7)*57+MOD(ROW()-1,7)+50),"")</f>
        <v/>
      </c>
    </row>
    <row r="2811" spans="1:1" x14ac:dyDescent="0.25">
      <c r="A2811" t="str" cm="1">
        <f t="array" ref="A2811">IF(INDEX(CUEs!$A:$A,INT((ROW()-1)/7)*57+MOD(ROW()-1,7)+50)&lt;&gt;"","set "&amp;INDEX(CUEs!$A:$A,INT((ROW()-1)/7)*57+MOD(ROW()-1,7)+50)&amp;"=/ s "&amp;INDEX(CUEs!$B:$B,INT((ROW()-1)/7)*57+MOD(ROW()-1,7)+50),"")</f>
        <v/>
      </c>
    </row>
    <row r="2812" spans="1:1" x14ac:dyDescent="0.25">
      <c r="A2812" t="str" cm="1">
        <f t="array" ref="A2812">IF(INDEX(CUEs!$A:$A,INT((ROW()-1)/7)*57+MOD(ROW()-1,7)+50)&lt;&gt;"","set "&amp;INDEX(CUEs!$A:$A,INT((ROW()-1)/7)*57+MOD(ROW()-1,7)+50)&amp;"=/ s "&amp;INDEX(CUEs!$B:$B,INT((ROW()-1)/7)*57+MOD(ROW()-1,7)+50),"")</f>
        <v/>
      </c>
    </row>
    <row r="2813" spans="1:1" x14ac:dyDescent="0.25">
      <c r="A2813" t="str" cm="1">
        <f t="array" ref="A2813">IF(INDEX(CUEs!$A:$A,INT((ROW()-1)/7)*57+MOD(ROW()-1,7)+50)&lt;&gt;"","set "&amp;INDEX(CUEs!$A:$A,INT((ROW()-1)/7)*57+MOD(ROW()-1,7)+50)&amp;"=/ s "&amp;INDEX(CUEs!$B:$B,INT((ROW()-1)/7)*57+MOD(ROW()-1,7)+50),"")</f>
        <v/>
      </c>
    </row>
    <row r="2814" spans="1:1" x14ac:dyDescent="0.25">
      <c r="A2814" t="str" cm="1">
        <f t="array" ref="A2814">IF(INDEX(CUEs!$A:$A,INT((ROW()-1)/7)*57+MOD(ROW()-1,7)+50)&lt;&gt;"","set "&amp;INDEX(CUEs!$A:$A,INT((ROW()-1)/7)*57+MOD(ROW()-1,7)+50)&amp;"=/ s "&amp;INDEX(CUEs!$B:$B,INT((ROW()-1)/7)*57+MOD(ROW()-1,7)+50),"")</f>
        <v/>
      </c>
    </row>
    <row r="2815" spans="1:1" x14ac:dyDescent="0.25">
      <c r="A2815" t="str" cm="1">
        <f t="array" ref="A2815">IF(INDEX(CUEs!$A:$A,INT((ROW()-1)/7)*57+MOD(ROW()-1,7)+50)&lt;&gt;"","set "&amp;INDEX(CUEs!$A:$A,INT((ROW()-1)/7)*57+MOD(ROW()-1,7)+50)&amp;"=/ s "&amp;INDEX(CUEs!$B:$B,INT((ROW()-1)/7)*57+MOD(ROW()-1,7)+50),"")</f>
        <v/>
      </c>
    </row>
    <row r="2816" spans="1:1" x14ac:dyDescent="0.25">
      <c r="A2816" t="str" cm="1">
        <f t="array" ref="A2816">IF(INDEX(CUEs!$A:$A,INT((ROW()-1)/7)*57+MOD(ROW()-1,7)+50)&lt;&gt;"","set "&amp;INDEX(CUEs!$A:$A,INT((ROW()-1)/7)*57+MOD(ROW()-1,7)+50)&amp;"=/ s "&amp;INDEX(CUEs!$B:$B,INT((ROW()-1)/7)*57+MOD(ROW()-1,7)+50),"")</f>
        <v/>
      </c>
    </row>
    <row r="2817" spans="1:1" x14ac:dyDescent="0.25">
      <c r="A2817" t="str" cm="1">
        <f t="array" ref="A2817">IF(INDEX(CUEs!$A:$A,INT((ROW()-1)/7)*57+MOD(ROW()-1,7)+50)&lt;&gt;"","set "&amp;INDEX(CUEs!$A:$A,INT((ROW()-1)/7)*57+MOD(ROW()-1,7)+50)&amp;"=/ s "&amp;INDEX(CUEs!$B:$B,INT((ROW()-1)/7)*57+MOD(ROW()-1,7)+50),"")</f>
        <v/>
      </c>
    </row>
    <row r="2818" spans="1:1" x14ac:dyDescent="0.25">
      <c r="A2818" t="str" cm="1">
        <f t="array" ref="A2818">IF(INDEX(CUEs!$A:$A,INT((ROW()-1)/7)*57+MOD(ROW()-1,7)+50)&lt;&gt;"","set "&amp;INDEX(CUEs!$A:$A,INT((ROW()-1)/7)*57+MOD(ROW()-1,7)+50)&amp;"=/ s "&amp;INDEX(CUEs!$B:$B,INT((ROW()-1)/7)*57+MOD(ROW()-1,7)+50),"")</f>
        <v/>
      </c>
    </row>
    <row r="2819" spans="1:1" x14ac:dyDescent="0.25">
      <c r="A2819" t="str" cm="1">
        <f t="array" ref="A2819">IF(INDEX(CUEs!$A:$A,INT((ROW()-1)/7)*57+MOD(ROW()-1,7)+50)&lt;&gt;"","set "&amp;INDEX(CUEs!$A:$A,INT((ROW()-1)/7)*57+MOD(ROW()-1,7)+50)&amp;"=/ s "&amp;INDEX(CUEs!$B:$B,INT((ROW()-1)/7)*57+MOD(ROW()-1,7)+50),"")</f>
        <v/>
      </c>
    </row>
    <row r="2820" spans="1:1" x14ac:dyDescent="0.25">
      <c r="A2820" t="str" cm="1">
        <f t="array" ref="A2820">IF(INDEX(CUEs!$A:$A,INT((ROW()-1)/7)*57+MOD(ROW()-1,7)+50)&lt;&gt;"","set "&amp;INDEX(CUEs!$A:$A,INT((ROW()-1)/7)*57+MOD(ROW()-1,7)+50)&amp;"=/ s "&amp;INDEX(CUEs!$B:$B,INT((ROW()-1)/7)*57+MOD(ROW()-1,7)+50),"")</f>
        <v/>
      </c>
    </row>
    <row r="2821" spans="1:1" x14ac:dyDescent="0.25">
      <c r="A2821" t="str" cm="1">
        <f t="array" ref="A2821">IF(INDEX(CUEs!$A:$A,INT((ROW()-1)/7)*57+MOD(ROW()-1,7)+50)&lt;&gt;"","set "&amp;INDEX(CUEs!$A:$A,INT((ROW()-1)/7)*57+MOD(ROW()-1,7)+50)&amp;"=/ s "&amp;INDEX(CUEs!$B:$B,INT((ROW()-1)/7)*57+MOD(ROW()-1,7)+50),"")</f>
        <v/>
      </c>
    </row>
    <row r="2822" spans="1:1" x14ac:dyDescent="0.25">
      <c r="A2822" t="str" cm="1">
        <f t="array" ref="A2822">IF(INDEX(CUEs!$A:$A,INT((ROW()-1)/7)*57+MOD(ROW()-1,7)+50)&lt;&gt;"","set "&amp;INDEX(CUEs!$A:$A,INT((ROW()-1)/7)*57+MOD(ROW()-1,7)+50)&amp;"=/ s "&amp;INDEX(CUEs!$B:$B,INT((ROW()-1)/7)*57+MOD(ROW()-1,7)+50),"")</f>
        <v/>
      </c>
    </row>
    <row r="2823" spans="1:1" x14ac:dyDescent="0.25">
      <c r="A2823" t="str" cm="1">
        <f t="array" ref="A2823">IF(INDEX(CUEs!$A:$A,INT((ROW()-1)/7)*57+MOD(ROW()-1,7)+50)&lt;&gt;"","set "&amp;INDEX(CUEs!$A:$A,INT((ROW()-1)/7)*57+MOD(ROW()-1,7)+50)&amp;"=/ s "&amp;INDEX(CUEs!$B:$B,INT((ROW()-1)/7)*57+MOD(ROW()-1,7)+50),"")</f>
        <v/>
      </c>
    </row>
    <row r="2824" spans="1:1" x14ac:dyDescent="0.25">
      <c r="A2824" t="str" cm="1">
        <f t="array" ref="A2824">IF(INDEX(CUEs!$A:$A,INT((ROW()-1)/7)*57+MOD(ROW()-1,7)+50)&lt;&gt;"","set "&amp;INDEX(CUEs!$A:$A,INT((ROW()-1)/7)*57+MOD(ROW()-1,7)+50)&amp;"=/ s "&amp;INDEX(CUEs!$B:$B,INT((ROW()-1)/7)*57+MOD(ROW()-1,7)+50),"")</f>
        <v/>
      </c>
    </row>
    <row r="2825" spans="1:1" x14ac:dyDescent="0.25">
      <c r="A2825" t="str" cm="1">
        <f t="array" ref="A2825">IF(INDEX(CUEs!$A:$A,INT((ROW()-1)/7)*57+MOD(ROW()-1,7)+50)&lt;&gt;"","set "&amp;INDEX(CUEs!$A:$A,INT((ROW()-1)/7)*57+MOD(ROW()-1,7)+50)&amp;"=/ s "&amp;INDEX(CUEs!$B:$B,INT((ROW()-1)/7)*57+MOD(ROW()-1,7)+50),"")</f>
        <v/>
      </c>
    </row>
    <row r="2826" spans="1:1" x14ac:dyDescent="0.25">
      <c r="A2826" t="str" cm="1">
        <f t="array" ref="A2826">IF(INDEX(CUEs!$A:$A,INT((ROW()-1)/7)*57+MOD(ROW()-1,7)+50)&lt;&gt;"","set "&amp;INDEX(CUEs!$A:$A,INT((ROW()-1)/7)*57+MOD(ROW()-1,7)+50)&amp;"=/ s "&amp;INDEX(CUEs!$B:$B,INT((ROW()-1)/7)*57+MOD(ROW()-1,7)+50),"")</f>
        <v/>
      </c>
    </row>
    <row r="2827" spans="1:1" x14ac:dyDescent="0.25">
      <c r="A2827" t="str" cm="1">
        <f t="array" ref="A2827">IF(INDEX(CUEs!$A:$A,INT((ROW()-1)/7)*57+MOD(ROW()-1,7)+50)&lt;&gt;"","set "&amp;INDEX(CUEs!$A:$A,INT((ROW()-1)/7)*57+MOD(ROW()-1,7)+50)&amp;"=/ s "&amp;INDEX(CUEs!$B:$B,INT((ROW()-1)/7)*57+MOD(ROW()-1,7)+50),"")</f>
        <v/>
      </c>
    </row>
    <row r="2828" spans="1:1" x14ac:dyDescent="0.25">
      <c r="A2828" t="str" cm="1">
        <f t="array" ref="A2828">IF(INDEX(CUEs!$A:$A,INT((ROW()-1)/7)*57+MOD(ROW()-1,7)+50)&lt;&gt;"","set "&amp;INDEX(CUEs!$A:$A,INT((ROW()-1)/7)*57+MOD(ROW()-1,7)+50)&amp;"=/ s "&amp;INDEX(CUEs!$B:$B,INT((ROW()-1)/7)*57+MOD(ROW()-1,7)+50),"")</f>
        <v/>
      </c>
    </row>
    <row r="2829" spans="1:1" x14ac:dyDescent="0.25">
      <c r="A2829" t="str" cm="1">
        <f t="array" ref="A2829">IF(INDEX(CUEs!$A:$A,INT((ROW()-1)/7)*57+MOD(ROW()-1,7)+50)&lt;&gt;"","set "&amp;INDEX(CUEs!$A:$A,INT((ROW()-1)/7)*57+MOD(ROW()-1,7)+50)&amp;"=/ s "&amp;INDEX(CUEs!$B:$B,INT((ROW()-1)/7)*57+MOD(ROW()-1,7)+50),"")</f>
        <v/>
      </c>
    </row>
    <row r="2830" spans="1:1" x14ac:dyDescent="0.25">
      <c r="A2830" t="str" cm="1">
        <f t="array" ref="A2830">IF(INDEX(CUEs!$A:$A,INT((ROW()-1)/7)*57+MOD(ROW()-1,7)+50)&lt;&gt;"","set "&amp;INDEX(CUEs!$A:$A,INT((ROW()-1)/7)*57+MOD(ROW()-1,7)+50)&amp;"=/ s "&amp;INDEX(CUEs!$B:$B,INT((ROW()-1)/7)*57+MOD(ROW()-1,7)+50),"")</f>
        <v/>
      </c>
    </row>
    <row r="2831" spans="1:1" x14ac:dyDescent="0.25">
      <c r="A2831" t="str" cm="1">
        <f t="array" ref="A2831">IF(INDEX(CUEs!$A:$A,INT((ROW()-1)/7)*57+MOD(ROW()-1,7)+50)&lt;&gt;"","set "&amp;INDEX(CUEs!$A:$A,INT((ROW()-1)/7)*57+MOD(ROW()-1,7)+50)&amp;"=/ s "&amp;INDEX(CUEs!$B:$B,INT((ROW()-1)/7)*57+MOD(ROW()-1,7)+50),"")</f>
        <v/>
      </c>
    </row>
    <row r="2832" spans="1:1" x14ac:dyDescent="0.25">
      <c r="A2832" t="str" cm="1">
        <f t="array" ref="A2832">IF(INDEX(CUEs!$A:$A,INT((ROW()-1)/7)*57+MOD(ROW()-1,7)+50)&lt;&gt;"","set "&amp;INDEX(CUEs!$A:$A,INT((ROW()-1)/7)*57+MOD(ROW()-1,7)+50)&amp;"=/ s "&amp;INDEX(CUEs!$B:$B,INT((ROW()-1)/7)*57+MOD(ROW()-1,7)+50),"")</f>
        <v/>
      </c>
    </row>
    <row r="2833" spans="1:1" x14ac:dyDescent="0.25">
      <c r="A2833" t="str" cm="1">
        <f t="array" ref="A2833">IF(INDEX(CUEs!$A:$A,INT((ROW()-1)/7)*57+MOD(ROW()-1,7)+50)&lt;&gt;"","set "&amp;INDEX(CUEs!$A:$A,INT((ROW()-1)/7)*57+MOD(ROW()-1,7)+50)&amp;"=/ s "&amp;INDEX(CUEs!$B:$B,INT((ROW()-1)/7)*57+MOD(ROW()-1,7)+50),"")</f>
        <v/>
      </c>
    </row>
    <row r="2834" spans="1:1" x14ac:dyDescent="0.25">
      <c r="A2834" t="str" cm="1">
        <f t="array" ref="A2834">IF(INDEX(CUEs!$A:$A,INT((ROW()-1)/7)*57+MOD(ROW()-1,7)+50)&lt;&gt;"","set "&amp;INDEX(CUEs!$A:$A,INT((ROW()-1)/7)*57+MOD(ROW()-1,7)+50)&amp;"=/ s "&amp;INDEX(CUEs!$B:$B,INT((ROW()-1)/7)*57+MOD(ROW()-1,7)+50),"")</f>
        <v/>
      </c>
    </row>
    <row r="2835" spans="1:1" x14ac:dyDescent="0.25">
      <c r="A2835" t="str" cm="1">
        <f t="array" ref="A2835">IF(INDEX(CUEs!$A:$A,INT((ROW()-1)/7)*57+MOD(ROW()-1,7)+50)&lt;&gt;"","set "&amp;INDEX(CUEs!$A:$A,INT((ROW()-1)/7)*57+MOD(ROW()-1,7)+50)&amp;"=/ s "&amp;INDEX(CUEs!$B:$B,INT((ROW()-1)/7)*57+MOD(ROW()-1,7)+50),"")</f>
        <v/>
      </c>
    </row>
    <row r="2836" spans="1:1" x14ac:dyDescent="0.25">
      <c r="A2836" t="str" cm="1">
        <f t="array" ref="A2836">IF(INDEX(CUEs!$A:$A,INT((ROW()-1)/7)*57+MOD(ROW()-1,7)+50)&lt;&gt;"","set "&amp;INDEX(CUEs!$A:$A,INT((ROW()-1)/7)*57+MOD(ROW()-1,7)+50)&amp;"=/ s "&amp;INDEX(CUEs!$B:$B,INT((ROW()-1)/7)*57+MOD(ROW()-1,7)+50),"")</f>
        <v/>
      </c>
    </row>
    <row r="2837" spans="1:1" x14ac:dyDescent="0.25">
      <c r="A2837" t="str" cm="1">
        <f t="array" ref="A2837">IF(INDEX(CUEs!$A:$A,INT((ROW()-1)/7)*57+MOD(ROW()-1,7)+50)&lt;&gt;"","set "&amp;INDEX(CUEs!$A:$A,INT((ROW()-1)/7)*57+MOD(ROW()-1,7)+50)&amp;"=/ s "&amp;INDEX(CUEs!$B:$B,INT((ROW()-1)/7)*57+MOD(ROW()-1,7)+50),"")</f>
        <v/>
      </c>
    </row>
    <row r="2838" spans="1:1" x14ac:dyDescent="0.25">
      <c r="A2838" t="str" cm="1">
        <f t="array" ref="A2838">IF(INDEX(CUEs!$A:$A,INT((ROW()-1)/7)*57+MOD(ROW()-1,7)+50)&lt;&gt;"","set "&amp;INDEX(CUEs!$A:$A,INT((ROW()-1)/7)*57+MOD(ROW()-1,7)+50)&amp;"=/ s "&amp;INDEX(CUEs!$B:$B,INT((ROW()-1)/7)*57+MOD(ROW()-1,7)+50),"")</f>
        <v/>
      </c>
    </row>
    <row r="2839" spans="1:1" x14ac:dyDescent="0.25">
      <c r="A2839" t="str" cm="1">
        <f t="array" ref="A2839">IF(INDEX(CUEs!$A:$A,INT((ROW()-1)/7)*57+MOD(ROW()-1,7)+50)&lt;&gt;"","set "&amp;INDEX(CUEs!$A:$A,INT((ROW()-1)/7)*57+MOD(ROW()-1,7)+50)&amp;"=/ s "&amp;INDEX(CUEs!$B:$B,INT((ROW()-1)/7)*57+MOD(ROW()-1,7)+50),"")</f>
        <v/>
      </c>
    </row>
    <row r="2840" spans="1:1" x14ac:dyDescent="0.25">
      <c r="A2840" t="str" cm="1">
        <f t="array" ref="A2840">IF(INDEX(CUEs!$A:$A,INT((ROW()-1)/7)*57+MOD(ROW()-1,7)+50)&lt;&gt;"","set "&amp;INDEX(CUEs!$A:$A,INT((ROW()-1)/7)*57+MOD(ROW()-1,7)+50)&amp;"=/ s "&amp;INDEX(CUEs!$B:$B,INT((ROW()-1)/7)*57+MOD(ROW()-1,7)+50),"")</f>
        <v/>
      </c>
    </row>
    <row r="2841" spans="1:1" x14ac:dyDescent="0.25">
      <c r="A2841" t="str" cm="1">
        <f t="array" ref="A2841">IF(INDEX(CUEs!$A:$A,INT((ROW()-1)/7)*57+MOD(ROW()-1,7)+50)&lt;&gt;"","set "&amp;INDEX(CUEs!$A:$A,INT((ROW()-1)/7)*57+MOD(ROW()-1,7)+50)&amp;"=/ s "&amp;INDEX(CUEs!$B:$B,INT((ROW()-1)/7)*57+MOD(ROW()-1,7)+50),"")</f>
        <v/>
      </c>
    </row>
    <row r="2842" spans="1:1" x14ac:dyDescent="0.25">
      <c r="A2842" t="str" cm="1">
        <f t="array" ref="A2842">IF(INDEX(CUEs!$A:$A,INT((ROW()-1)/7)*57+MOD(ROW()-1,7)+50)&lt;&gt;"","set "&amp;INDEX(CUEs!$A:$A,INT((ROW()-1)/7)*57+MOD(ROW()-1,7)+50)&amp;"=/ s "&amp;INDEX(CUEs!$B:$B,INT((ROW()-1)/7)*57+MOD(ROW()-1,7)+50),"")</f>
        <v/>
      </c>
    </row>
    <row r="2843" spans="1:1" x14ac:dyDescent="0.25">
      <c r="A2843" t="str" cm="1">
        <f t="array" ref="A2843">IF(INDEX(CUEs!$A:$A,INT((ROW()-1)/7)*57+MOD(ROW()-1,7)+50)&lt;&gt;"","set "&amp;INDEX(CUEs!$A:$A,INT((ROW()-1)/7)*57+MOD(ROW()-1,7)+50)&amp;"=/ s "&amp;INDEX(CUEs!$B:$B,INT((ROW()-1)/7)*57+MOD(ROW()-1,7)+50),"")</f>
        <v/>
      </c>
    </row>
    <row r="2844" spans="1:1" x14ac:dyDescent="0.25">
      <c r="A2844" t="str" cm="1">
        <f t="array" ref="A2844">IF(INDEX(CUEs!$A:$A,INT((ROW()-1)/7)*57+MOD(ROW()-1,7)+50)&lt;&gt;"","set "&amp;INDEX(CUEs!$A:$A,INT((ROW()-1)/7)*57+MOD(ROW()-1,7)+50)&amp;"=/ s "&amp;INDEX(CUEs!$B:$B,INT((ROW()-1)/7)*57+MOD(ROW()-1,7)+50),"")</f>
        <v/>
      </c>
    </row>
    <row r="2845" spans="1:1" x14ac:dyDescent="0.25">
      <c r="A2845" t="str" cm="1">
        <f t="array" ref="A2845">IF(INDEX(CUEs!$A:$A,INT((ROW()-1)/7)*57+MOD(ROW()-1,7)+50)&lt;&gt;"","set "&amp;INDEX(CUEs!$A:$A,INT((ROW()-1)/7)*57+MOD(ROW()-1,7)+50)&amp;"=/ s "&amp;INDEX(CUEs!$B:$B,INT((ROW()-1)/7)*57+MOD(ROW()-1,7)+50),"")</f>
        <v/>
      </c>
    </row>
    <row r="2846" spans="1:1" x14ac:dyDescent="0.25">
      <c r="A2846" t="str" cm="1">
        <f t="array" ref="A2846">IF(INDEX(CUEs!$A:$A,INT((ROW()-1)/7)*57+MOD(ROW()-1,7)+50)&lt;&gt;"","set "&amp;INDEX(CUEs!$A:$A,INT((ROW()-1)/7)*57+MOD(ROW()-1,7)+50)&amp;"=/ s "&amp;INDEX(CUEs!$B:$B,INT((ROW()-1)/7)*57+MOD(ROW()-1,7)+50),"")</f>
        <v/>
      </c>
    </row>
    <row r="2847" spans="1:1" x14ac:dyDescent="0.25">
      <c r="A2847" t="str" cm="1">
        <f t="array" ref="A2847">IF(INDEX(CUEs!$A:$A,INT((ROW()-1)/7)*57+MOD(ROW()-1,7)+50)&lt;&gt;"","set "&amp;INDEX(CUEs!$A:$A,INT((ROW()-1)/7)*57+MOD(ROW()-1,7)+50)&amp;"=/ s "&amp;INDEX(CUEs!$B:$B,INT((ROW()-1)/7)*57+MOD(ROW()-1,7)+50),"")</f>
        <v/>
      </c>
    </row>
    <row r="2848" spans="1:1" x14ac:dyDescent="0.25">
      <c r="A2848" t="str" cm="1">
        <f t="array" ref="A2848">IF(INDEX(CUEs!$A:$A,INT((ROW()-1)/7)*57+MOD(ROW()-1,7)+50)&lt;&gt;"","set "&amp;INDEX(CUEs!$A:$A,INT((ROW()-1)/7)*57+MOD(ROW()-1,7)+50)&amp;"=/ s "&amp;INDEX(CUEs!$B:$B,INT((ROW()-1)/7)*57+MOD(ROW()-1,7)+50),"")</f>
        <v/>
      </c>
    </row>
    <row r="2849" spans="1:1" x14ac:dyDescent="0.25">
      <c r="A2849" t="str" cm="1">
        <f t="array" ref="A2849">IF(INDEX(CUEs!$A:$A,INT((ROW()-1)/7)*57+MOD(ROW()-1,7)+50)&lt;&gt;"","set "&amp;INDEX(CUEs!$A:$A,INT((ROW()-1)/7)*57+MOD(ROW()-1,7)+50)&amp;"=/ s "&amp;INDEX(CUEs!$B:$B,INT((ROW()-1)/7)*57+MOD(ROW()-1,7)+50),"")</f>
        <v/>
      </c>
    </row>
    <row r="2850" spans="1:1" x14ac:dyDescent="0.25">
      <c r="A2850" t="str" cm="1">
        <f t="array" ref="A2850">IF(INDEX(CUEs!$A:$A,INT((ROW()-1)/7)*57+MOD(ROW()-1,7)+50)&lt;&gt;"","set "&amp;INDEX(CUEs!$A:$A,INT((ROW()-1)/7)*57+MOD(ROW()-1,7)+50)&amp;"=/ s "&amp;INDEX(CUEs!$B:$B,INT((ROW()-1)/7)*57+MOD(ROW()-1,7)+50),"")</f>
        <v/>
      </c>
    </row>
    <row r="2851" spans="1:1" x14ac:dyDescent="0.25">
      <c r="A2851" t="str" cm="1">
        <f t="array" ref="A2851">IF(INDEX(CUEs!$A:$A,INT((ROW()-1)/7)*57+MOD(ROW()-1,7)+50)&lt;&gt;"","set "&amp;INDEX(CUEs!$A:$A,INT((ROW()-1)/7)*57+MOD(ROW()-1,7)+50)&amp;"=/ s "&amp;INDEX(CUEs!$B:$B,INT((ROW()-1)/7)*57+MOD(ROW()-1,7)+50),"")</f>
        <v/>
      </c>
    </row>
    <row r="2852" spans="1:1" x14ac:dyDescent="0.25">
      <c r="A2852" t="str" cm="1">
        <f t="array" ref="A2852">IF(INDEX(CUEs!$A:$A,INT((ROW()-1)/7)*57+MOD(ROW()-1,7)+50)&lt;&gt;"","set "&amp;INDEX(CUEs!$A:$A,INT((ROW()-1)/7)*57+MOD(ROW()-1,7)+50)&amp;"=/ s "&amp;INDEX(CUEs!$B:$B,INT((ROW()-1)/7)*57+MOD(ROW()-1,7)+50),"")</f>
        <v/>
      </c>
    </row>
    <row r="2853" spans="1:1" x14ac:dyDescent="0.25">
      <c r="A2853" t="str" cm="1">
        <f t="array" ref="A2853">IF(INDEX(CUEs!$A:$A,INT((ROW()-1)/7)*57+MOD(ROW()-1,7)+50)&lt;&gt;"","set "&amp;INDEX(CUEs!$A:$A,INT((ROW()-1)/7)*57+MOD(ROW()-1,7)+50)&amp;"=/ s "&amp;INDEX(CUEs!$B:$B,INT((ROW()-1)/7)*57+MOD(ROW()-1,7)+50),"")</f>
        <v/>
      </c>
    </row>
    <row r="2854" spans="1:1" x14ac:dyDescent="0.25">
      <c r="A2854" t="str" cm="1">
        <f t="array" ref="A2854">IF(INDEX(CUEs!$A:$A,INT((ROW()-1)/7)*57+MOD(ROW()-1,7)+50)&lt;&gt;"","set "&amp;INDEX(CUEs!$A:$A,INT((ROW()-1)/7)*57+MOD(ROW()-1,7)+50)&amp;"=/ s "&amp;INDEX(CUEs!$B:$B,INT((ROW()-1)/7)*57+MOD(ROW()-1,7)+50),"")</f>
        <v/>
      </c>
    </row>
    <row r="2855" spans="1:1" x14ac:dyDescent="0.25">
      <c r="A2855" t="str" cm="1">
        <f t="array" ref="A2855">IF(INDEX(CUEs!$A:$A,INT((ROW()-1)/7)*57+MOD(ROW()-1,7)+50)&lt;&gt;"","set "&amp;INDEX(CUEs!$A:$A,INT((ROW()-1)/7)*57+MOD(ROW()-1,7)+50)&amp;"=/ s "&amp;INDEX(CUEs!$B:$B,INT((ROW()-1)/7)*57+MOD(ROW()-1,7)+50),"")</f>
        <v/>
      </c>
    </row>
    <row r="2856" spans="1:1" x14ac:dyDescent="0.25">
      <c r="A2856" t="str" cm="1">
        <f t="array" ref="A2856">IF(INDEX(CUEs!$A:$A,INT((ROW()-1)/7)*57+MOD(ROW()-1,7)+50)&lt;&gt;"","set "&amp;INDEX(CUEs!$A:$A,INT((ROW()-1)/7)*57+MOD(ROW()-1,7)+50)&amp;"=/ s "&amp;INDEX(CUEs!$B:$B,INT((ROW()-1)/7)*57+MOD(ROW()-1,7)+50),"")</f>
        <v/>
      </c>
    </row>
    <row r="2857" spans="1:1" x14ac:dyDescent="0.25">
      <c r="A2857" t="str" cm="1">
        <f t="array" ref="A2857">IF(INDEX(CUEs!$A:$A,INT((ROW()-1)/7)*57+MOD(ROW()-1,7)+50)&lt;&gt;"","set "&amp;INDEX(CUEs!$A:$A,INT((ROW()-1)/7)*57+MOD(ROW()-1,7)+50)&amp;"=/ s "&amp;INDEX(CUEs!$B:$B,INT((ROW()-1)/7)*57+MOD(ROW()-1,7)+50),"")</f>
        <v/>
      </c>
    </row>
    <row r="2858" spans="1:1" x14ac:dyDescent="0.25">
      <c r="A2858" t="str" cm="1">
        <f t="array" ref="A2858">IF(INDEX(CUEs!$A:$A,INT((ROW()-1)/7)*57+MOD(ROW()-1,7)+50)&lt;&gt;"","set "&amp;INDEX(CUEs!$A:$A,INT((ROW()-1)/7)*57+MOD(ROW()-1,7)+50)&amp;"=/ s "&amp;INDEX(CUEs!$B:$B,INT((ROW()-1)/7)*57+MOD(ROW()-1,7)+50),"")</f>
        <v/>
      </c>
    </row>
    <row r="2859" spans="1:1" x14ac:dyDescent="0.25">
      <c r="A2859" t="str" cm="1">
        <f t="array" ref="A2859">IF(INDEX(CUEs!$A:$A,INT((ROW()-1)/7)*57+MOD(ROW()-1,7)+50)&lt;&gt;"","set "&amp;INDEX(CUEs!$A:$A,INT((ROW()-1)/7)*57+MOD(ROW()-1,7)+50)&amp;"=/ s "&amp;INDEX(CUEs!$B:$B,INT((ROW()-1)/7)*57+MOD(ROW()-1,7)+50),"")</f>
        <v/>
      </c>
    </row>
    <row r="2860" spans="1:1" x14ac:dyDescent="0.25">
      <c r="A2860" t="str" cm="1">
        <f t="array" ref="A2860">IF(INDEX(CUEs!$A:$A,INT((ROW()-1)/7)*57+MOD(ROW()-1,7)+50)&lt;&gt;"","set "&amp;INDEX(CUEs!$A:$A,INT((ROW()-1)/7)*57+MOD(ROW()-1,7)+50)&amp;"=/ s "&amp;INDEX(CUEs!$B:$B,INT((ROW()-1)/7)*57+MOD(ROW()-1,7)+50),"")</f>
        <v/>
      </c>
    </row>
    <row r="2861" spans="1:1" x14ac:dyDescent="0.25">
      <c r="A2861" t="str" cm="1">
        <f t="array" ref="A2861">IF(INDEX(CUEs!$A:$A,INT((ROW()-1)/7)*57+MOD(ROW()-1,7)+50)&lt;&gt;"","set "&amp;INDEX(CUEs!$A:$A,INT((ROW()-1)/7)*57+MOD(ROW()-1,7)+50)&amp;"=/ s "&amp;INDEX(CUEs!$B:$B,INT((ROW()-1)/7)*57+MOD(ROW()-1,7)+50),"")</f>
        <v/>
      </c>
    </row>
    <row r="2862" spans="1:1" x14ac:dyDescent="0.25">
      <c r="A2862" t="str" cm="1">
        <f t="array" ref="A2862">IF(INDEX(CUEs!$A:$A,INT((ROW()-1)/7)*57+MOD(ROW()-1,7)+50)&lt;&gt;"","set "&amp;INDEX(CUEs!$A:$A,INT((ROW()-1)/7)*57+MOD(ROW()-1,7)+50)&amp;"=/ s "&amp;INDEX(CUEs!$B:$B,INT((ROW()-1)/7)*57+MOD(ROW()-1,7)+50),"")</f>
        <v/>
      </c>
    </row>
    <row r="2863" spans="1:1" x14ac:dyDescent="0.25">
      <c r="A2863" t="str" cm="1">
        <f t="array" ref="A2863">IF(INDEX(CUEs!$A:$A,INT((ROW()-1)/7)*57+MOD(ROW()-1,7)+50)&lt;&gt;"","set "&amp;INDEX(CUEs!$A:$A,INT((ROW()-1)/7)*57+MOD(ROW()-1,7)+50)&amp;"=/ s "&amp;INDEX(CUEs!$B:$B,INT((ROW()-1)/7)*57+MOD(ROW()-1,7)+50),"")</f>
        <v/>
      </c>
    </row>
    <row r="2864" spans="1:1" x14ac:dyDescent="0.25">
      <c r="A2864" t="str" cm="1">
        <f t="array" ref="A2864">IF(INDEX(CUEs!$A:$A,INT((ROW()-1)/7)*57+MOD(ROW()-1,7)+50)&lt;&gt;"","set "&amp;INDEX(CUEs!$A:$A,INT((ROW()-1)/7)*57+MOD(ROW()-1,7)+50)&amp;"=/ s "&amp;INDEX(CUEs!$B:$B,INT((ROW()-1)/7)*57+MOD(ROW()-1,7)+50),"")</f>
        <v/>
      </c>
    </row>
    <row r="2865" spans="1:1" x14ac:dyDescent="0.25">
      <c r="A2865" t="str" cm="1">
        <f t="array" ref="A2865">IF(INDEX(CUEs!$A:$A,INT((ROW()-1)/7)*57+MOD(ROW()-1,7)+50)&lt;&gt;"","set "&amp;INDEX(CUEs!$A:$A,INT((ROW()-1)/7)*57+MOD(ROW()-1,7)+50)&amp;"=/ s "&amp;INDEX(CUEs!$B:$B,INT((ROW()-1)/7)*57+MOD(ROW()-1,7)+50),"")</f>
        <v/>
      </c>
    </row>
    <row r="2866" spans="1:1" x14ac:dyDescent="0.25">
      <c r="A2866" t="str" cm="1">
        <f t="array" ref="A2866">IF(INDEX(CUEs!$A:$A,INT((ROW()-1)/7)*57+MOD(ROW()-1,7)+50)&lt;&gt;"","set "&amp;INDEX(CUEs!$A:$A,INT((ROW()-1)/7)*57+MOD(ROW()-1,7)+50)&amp;"=/ s "&amp;INDEX(CUEs!$B:$B,INT((ROW()-1)/7)*57+MOD(ROW()-1,7)+50),"")</f>
        <v/>
      </c>
    </row>
    <row r="2867" spans="1:1" x14ac:dyDescent="0.25">
      <c r="A2867" t="str" cm="1">
        <f t="array" ref="A2867">IF(INDEX(CUEs!$A:$A,INT((ROW()-1)/7)*57+MOD(ROW()-1,7)+50)&lt;&gt;"","set "&amp;INDEX(CUEs!$A:$A,INT((ROW()-1)/7)*57+MOD(ROW()-1,7)+50)&amp;"=/ s "&amp;INDEX(CUEs!$B:$B,INT((ROW()-1)/7)*57+MOD(ROW()-1,7)+50),"")</f>
        <v/>
      </c>
    </row>
    <row r="2868" spans="1:1" x14ac:dyDescent="0.25">
      <c r="A2868" t="str" cm="1">
        <f t="array" ref="A2868">IF(INDEX(CUEs!$A:$A,INT((ROW()-1)/7)*57+MOD(ROW()-1,7)+50)&lt;&gt;"","set "&amp;INDEX(CUEs!$A:$A,INT((ROW()-1)/7)*57+MOD(ROW()-1,7)+50)&amp;"=/ s "&amp;INDEX(CUEs!$B:$B,INT((ROW()-1)/7)*57+MOD(ROW()-1,7)+50),"")</f>
        <v/>
      </c>
    </row>
    <row r="2869" spans="1:1" x14ac:dyDescent="0.25">
      <c r="A2869" t="str" cm="1">
        <f t="array" ref="A2869">IF(INDEX(CUEs!$A:$A,INT((ROW()-1)/7)*57+MOD(ROW()-1,7)+50)&lt;&gt;"","set "&amp;INDEX(CUEs!$A:$A,INT((ROW()-1)/7)*57+MOD(ROW()-1,7)+50)&amp;"=/ s "&amp;INDEX(CUEs!$B:$B,INT((ROW()-1)/7)*57+MOD(ROW()-1,7)+50),"")</f>
        <v/>
      </c>
    </row>
    <row r="2870" spans="1:1" x14ac:dyDescent="0.25">
      <c r="A2870" t="str" cm="1">
        <f t="array" ref="A2870">IF(INDEX(CUEs!$A:$A,INT((ROW()-1)/7)*57+MOD(ROW()-1,7)+50)&lt;&gt;"","set "&amp;INDEX(CUEs!$A:$A,INT((ROW()-1)/7)*57+MOD(ROW()-1,7)+50)&amp;"=/ s "&amp;INDEX(CUEs!$B:$B,INT((ROW()-1)/7)*57+MOD(ROW()-1,7)+50),"")</f>
        <v/>
      </c>
    </row>
    <row r="2871" spans="1:1" x14ac:dyDescent="0.25">
      <c r="A2871" t="str" cm="1">
        <f t="array" ref="A2871">IF(INDEX(CUEs!$A:$A,INT((ROW()-1)/7)*57+MOD(ROW()-1,7)+50)&lt;&gt;"","set "&amp;INDEX(CUEs!$A:$A,INT((ROW()-1)/7)*57+MOD(ROW()-1,7)+50)&amp;"=/ s "&amp;INDEX(CUEs!$B:$B,INT((ROW()-1)/7)*57+MOD(ROW()-1,7)+50),"")</f>
        <v/>
      </c>
    </row>
    <row r="2872" spans="1:1" x14ac:dyDescent="0.25">
      <c r="A2872" t="str" cm="1">
        <f t="array" ref="A2872">IF(INDEX(CUEs!$A:$A,INT((ROW()-1)/7)*57+MOD(ROW()-1,7)+50)&lt;&gt;"","set "&amp;INDEX(CUEs!$A:$A,INT((ROW()-1)/7)*57+MOD(ROW()-1,7)+50)&amp;"=/ s "&amp;INDEX(CUEs!$B:$B,INT((ROW()-1)/7)*57+MOD(ROW()-1,7)+50),"")</f>
        <v/>
      </c>
    </row>
    <row r="2873" spans="1:1" x14ac:dyDescent="0.25">
      <c r="A2873" t="str" cm="1">
        <f t="array" ref="A2873">IF(INDEX(CUEs!$A:$A,INT((ROW()-1)/7)*57+MOD(ROW()-1,7)+50)&lt;&gt;"","set "&amp;INDEX(CUEs!$A:$A,INT((ROW()-1)/7)*57+MOD(ROW()-1,7)+50)&amp;"=/ s "&amp;INDEX(CUEs!$B:$B,INT((ROW()-1)/7)*57+MOD(ROW()-1,7)+50),"")</f>
        <v/>
      </c>
    </row>
    <row r="2874" spans="1:1" x14ac:dyDescent="0.25">
      <c r="A2874" t="str" cm="1">
        <f t="array" ref="A2874">IF(INDEX(CUEs!$A:$A,INT((ROW()-1)/7)*57+MOD(ROW()-1,7)+50)&lt;&gt;"","set "&amp;INDEX(CUEs!$A:$A,INT((ROW()-1)/7)*57+MOD(ROW()-1,7)+50)&amp;"=/ s "&amp;INDEX(CUEs!$B:$B,INT((ROW()-1)/7)*57+MOD(ROW()-1,7)+50),"")</f>
        <v/>
      </c>
    </row>
    <row r="2875" spans="1:1" x14ac:dyDescent="0.25">
      <c r="A2875" t="str" cm="1">
        <f t="array" ref="A2875">IF(INDEX(CUEs!$A:$A,INT((ROW()-1)/7)*57+MOD(ROW()-1,7)+50)&lt;&gt;"","set "&amp;INDEX(CUEs!$A:$A,INT((ROW()-1)/7)*57+MOD(ROW()-1,7)+50)&amp;"=/ s "&amp;INDEX(CUEs!$B:$B,INT((ROW()-1)/7)*57+MOD(ROW()-1,7)+50),"")</f>
        <v/>
      </c>
    </row>
    <row r="2876" spans="1:1" x14ac:dyDescent="0.25">
      <c r="A2876" t="str" cm="1">
        <f t="array" ref="A2876">IF(INDEX(CUEs!$A:$A,INT((ROW()-1)/7)*57+MOD(ROW()-1,7)+50)&lt;&gt;"","set "&amp;INDEX(CUEs!$A:$A,INT((ROW()-1)/7)*57+MOD(ROW()-1,7)+50)&amp;"=/ s "&amp;INDEX(CUEs!$B:$B,INT((ROW()-1)/7)*57+MOD(ROW()-1,7)+50),"")</f>
        <v/>
      </c>
    </row>
    <row r="2877" spans="1:1" x14ac:dyDescent="0.25">
      <c r="A2877" t="str" cm="1">
        <f t="array" ref="A2877">IF(INDEX(CUEs!$A:$A,INT((ROW()-1)/7)*57+MOD(ROW()-1,7)+50)&lt;&gt;"","set "&amp;INDEX(CUEs!$A:$A,INT((ROW()-1)/7)*57+MOD(ROW()-1,7)+50)&amp;"=/ s "&amp;INDEX(CUEs!$B:$B,INT((ROW()-1)/7)*57+MOD(ROW()-1,7)+50),"")</f>
        <v/>
      </c>
    </row>
    <row r="2878" spans="1:1" x14ac:dyDescent="0.25">
      <c r="A2878" t="str" cm="1">
        <f t="array" ref="A2878">IF(INDEX(CUEs!$A:$A,INT((ROW()-1)/7)*57+MOD(ROW()-1,7)+50)&lt;&gt;"","set "&amp;INDEX(CUEs!$A:$A,INT((ROW()-1)/7)*57+MOD(ROW()-1,7)+50)&amp;"=/ s "&amp;INDEX(CUEs!$B:$B,INT((ROW()-1)/7)*57+MOD(ROW()-1,7)+50),"")</f>
        <v/>
      </c>
    </row>
    <row r="2879" spans="1:1" x14ac:dyDescent="0.25">
      <c r="A2879" t="str" cm="1">
        <f t="array" ref="A2879">IF(INDEX(CUEs!$A:$A,INT((ROW()-1)/7)*57+MOD(ROW()-1,7)+50)&lt;&gt;"","set "&amp;INDEX(CUEs!$A:$A,INT((ROW()-1)/7)*57+MOD(ROW()-1,7)+50)&amp;"=/ s "&amp;INDEX(CUEs!$B:$B,INT((ROW()-1)/7)*57+MOD(ROW()-1,7)+50),"")</f>
        <v/>
      </c>
    </row>
    <row r="2880" spans="1:1" x14ac:dyDescent="0.25">
      <c r="A2880" t="str" cm="1">
        <f t="array" ref="A2880">IF(INDEX(CUEs!$A:$A,INT((ROW()-1)/7)*57+MOD(ROW()-1,7)+50)&lt;&gt;"","set "&amp;INDEX(CUEs!$A:$A,INT((ROW()-1)/7)*57+MOD(ROW()-1,7)+50)&amp;"=/ s "&amp;INDEX(CUEs!$B:$B,INT((ROW()-1)/7)*57+MOD(ROW()-1,7)+50),"")</f>
        <v/>
      </c>
    </row>
    <row r="2881" spans="1:1" x14ac:dyDescent="0.25">
      <c r="A2881" t="str" cm="1">
        <f t="array" ref="A2881">IF(INDEX(CUEs!$A:$A,INT((ROW()-1)/7)*57+MOD(ROW()-1,7)+50)&lt;&gt;"","set "&amp;INDEX(CUEs!$A:$A,INT((ROW()-1)/7)*57+MOD(ROW()-1,7)+50)&amp;"=/ s "&amp;INDEX(CUEs!$B:$B,INT((ROW()-1)/7)*57+MOD(ROW()-1,7)+50),"")</f>
        <v/>
      </c>
    </row>
    <row r="2882" spans="1:1" x14ac:dyDescent="0.25">
      <c r="A2882" t="str" cm="1">
        <f t="array" ref="A2882">IF(INDEX(CUEs!$A:$A,INT((ROW()-1)/7)*57+MOD(ROW()-1,7)+50)&lt;&gt;"","set "&amp;INDEX(CUEs!$A:$A,INT((ROW()-1)/7)*57+MOD(ROW()-1,7)+50)&amp;"=/ s "&amp;INDEX(CUEs!$B:$B,INT((ROW()-1)/7)*57+MOD(ROW()-1,7)+50),"")</f>
        <v/>
      </c>
    </row>
    <row r="2883" spans="1:1" x14ac:dyDescent="0.25">
      <c r="A2883" t="str" cm="1">
        <f t="array" ref="A2883">IF(INDEX(CUEs!$A:$A,INT((ROW()-1)/7)*57+MOD(ROW()-1,7)+50)&lt;&gt;"","set "&amp;INDEX(CUEs!$A:$A,INT((ROW()-1)/7)*57+MOD(ROW()-1,7)+50)&amp;"=/ s "&amp;INDEX(CUEs!$B:$B,INT((ROW()-1)/7)*57+MOD(ROW()-1,7)+50),"")</f>
        <v/>
      </c>
    </row>
    <row r="2884" spans="1:1" x14ac:dyDescent="0.25">
      <c r="A2884" t="str" cm="1">
        <f t="array" ref="A2884">IF(INDEX(CUEs!$A:$A,INT((ROW()-1)/7)*57+MOD(ROW()-1,7)+50)&lt;&gt;"","set "&amp;INDEX(CUEs!$A:$A,INT((ROW()-1)/7)*57+MOD(ROW()-1,7)+50)&amp;"=/ s "&amp;INDEX(CUEs!$B:$B,INT((ROW()-1)/7)*57+MOD(ROW()-1,7)+50),"")</f>
        <v/>
      </c>
    </row>
    <row r="2885" spans="1:1" x14ac:dyDescent="0.25">
      <c r="A2885" t="str" cm="1">
        <f t="array" ref="A2885">IF(INDEX(CUEs!$A:$A,INT((ROW()-1)/7)*57+MOD(ROW()-1,7)+50)&lt;&gt;"","set "&amp;INDEX(CUEs!$A:$A,INT((ROW()-1)/7)*57+MOD(ROW()-1,7)+50)&amp;"=/ s "&amp;INDEX(CUEs!$B:$B,INT((ROW()-1)/7)*57+MOD(ROW()-1,7)+50),"")</f>
        <v/>
      </c>
    </row>
    <row r="2886" spans="1:1" x14ac:dyDescent="0.25">
      <c r="A2886" t="str" cm="1">
        <f t="array" ref="A2886">IF(INDEX(CUEs!$A:$A,INT((ROW()-1)/7)*57+MOD(ROW()-1,7)+50)&lt;&gt;"","set "&amp;INDEX(CUEs!$A:$A,INT((ROW()-1)/7)*57+MOD(ROW()-1,7)+50)&amp;"=/ s "&amp;INDEX(CUEs!$B:$B,INT((ROW()-1)/7)*57+MOD(ROW()-1,7)+50),"")</f>
        <v/>
      </c>
    </row>
    <row r="2887" spans="1:1" x14ac:dyDescent="0.25">
      <c r="A2887" t="str" cm="1">
        <f t="array" ref="A2887">IF(INDEX(CUEs!$A:$A,INT((ROW()-1)/7)*57+MOD(ROW()-1,7)+50)&lt;&gt;"","set "&amp;INDEX(CUEs!$A:$A,INT((ROW()-1)/7)*57+MOD(ROW()-1,7)+50)&amp;"=/ s "&amp;INDEX(CUEs!$B:$B,INT((ROW()-1)/7)*57+MOD(ROW()-1,7)+50),"")</f>
        <v/>
      </c>
    </row>
    <row r="2888" spans="1:1" x14ac:dyDescent="0.25">
      <c r="A2888" t="str" cm="1">
        <f t="array" ref="A2888">IF(INDEX(CUEs!$A:$A,INT((ROW()-1)/7)*57+MOD(ROW()-1,7)+50)&lt;&gt;"","set "&amp;INDEX(CUEs!$A:$A,INT((ROW()-1)/7)*57+MOD(ROW()-1,7)+50)&amp;"=/ s "&amp;INDEX(CUEs!$B:$B,INT((ROW()-1)/7)*57+MOD(ROW()-1,7)+50),"")</f>
        <v/>
      </c>
    </row>
    <row r="2889" spans="1:1" x14ac:dyDescent="0.25">
      <c r="A2889" t="str" cm="1">
        <f t="array" ref="A2889">IF(INDEX(CUEs!$A:$A,INT((ROW()-1)/7)*57+MOD(ROW()-1,7)+50)&lt;&gt;"","set "&amp;INDEX(CUEs!$A:$A,INT((ROW()-1)/7)*57+MOD(ROW()-1,7)+50)&amp;"=/ s "&amp;INDEX(CUEs!$B:$B,INT((ROW()-1)/7)*57+MOD(ROW()-1,7)+50),"")</f>
        <v/>
      </c>
    </row>
    <row r="2890" spans="1:1" x14ac:dyDescent="0.25">
      <c r="A2890" t="str" cm="1">
        <f t="array" ref="A2890">IF(INDEX(CUEs!$A:$A,INT((ROW()-1)/7)*57+MOD(ROW()-1,7)+50)&lt;&gt;"","set "&amp;INDEX(CUEs!$A:$A,INT((ROW()-1)/7)*57+MOD(ROW()-1,7)+50)&amp;"=/ s "&amp;INDEX(CUEs!$B:$B,INT((ROW()-1)/7)*57+MOD(ROW()-1,7)+50),"")</f>
        <v/>
      </c>
    </row>
    <row r="2891" spans="1:1" x14ac:dyDescent="0.25">
      <c r="A2891" t="str" cm="1">
        <f t="array" ref="A2891">IF(INDEX(CUEs!$A:$A,INT((ROW()-1)/7)*57+MOD(ROW()-1,7)+50)&lt;&gt;"","set "&amp;INDEX(CUEs!$A:$A,INT((ROW()-1)/7)*57+MOD(ROW()-1,7)+50)&amp;"=/ s "&amp;INDEX(CUEs!$B:$B,INT((ROW()-1)/7)*57+MOD(ROW()-1,7)+50),"")</f>
        <v/>
      </c>
    </row>
    <row r="2892" spans="1:1" x14ac:dyDescent="0.25">
      <c r="A2892" t="str" cm="1">
        <f t="array" ref="A2892">IF(INDEX(CUEs!$A:$A,INT((ROW()-1)/7)*57+MOD(ROW()-1,7)+50)&lt;&gt;"","set "&amp;INDEX(CUEs!$A:$A,INT((ROW()-1)/7)*57+MOD(ROW()-1,7)+50)&amp;"=/ s "&amp;INDEX(CUEs!$B:$B,INT((ROW()-1)/7)*57+MOD(ROW()-1,7)+50),"")</f>
        <v/>
      </c>
    </row>
    <row r="2893" spans="1:1" x14ac:dyDescent="0.25">
      <c r="A2893" t="str" cm="1">
        <f t="array" ref="A2893">IF(INDEX(CUEs!$A:$A,INT((ROW()-1)/7)*57+MOD(ROW()-1,7)+50)&lt;&gt;"","set "&amp;INDEX(CUEs!$A:$A,INT((ROW()-1)/7)*57+MOD(ROW()-1,7)+50)&amp;"=/ s "&amp;INDEX(CUEs!$B:$B,INT((ROW()-1)/7)*57+MOD(ROW()-1,7)+50),"")</f>
        <v/>
      </c>
    </row>
    <row r="2894" spans="1:1" x14ac:dyDescent="0.25">
      <c r="A2894" t="str" cm="1">
        <f t="array" ref="A2894">IF(INDEX(CUEs!$A:$A,INT((ROW()-1)/7)*57+MOD(ROW()-1,7)+50)&lt;&gt;"","set "&amp;INDEX(CUEs!$A:$A,INT((ROW()-1)/7)*57+MOD(ROW()-1,7)+50)&amp;"=/ s "&amp;INDEX(CUEs!$B:$B,INT((ROW()-1)/7)*57+MOD(ROW()-1,7)+50),"")</f>
        <v/>
      </c>
    </row>
    <row r="2895" spans="1:1" x14ac:dyDescent="0.25">
      <c r="A2895" t="str" cm="1">
        <f t="array" ref="A2895">IF(INDEX(CUEs!$A:$A,INT((ROW()-1)/7)*57+MOD(ROW()-1,7)+50)&lt;&gt;"","set "&amp;INDEX(CUEs!$A:$A,INT((ROW()-1)/7)*57+MOD(ROW()-1,7)+50)&amp;"=/ s "&amp;INDEX(CUEs!$B:$B,INT((ROW()-1)/7)*57+MOD(ROW()-1,7)+50),"")</f>
        <v/>
      </c>
    </row>
    <row r="2896" spans="1:1" x14ac:dyDescent="0.25">
      <c r="A2896" t="str" cm="1">
        <f t="array" ref="A2896">IF(INDEX(CUEs!$A:$A,INT((ROW()-1)/7)*57+MOD(ROW()-1,7)+50)&lt;&gt;"","set "&amp;INDEX(CUEs!$A:$A,INT((ROW()-1)/7)*57+MOD(ROW()-1,7)+50)&amp;"=/ s "&amp;INDEX(CUEs!$B:$B,INT((ROW()-1)/7)*57+MOD(ROW()-1,7)+50),"")</f>
        <v/>
      </c>
    </row>
    <row r="2897" spans="1:1" x14ac:dyDescent="0.25">
      <c r="A2897" t="str" cm="1">
        <f t="array" ref="A2897">IF(INDEX(CUEs!$A:$A,INT((ROW()-1)/7)*57+MOD(ROW()-1,7)+50)&lt;&gt;"","set "&amp;INDEX(CUEs!$A:$A,INT((ROW()-1)/7)*57+MOD(ROW()-1,7)+50)&amp;"=/ s "&amp;INDEX(CUEs!$B:$B,INT((ROW()-1)/7)*57+MOD(ROW()-1,7)+50),"")</f>
        <v/>
      </c>
    </row>
    <row r="2898" spans="1:1" x14ac:dyDescent="0.25">
      <c r="A2898" t="str" cm="1">
        <f t="array" ref="A2898">IF(INDEX(CUEs!$A:$A,INT((ROW()-1)/7)*57+MOD(ROW()-1,7)+50)&lt;&gt;"","set "&amp;INDEX(CUEs!$A:$A,INT((ROW()-1)/7)*57+MOD(ROW()-1,7)+50)&amp;"=/ s "&amp;INDEX(CUEs!$B:$B,INT((ROW()-1)/7)*57+MOD(ROW()-1,7)+50),"")</f>
        <v/>
      </c>
    </row>
    <row r="2899" spans="1:1" x14ac:dyDescent="0.25">
      <c r="A2899" t="str" cm="1">
        <f t="array" ref="A2899">IF(INDEX(CUEs!$A:$A,INT((ROW()-1)/7)*57+MOD(ROW()-1,7)+50)&lt;&gt;"","set "&amp;INDEX(CUEs!$A:$A,INT((ROW()-1)/7)*57+MOD(ROW()-1,7)+50)&amp;"=/ s "&amp;INDEX(CUEs!$B:$B,INT((ROW()-1)/7)*57+MOD(ROW()-1,7)+50),"")</f>
        <v/>
      </c>
    </row>
    <row r="2900" spans="1:1" x14ac:dyDescent="0.25">
      <c r="A2900" t="str" cm="1">
        <f t="array" ref="A2900">IF(INDEX(CUEs!$A:$A,INT((ROW()-1)/7)*57+MOD(ROW()-1,7)+50)&lt;&gt;"","set "&amp;INDEX(CUEs!$A:$A,INT((ROW()-1)/7)*57+MOD(ROW()-1,7)+50)&amp;"=/ s "&amp;INDEX(CUEs!$B:$B,INT((ROW()-1)/7)*57+MOD(ROW()-1,7)+50),"")</f>
        <v/>
      </c>
    </row>
    <row r="2901" spans="1:1" x14ac:dyDescent="0.25">
      <c r="A2901" t="str" cm="1">
        <f t="array" ref="A2901">IF(INDEX(CUEs!$A:$A,INT((ROW()-1)/7)*57+MOD(ROW()-1,7)+50)&lt;&gt;"","set "&amp;INDEX(CUEs!$A:$A,INT((ROW()-1)/7)*57+MOD(ROW()-1,7)+50)&amp;"=/ s "&amp;INDEX(CUEs!$B:$B,INT((ROW()-1)/7)*57+MOD(ROW()-1,7)+50),"")</f>
        <v/>
      </c>
    </row>
    <row r="2902" spans="1:1" x14ac:dyDescent="0.25">
      <c r="A2902" t="str" cm="1">
        <f t="array" ref="A2902">IF(INDEX(CUEs!$A:$A,INT((ROW()-1)/7)*57+MOD(ROW()-1,7)+50)&lt;&gt;"","set "&amp;INDEX(CUEs!$A:$A,INT((ROW()-1)/7)*57+MOD(ROW()-1,7)+50)&amp;"=/ s "&amp;INDEX(CUEs!$B:$B,INT((ROW()-1)/7)*57+MOD(ROW()-1,7)+50),"")</f>
        <v/>
      </c>
    </row>
    <row r="2903" spans="1:1" x14ac:dyDescent="0.25">
      <c r="A2903" t="str" cm="1">
        <f t="array" ref="A2903">IF(INDEX(CUEs!$A:$A,INT((ROW()-1)/7)*57+MOD(ROW()-1,7)+50)&lt;&gt;"","set "&amp;INDEX(CUEs!$A:$A,INT((ROW()-1)/7)*57+MOD(ROW()-1,7)+50)&amp;"=/ s "&amp;INDEX(CUEs!$B:$B,INT((ROW()-1)/7)*57+MOD(ROW()-1,7)+50),"")</f>
        <v/>
      </c>
    </row>
    <row r="2904" spans="1:1" x14ac:dyDescent="0.25">
      <c r="A2904" t="str" cm="1">
        <f t="array" ref="A2904">IF(INDEX(CUEs!$A:$A,INT((ROW()-1)/7)*57+MOD(ROW()-1,7)+50)&lt;&gt;"","set "&amp;INDEX(CUEs!$A:$A,INT((ROW()-1)/7)*57+MOD(ROW()-1,7)+50)&amp;"=/ s "&amp;INDEX(CUEs!$B:$B,INT((ROW()-1)/7)*57+MOD(ROW()-1,7)+50),"")</f>
        <v/>
      </c>
    </row>
    <row r="2905" spans="1:1" x14ac:dyDescent="0.25">
      <c r="A2905" t="str" cm="1">
        <f t="array" ref="A2905">IF(INDEX(CUEs!$A:$A,INT((ROW()-1)/7)*57+MOD(ROW()-1,7)+50)&lt;&gt;"","set "&amp;INDEX(CUEs!$A:$A,INT((ROW()-1)/7)*57+MOD(ROW()-1,7)+50)&amp;"=/ s "&amp;INDEX(CUEs!$B:$B,INT((ROW()-1)/7)*57+MOD(ROW()-1,7)+50),"")</f>
        <v/>
      </c>
    </row>
    <row r="2906" spans="1:1" x14ac:dyDescent="0.25">
      <c r="A2906" t="str" cm="1">
        <f t="array" ref="A2906">IF(INDEX(CUEs!$A:$A,INT((ROW()-1)/7)*57+MOD(ROW()-1,7)+50)&lt;&gt;"","set "&amp;INDEX(CUEs!$A:$A,INT((ROW()-1)/7)*57+MOD(ROW()-1,7)+50)&amp;"=/ s "&amp;INDEX(CUEs!$B:$B,INT((ROW()-1)/7)*57+MOD(ROW()-1,7)+50),"")</f>
        <v/>
      </c>
    </row>
    <row r="2907" spans="1:1" x14ac:dyDescent="0.25">
      <c r="A2907" t="str" cm="1">
        <f t="array" ref="A2907">IF(INDEX(CUEs!$A:$A,INT((ROW()-1)/7)*57+MOD(ROW()-1,7)+50)&lt;&gt;"","set "&amp;INDEX(CUEs!$A:$A,INT((ROW()-1)/7)*57+MOD(ROW()-1,7)+50)&amp;"=/ s "&amp;INDEX(CUEs!$B:$B,INT((ROW()-1)/7)*57+MOD(ROW()-1,7)+50),"")</f>
        <v/>
      </c>
    </row>
    <row r="2908" spans="1:1" x14ac:dyDescent="0.25">
      <c r="A2908" t="str" cm="1">
        <f t="array" ref="A2908">IF(INDEX(CUEs!$A:$A,INT((ROW()-1)/7)*57+MOD(ROW()-1,7)+50)&lt;&gt;"","set "&amp;INDEX(CUEs!$A:$A,INT((ROW()-1)/7)*57+MOD(ROW()-1,7)+50)&amp;"=/ s "&amp;INDEX(CUEs!$B:$B,INT((ROW()-1)/7)*57+MOD(ROW()-1,7)+50),"")</f>
        <v/>
      </c>
    </row>
    <row r="2909" spans="1:1" x14ac:dyDescent="0.25">
      <c r="A2909" t="str" cm="1">
        <f t="array" ref="A2909">IF(INDEX(CUEs!$A:$A,INT((ROW()-1)/7)*57+MOD(ROW()-1,7)+50)&lt;&gt;"","set "&amp;INDEX(CUEs!$A:$A,INT((ROW()-1)/7)*57+MOD(ROW()-1,7)+50)&amp;"=/ s "&amp;INDEX(CUEs!$B:$B,INT((ROW()-1)/7)*57+MOD(ROW()-1,7)+50),"")</f>
        <v/>
      </c>
    </row>
    <row r="2910" spans="1:1" x14ac:dyDescent="0.25">
      <c r="A2910" t="str" cm="1">
        <f t="array" ref="A2910">IF(INDEX(CUEs!$A:$A,INT((ROW()-1)/7)*57+MOD(ROW()-1,7)+50)&lt;&gt;"","set "&amp;INDEX(CUEs!$A:$A,INT((ROW()-1)/7)*57+MOD(ROW()-1,7)+50)&amp;"=/ s "&amp;INDEX(CUEs!$B:$B,INT((ROW()-1)/7)*57+MOD(ROW()-1,7)+50),"")</f>
        <v/>
      </c>
    </row>
    <row r="2911" spans="1:1" x14ac:dyDescent="0.25">
      <c r="A2911" t="str" cm="1">
        <f t="array" ref="A2911">IF(INDEX(CUEs!$A:$A,INT((ROW()-1)/7)*57+MOD(ROW()-1,7)+50)&lt;&gt;"","set "&amp;INDEX(CUEs!$A:$A,INT((ROW()-1)/7)*57+MOD(ROW()-1,7)+50)&amp;"=/ s "&amp;INDEX(CUEs!$B:$B,INT((ROW()-1)/7)*57+MOD(ROW()-1,7)+50),"")</f>
        <v/>
      </c>
    </row>
    <row r="2912" spans="1:1" x14ac:dyDescent="0.25">
      <c r="A2912" t="str" cm="1">
        <f t="array" ref="A2912">IF(INDEX(CUEs!$A:$A,INT((ROW()-1)/7)*57+MOD(ROW()-1,7)+50)&lt;&gt;"","set "&amp;INDEX(CUEs!$A:$A,INT((ROW()-1)/7)*57+MOD(ROW()-1,7)+50)&amp;"=/ s "&amp;INDEX(CUEs!$B:$B,INT((ROW()-1)/7)*57+MOD(ROW()-1,7)+50),"")</f>
        <v/>
      </c>
    </row>
    <row r="2913" spans="1:1" x14ac:dyDescent="0.25">
      <c r="A2913" t="str" cm="1">
        <f t="array" ref="A2913">IF(INDEX(CUEs!$A:$A,INT((ROW()-1)/7)*57+MOD(ROW()-1,7)+50)&lt;&gt;"","set "&amp;INDEX(CUEs!$A:$A,INT((ROW()-1)/7)*57+MOD(ROW()-1,7)+50)&amp;"=/ s "&amp;INDEX(CUEs!$B:$B,INT((ROW()-1)/7)*57+MOD(ROW()-1,7)+50),"")</f>
        <v/>
      </c>
    </row>
    <row r="2914" spans="1:1" x14ac:dyDescent="0.25">
      <c r="A2914" t="str" cm="1">
        <f t="array" ref="A2914">IF(INDEX(CUEs!$A:$A,INT((ROW()-1)/7)*57+MOD(ROW()-1,7)+50)&lt;&gt;"","set "&amp;INDEX(CUEs!$A:$A,INT((ROW()-1)/7)*57+MOD(ROW()-1,7)+50)&amp;"=/ s "&amp;INDEX(CUEs!$B:$B,INT((ROW()-1)/7)*57+MOD(ROW()-1,7)+50),"")</f>
        <v/>
      </c>
    </row>
    <row r="2915" spans="1:1" x14ac:dyDescent="0.25">
      <c r="A2915" t="str" cm="1">
        <f t="array" ref="A2915">IF(INDEX(CUEs!$A:$A,INT((ROW()-1)/7)*57+MOD(ROW()-1,7)+50)&lt;&gt;"","set "&amp;INDEX(CUEs!$A:$A,INT((ROW()-1)/7)*57+MOD(ROW()-1,7)+50)&amp;"=/ s "&amp;INDEX(CUEs!$B:$B,INT((ROW()-1)/7)*57+MOD(ROW()-1,7)+50),"")</f>
        <v/>
      </c>
    </row>
    <row r="2916" spans="1:1" x14ac:dyDescent="0.25">
      <c r="A2916" t="str" cm="1">
        <f t="array" ref="A2916">IF(INDEX(CUEs!$A:$A,INT((ROW()-1)/7)*57+MOD(ROW()-1,7)+50)&lt;&gt;"","set "&amp;INDEX(CUEs!$A:$A,INT((ROW()-1)/7)*57+MOD(ROW()-1,7)+50)&amp;"=/ s "&amp;INDEX(CUEs!$B:$B,INT((ROW()-1)/7)*57+MOD(ROW()-1,7)+50),"")</f>
        <v/>
      </c>
    </row>
    <row r="2917" spans="1:1" x14ac:dyDescent="0.25">
      <c r="A2917" t="str" cm="1">
        <f t="array" ref="A2917">IF(INDEX(CUEs!$A:$A,INT((ROW()-1)/7)*57+MOD(ROW()-1,7)+50)&lt;&gt;"","set "&amp;INDEX(CUEs!$A:$A,INT((ROW()-1)/7)*57+MOD(ROW()-1,7)+50)&amp;"=/ s "&amp;INDEX(CUEs!$B:$B,INT((ROW()-1)/7)*57+MOD(ROW()-1,7)+50),"")</f>
        <v/>
      </c>
    </row>
    <row r="2918" spans="1:1" x14ac:dyDescent="0.25">
      <c r="A2918" t="str" cm="1">
        <f t="array" ref="A2918">IF(INDEX(CUEs!$A:$A,INT((ROW()-1)/7)*57+MOD(ROW()-1,7)+50)&lt;&gt;"","set "&amp;INDEX(CUEs!$A:$A,INT((ROW()-1)/7)*57+MOD(ROW()-1,7)+50)&amp;"=/ s "&amp;INDEX(CUEs!$B:$B,INT((ROW()-1)/7)*57+MOD(ROW()-1,7)+50),"")</f>
        <v/>
      </c>
    </row>
    <row r="2919" spans="1:1" x14ac:dyDescent="0.25">
      <c r="A2919" t="str" cm="1">
        <f t="array" ref="A2919">IF(INDEX(CUEs!$A:$A,INT((ROW()-1)/7)*57+MOD(ROW()-1,7)+50)&lt;&gt;"","set "&amp;INDEX(CUEs!$A:$A,INT((ROW()-1)/7)*57+MOD(ROW()-1,7)+50)&amp;"=/ s "&amp;INDEX(CUEs!$B:$B,INT((ROW()-1)/7)*57+MOD(ROW()-1,7)+50),"")</f>
        <v/>
      </c>
    </row>
    <row r="2920" spans="1:1" x14ac:dyDescent="0.25">
      <c r="A2920" t="str" cm="1">
        <f t="array" ref="A2920">IF(INDEX(CUEs!$A:$A,INT((ROW()-1)/7)*57+MOD(ROW()-1,7)+50)&lt;&gt;"","set "&amp;INDEX(CUEs!$A:$A,INT((ROW()-1)/7)*57+MOD(ROW()-1,7)+50)&amp;"=/ s "&amp;INDEX(CUEs!$B:$B,INT((ROW()-1)/7)*57+MOD(ROW()-1,7)+50),"")</f>
        <v/>
      </c>
    </row>
    <row r="2921" spans="1:1" x14ac:dyDescent="0.25">
      <c r="A2921" t="str" cm="1">
        <f t="array" ref="A2921">IF(INDEX(CUEs!$A:$A,INT((ROW()-1)/7)*57+MOD(ROW()-1,7)+50)&lt;&gt;"","set "&amp;INDEX(CUEs!$A:$A,INT((ROW()-1)/7)*57+MOD(ROW()-1,7)+50)&amp;"=/ s "&amp;INDEX(CUEs!$B:$B,INT((ROW()-1)/7)*57+MOD(ROW()-1,7)+50),"")</f>
        <v/>
      </c>
    </row>
    <row r="2922" spans="1:1" x14ac:dyDescent="0.25">
      <c r="A2922" t="str" cm="1">
        <f t="array" ref="A2922">IF(INDEX(CUEs!$A:$A,INT((ROW()-1)/7)*57+MOD(ROW()-1,7)+50)&lt;&gt;"","set "&amp;INDEX(CUEs!$A:$A,INT((ROW()-1)/7)*57+MOD(ROW()-1,7)+50)&amp;"=/ s "&amp;INDEX(CUEs!$B:$B,INT((ROW()-1)/7)*57+MOD(ROW()-1,7)+50),"")</f>
        <v/>
      </c>
    </row>
    <row r="2923" spans="1:1" x14ac:dyDescent="0.25">
      <c r="A2923" t="str" cm="1">
        <f t="array" ref="A2923">IF(INDEX(CUEs!$A:$A,INT((ROW()-1)/7)*57+MOD(ROW()-1,7)+50)&lt;&gt;"","set "&amp;INDEX(CUEs!$A:$A,INT((ROW()-1)/7)*57+MOD(ROW()-1,7)+50)&amp;"=/ s "&amp;INDEX(CUEs!$B:$B,INT((ROW()-1)/7)*57+MOD(ROW()-1,7)+50),"")</f>
        <v/>
      </c>
    </row>
    <row r="2924" spans="1:1" x14ac:dyDescent="0.25">
      <c r="A2924" t="str" cm="1">
        <f t="array" ref="A2924">IF(INDEX(CUEs!$A:$A,INT((ROW()-1)/7)*57+MOD(ROW()-1,7)+50)&lt;&gt;"","set "&amp;INDEX(CUEs!$A:$A,INT((ROW()-1)/7)*57+MOD(ROW()-1,7)+50)&amp;"=/ s "&amp;INDEX(CUEs!$B:$B,INT((ROW()-1)/7)*57+MOD(ROW()-1,7)+50),"")</f>
        <v/>
      </c>
    </row>
    <row r="2925" spans="1:1" x14ac:dyDescent="0.25">
      <c r="A2925" t="str" cm="1">
        <f t="array" ref="A2925">IF(INDEX(CUEs!$A:$A,INT((ROW()-1)/7)*57+MOD(ROW()-1,7)+50)&lt;&gt;"","set "&amp;INDEX(CUEs!$A:$A,INT((ROW()-1)/7)*57+MOD(ROW()-1,7)+50)&amp;"=/ s "&amp;INDEX(CUEs!$B:$B,INT((ROW()-1)/7)*57+MOD(ROW()-1,7)+50),"")</f>
        <v/>
      </c>
    </row>
    <row r="2926" spans="1:1" x14ac:dyDescent="0.25">
      <c r="A2926" t="str" cm="1">
        <f t="array" ref="A2926">IF(INDEX(CUEs!$A:$A,INT((ROW()-1)/7)*57+MOD(ROW()-1,7)+50)&lt;&gt;"","set "&amp;INDEX(CUEs!$A:$A,INT((ROW()-1)/7)*57+MOD(ROW()-1,7)+50)&amp;"=/ s "&amp;INDEX(CUEs!$B:$B,INT((ROW()-1)/7)*57+MOD(ROW()-1,7)+50),"")</f>
        <v/>
      </c>
    </row>
    <row r="2927" spans="1:1" x14ac:dyDescent="0.25">
      <c r="A2927" t="str" cm="1">
        <f t="array" ref="A2927">IF(INDEX(CUEs!$A:$A,INT((ROW()-1)/7)*57+MOD(ROW()-1,7)+50)&lt;&gt;"","set "&amp;INDEX(CUEs!$A:$A,INT((ROW()-1)/7)*57+MOD(ROW()-1,7)+50)&amp;"=/ s "&amp;INDEX(CUEs!$B:$B,INT((ROW()-1)/7)*57+MOD(ROW()-1,7)+50),"")</f>
        <v/>
      </c>
    </row>
    <row r="2928" spans="1:1" x14ac:dyDescent="0.25">
      <c r="A2928" t="str" cm="1">
        <f t="array" ref="A2928">IF(INDEX(CUEs!$A:$A,INT((ROW()-1)/7)*57+MOD(ROW()-1,7)+50)&lt;&gt;"","set "&amp;INDEX(CUEs!$A:$A,INT((ROW()-1)/7)*57+MOD(ROW()-1,7)+50)&amp;"=/ s "&amp;INDEX(CUEs!$B:$B,INT((ROW()-1)/7)*57+MOD(ROW()-1,7)+50),"")</f>
        <v/>
      </c>
    </row>
    <row r="2929" spans="1:1" x14ac:dyDescent="0.25">
      <c r="A2929" t="str" cm="1">
        <f t="array" ref="A2929">IF(INDEX(CUEs!$A:$A,INT((ROW()-1)/7)*57+MOD(ROW()-1,7)+50)&lt;&gt;"","set "&amp;INDEX(CUEs!$A:$A,INT((ROW()-1)/7)*57+MOD(ROW()-1,7)+50)&amp;"=/ s "&amp;INDEX(CUEs!$B:$B,INT((ROW()-1)/7)*57+MOD(ROW()-1,7)+50),"")</f>
        <v/>
      </c>
    </row>
    <row r="2930" spans="1:1" x14ac:dyDescent="0.25">
      <c r="A2930" t="str" cm="1">
        <f t="array" ref="A2930">IF(INDEX(CUEs!$A:$A,INT((ROW()-1)/7)*57+MOD(ROW()-1,7)+50)&lt;&gt;"","set "&amp;INDEX(CUEs!$A:$A,INT((ROW()-1)/7)*57+MOD(ROW()-1,7)+50)&amp;"=/ s "&amp;INDEX(CUEs!$B:$B,INT((ROW()-1)/7)*57+MOD(ROW()-1,7)+50),"")</f>
        <v/>
      </c>
    </row>
    <row r="2931" spans="1:1" x14ac:dyDescent="0.25">
      <c r="A2931" t="str" cm="1">
        <f t="array" ref="A2931">IF(INDEX(CUEs!$A:$A,INT((ROW()-1)/7)*57+MOD(ROW()-1,7)+50)&lt;&gt;"","set "&amp;INDEX(CUEs!$A:$A,INT((ROW()-1)/7)*57+MOD(ROW()-1,7)+50)&amp;"=/ s "&amp;INDEX(CUEs!$B:$B,INT((ROW()-1)/7)*57+MOD(ROW()-1,7)+50),"")</f>
        <v/>
      </c>
    </row>
    <row r="2932" spans="1:1" x14ac:dyDescent="0.25">
      <c r="A2932" t="str" cm="1">
        <f t="array" ref="A2932">IF(INDEX(CUEs!$A:$A,INT((ROW()-1)/7)*57+MOD(ROW()-1,7)+50)&lt;&gt;"","set "&amp;INDEX(CUEs!$A:$A,INT((ROW()-1)/7)*57+MOD(ROW()-1,7)+50)&amp;"=/ s "&amp;INDEX(CUEs!$B:$B,INT((ROW()-1)/7)*57+MOD(ROW()-1,7)+50),"")</f>
        <v/>
      </c>
    </row>
    <row r="2933" spans="1:1" x14ac:dyDescent="0.25">
      <c r="A2933" t="str" cm="1">
        <f t="array" ref="A2933">IF(INDEX(CUEs!$A:$A,INT((ROW()-1)/7)*57+MOD(ROW()-1,7)+50)&lt;&gt;"","set "&amp;INDEX(CUEs!$A:$A,INT((ROW()-1)/7)*57+MOD(ROW()-1,7)+50)&amp;"=/ s "&amp;INDEX(CUEs!$B:$B,INT((ROW()-1)/7)*57+MOD(ROW()-1,7)+50),"")</f>
        <v/>
      </c>
    </row>
    <row r="2934" spans="1:1" x14ac:dyDescent="0.25">
      <c r="A2934" t="str" cm="1">
        <f t="array" ref="A2934">IF(INDEX(CUEs!$A:$A,INT((ROW()-1)/7)*57+MOD(ROW()-1,7)+50)&lt;&gt;"","set "&amp;INDEX(CUEs!$A:$A,INT((ROW()-1)/7)*57+MOD(ROW()-1,7)+50)&amp;"=/ s "&amp;INDEX(CUEs!$B:$B,INT((ROW()-1)/7)*57+MOD(ROW()-1,7)+50),"")</f>
        <v/>
      </c>
    </row>
    <row r="2935" spans="1:1" x14ac:dyDescent="0.25">
      <c r="A2935" t="str" cm="1">
        <f t="array" ref="A2935">IF(INDEX(CUEs!$A:$A,INT((ROW()-1)/7)*57+MOD(ROW()-1,7)+50)&lt;&gt;"","set "&amp;INDEX(CUEs!$A:$A,INT((ROW()-1)/7)*57+MOD(ROW()-1,7)+50)&amp;"=/ s "&amp;INDEX(CUEs!$B:$B,INT((ROW()-1)/7)*57+MOD(ROW()-1,7)+50),"")</f>
        <v/>
      </c>
    </row>
    <row r="2936" spans="1:1" x14ac:dyDescent="0.25">
      <c r="A2936" t="str" cm="1">
        <f t="array" ref="A2936">IF(INDEX(CUEs!$A:$A,INT((ROW()-1)/7)*57+MOD(ROW()-1,7)+50)&lt;&gt;"","set "&amp;INDEX(CUEs!$A:$A,INT((ROW()-1)/7)*57+MOD(ROW()-1,7)+50)&amp;"=/ s "&amp;INDEX(CUEs!$B:$B,INT((ROW()-1)/7)*57+MOD(ROW()-1,7)+50),"")</f>
        <v/>
      </c>
    </row>
    <row r="2937" spans="1:1" x14ac:dyDescent="0.25">
      <c r="A2937" t="str" cm="1">
        <f t="array" ref="A2937">IF(INDEX(CUEs!$A:$A,INT((ROW()-1)/7)*57+MOD(ROW()-1,7)+50)&lt;&gt;"","set "&amp;INDEX(CUEs!$A:$A,INT((ROW()-1)/7)*57+MOD(ROW()-1,7)+50)&amp;"=/ s "&amp;INDEX(CUEs!$B:$B,INT((ROW()-1)/7)*57+MOD(ROW()-1,7)+50),"")</f>
        <v/>
      </c>
    </row>
    <row r="2938" spans="1:1" x14ac:dyDescent="0.25">
      <c r="A2938" t="str" cm="1">
        <f t="array" ref="A2938">IF(INDEX(CUEs!$A:$A,INT((ROW()-1)/7)*57+MOD(ROW()-1,7)+50)&lt;&gt;"","set "&amp;INDEX(CUEs!$A:$A,INT((ROW()-1)/7)*57+MOD(ROW()-1,7)+50)&amp;"=/ s "&amp;INDEX(CUEs!$B:$B,INT((ROW()-1)/7)*57+MOD(ROW()-1,7)+50),"")</f>
        <v/>
      </c>
    </row>
    <row r="2939" spans="1:1" x14ac:dyDescent="0.25">
      <c r="A2939" t="str" cm="1">
        <f t="array" ref="A2939">IF(INDEX(CUEs!$A:$A,INT((ROW()-1)/7)*57+MOD(ROW()-1,7)+50)&lt;&gt;"","set "&amp;INDEX(CUEs!$A:$A,INT((ROW()-1)/7)*57+MOD(ROW()-1,7)+50)&amp;"=/ s "&amp;INDEX(CUEs!$B:$B,INT((ROW()-1)/7)*57+MOD(ROW()-1,7)+50),"")</f>
        <v/>
      </c>
    </row>
    <row r="2940" spans="1:1" x14ac:dyDescent="0.25">
      <c r="A2940" t="str" cm="1">
        <f t="array" ref="A2940">IF(INDEX(CUEs!$A:$A,INT((ROW()-1)/7)*57+MOD(ROW()-1,7)+50)&lt;&gt;"","set "&amp;INDEX(CUEs!$A:$A,INT((ROW()-1)/7)*57+MOD(ROW()-1,7)+50)&amp;"=/ s "&amp;INDEX(CUEs!$B:$B,INT((ROW()-1)/7)*57+MOD(ROW()-1,7)+50),"")</f>
        <v/>
      </c>
    </row>
    <row r="2941" spans="1:1" x14ac:dyDescent="0.25">
      <c r="A2941" t="str" cm="1">
        <f t="array" ref="A2941">IF(INDEX(CUEs!$A:$A,INT((ROW()-1)/7)*57+MOD(ROW()-1,7)+50)&lt;&gt;"","set "&amp;INDEX(CUEs!$A:$A,INT((ROW()-1)/7)*57+MOD(ROW()-1,7)+50)&amp;"=/ s "&amp;INDEX(CUEs!$B:$B,INT((ROW()-1)/7)*57+MOD(ROW()-1,7)+50),"")</f>
        <v/>
      </c>
    </row>
    <row r="2942" spans="1:1" x14ac:dyDescent="0.25">
      <c r="A2942" t="str" cm="1">
        <f t="array" ref="A2942">IF(INDEX(CUEs!$A:$A,INT((ROW()-1)/7)*57+MOD(ROW()-1,7)+50)&lt;&gt;"","set "&amp;INDEX(CUEs!$A:$A,INT((ROW()-1)/7)*57+MOD(ROW()-1,7)+50)&amp;"=/ s "&amp;INDEX(CUEs!$B:$B,INT((ROW()-1)/7)*57+MOD(ROW()-1,7)+50),"")</f>
        <v/>
      </c>
    </row>
    <row r="2943" spans="1:1" x14ac:dyDescent="0.25">
      <c r="A2943" t="str" cm="1">
        <f t="array" ref="A2943">IF(INDEX(CUEs!$A:$A,INT((ROW()-1)/7)*57+MOD(ROW()-1,7)+50)&lt;&gt;"","set "&amp;INDEX(CUEs!$A:$A,INT((ROW()-1)/7)*57+MOD(ROW()-1,7)+50)&amp;"=/ s "&amp;INDEX(CUEs!$B:$B,INT((ROW()-1)/7)*57+MOD(ROW()-1,7)+50),"")</f>
        <v/>
      </c>
    </row>
    <row r="2944" spans="1:1" x14ac:dyDescent="0.25">
      <c r="A2944" t="str" cm="1">
        <f t="array" ref="A2944">IF(INDEX(CUEs!$A:$A,INT((ROW()-1)/7)*57+MOD(ROW()-1,7)+50)&lt;&gt;"","set "&amp;INDEX(CUEs!$A:$A,INT((ROW()-1)/7)*57+MOD(ROW()-1,7)+50)&amp;"=/ s "&amp;INDEX(CUEs!$B:$B,INT((ROW()-1)/7)*57+MOD(ROW()-1,7)+50),"")</f>
        <v/>
      </c>
    </row>
    <row r="2945" spans="1:1" x14ac:dyDescent="0.25">
      <c r="A2945" t="str" cm="1">
        <f t="array" ref="A2945">IF(INDEX(CUEs!$A:$A,INT((ROW()-1)/7)*57+MOD(ROW()-1,7)+50)&lt;&gt;"","set "&amp;INDEX(CUEs!$A:$A,INT((ROW()-1)/7)*57+MOD(ROW()-1,7)+50)&amp;"=/ s "&amp;INDEX(CUEs!$B:$B,INT((ROW()-1)/7)*57+MOD(ROW()-1,7)+50),"")</f>
        <v/>
      </c>
    </row>
    <row r="2946" spans="1:1" x14ac:dyDescent="0.25">
      <c r="A2946" t="str" cm="1">
        <f t="array" ref="A2946">IF(INDEX(CUEs!$A:$A,INT((ROW()-1)/7)*57+MOD(ROW()-1,7)+50)&lt;&gt;"","set "&amp;INDEX(CUEs!$A:$A,INT((ROW()-1)/7)*57+MOD(ROW()-1,7)+50)&amp;"=/ s "&amp;INDEX(CUEs!$B:$B,INT((ROW()-1)/7)*57+MOD(ROW()-1,7)+50),"")</f>
        <v/>
      </c>
    </row>
    <row r="2947" spans="1:1" x14ac:dyDescent="0.25">
      <c r="A2947" t="str" cm="1">
        <f t="array" ref="A2947">IF(INDEX(CUEs!$A:$A,INT((ROW()-1)/7)*57+MOD(ROW()-1,7)+50)&lt;&gt;"","set "&amp;INDEX(CUEs!$A:$A,INT((ROW()-1)/7)*57+MOD(ROW()-1,7)+50)&amp;"=/ s "&amp;INDEX(CUEs!$B:$B,INT((ROW()-1)/7)*57+MOD(ROW()-1,7)+50),"")</f>
        <v/>
      </c>
    </row>
    <row r="2948" spans="1:1" x14ac:dyDescent="0.25">
      <c r="A2948" t="str" cm="1">
        <f t="array" ref="A2948">IF(INDEX(CUEs!$A:$A,INT((ROW()-1)/7)*57+MOD(ROW()-1,7)+50)&lt;&gt;"","set "&amp;INDEX(CUEs!$A:$A,INT((ROW()-1)/7)*57+MOD(ROW()-1,7)+50)&amp;"=/ s "&amp;INDEX(CUEs!$B:$B,INT((ROW()-1)/7)*57+MOD(ROW()-1,7)+50),"")</f>
        <v/>
      </c>
    </row>
    <row r="2949" spans="1:1" x14ac:dyDescent="0.25">
      <c r="A2949" t="str" cm="1">
        <f t="array" ref="A2949">IF(INDEX(CUEs!$A:$A,INT((ROW()-1)/7)*57+MOD(ROW()-1,7)+50)&lt;&gt;"","set "&amp;INDEX(CUEs!$A:$A,INT((ROW()-1)/7)*57+MOD(ROW()-1,7)+50)&amp;"=/ s "&amp;INDEX(CUEs!$B:$B,INT((ROW()-1)/7)*57+MOD(ROW()-1,7)+50),"")</f>
        <v/>
      </c>
    </row>
    <row r="2950" spans="1:1" x14ac:dyDescent="0.25">
      <c r="A2950" t="str" cm="1">
        <f t="array" ref="A2950">IF(INDEX(CUEs!$A:$A,INT((ROW()-1)/7)*57+MOD(ROW()-1,7)+50)&lt;&gt;"","set "&amp;INDEX(CUEs!$A:$A,INT((ROW()-1)/7)*57+MOD(ROW()-1,7)+50)&amp;"=/ s "&amp;INDEX(CUEs!$B:$B,INT((ROW()-1)/7)*57+MOD(ROW()-1,7)+50),"")</f>
        <v/>
      </c>
    </row>
    <row r="2951" spans="1:1" x14ac:dyDescent="0.25">
      <c r="A2951" t="str" cm="1">
        <f t="array" ref="A2951">IF(INDEX(CUEs!$A:$A,INT((ROW()-1)/7)*57+MOD(ROW()-1,7)+50)&lt;&gt;"","set "&amp;INDEX(CUEs!$A:$A,INT((ROW()-1)/7)*57+MOD(ROW()-1,7)+50)&amp;"=/ s "&amp;INDEX(CUEs!$B:$B,INT((ROW()-1)/7)*57+MOD(ROW()-1,7)+50),"")</f>
        <v/>
      </c>
    </row>
    <row r="2952" spans="1:1" x14ac:dyDescent="0.25">
      <c r="A2952" t="str" cm="1">
        <f t="array" ref="A2952">IF(INDEX(CUEs!$A:$A,INT((ROW()-1)/7)*57+MOD(ROW()-1,7)+50)&lt;&gt;"","set "&amp;INDEX(CUEs!$A:$A,INT((ROW()-1)/7)*57+MOD(ROW()-1,7)+50)&amp;"=/ s "&amp;INDEX(CUEs!$B:$B,INT((ROW()-1)/7)*57+MOD(ROW()-1,7)+50),"")</f>
        <v/>
      </c>
    </row>
    <row r="2953" spans="1:1" x14ac:dyDescent="0.25">
      <c r="A2953" t="str" cm="1">
        <f t="array" ref="A2953">IF(INDEX(CUEs!$A:$A,INT((ROW()-1)/7)*57+MOD(ROW()-1,7)+50)&lt;&gt;"","set "&amp;INDEX(CUEs!$A:$A,INT((ROW()-1)/7)*57+MOD(ROW()-1,7)+50)&amp;"=/ s "&amp;INDEX(CUEs!$B:$B,INT((ROW()-1)/7)*57+MOD(ROW()-1,7)+50),"")</f>
        <v/>
      </c>
    </row>
    <row r="2954" spans="1:1" x14ac:dyDescent="0.25">
      <c r="A2954" t="str" cm="1">
        <f t="array" ref="A2954">IF(INDEX(CUEs!$A:$A,INT((ROW()-1)/7)*57+MOD(ROW()-1,7)+50)&lt;&gt;"","set "&amp;INDEX(CUEs!$A:$A,INT((ROW()-1)/7)*57+MOD(ROW()-1,7)+50)&amp;"=/ s "&amp;INDEX(CUEs!$B:$B,INT((ROW()-1)/7)*57+MOD(ROW()-1,7)+50),"")</f>
        <v/>
      </c>
    </row>
    <row r="2955" spans="1:1" x14ac:dyDescent="0.25">
      <c r="A2955" t="str" cm="1">
        <f t="array" ref="A2955">IF(INDEX(CUEs!$A:$A,INT((ROW()-1)/7)*57+MOD(ROW()-1,7)+50)&lt;&gt;"","set "&amp;INDEX(CUEs!$A:$A,INT((ROW()-1)/7)*57+MOD(ROW()-1,7)+50)&amp;"=/ s "&amp;INDEX(CUEs!$B:$B,INT((ROW()-1)/7)*57+MOD(ROW()-1,7)+50),"")</f>
        <v/>
      </c>
    </row>
    <row r="2956" spans="1:1" x14ac:dyDescent="0.25">
      <c r="A2956" t="str" cm="1">
        <f t="array" ref="A2956">IF(INDEX(CUEs!$A:$A,INT((ROW()-1)/7)*57+MOD(ROW()-1,7)+50)&lt;&gt;"","set "&amp;INDEX(CUEs!$A:$A,INT((ROW()-1)/7)*57+MOD(ROW()-1,7)+50)&amp;"=/ s "&amp;INDEX(CUEs!$B:$B,INT((ROW()-1)/7)*57+MOD(ROW()-1,7)+50),"")</f>
        <v/>
      </c>
    </row>
    <row r="2957" spans="1:1" x14ac:dyDescent="0.25">
      <c r="A2957" t="str" cm="1">
        <f t="array" ref="A2957">IF(INDEX(CUEs!$A:$A,INT((ROW()-1)/7)*57+MOD(ROW()-1,7)+50)&lt;&gt;"","set "&amp;INDEX(CUEs!$A:$A,INT((ROW()-1)/7)*57+MOD(ROW()-1,7)+50)&amp;"=/ s "&amp;INDEX(CUEs!$B:$B,INT((ROW()-1)/7)*57+MOD(ROW()-1,7)+50),"")</f>
        <v/>
      </c>
    </row>
    <row r="2958" spans="1:1" x14ac:dyDescent="0.25">
      <c r="A2958" t="str" cm="1">
        <f t="array" ref="A2958">IF(INDEX(CUEs!$A:$A,INT((ROW()-1)/7)*57+MOD(ROW()-1,7)+50)&lt;&gt;"","set "&amp;INDEX(CUEs!$A:$A,INT((ROW()-1)/7)*57+MOD(ROW()-1,7)+50)&amp;"=/ s "&amp;INDEX(CUEs!$B:$B,INT((ROW()-1)/7)*57+MOD(ROW()-1,7)+50),"")</f>
        <v/>
      </c>
    </row>
    <row r="2959" spans="1:1" x14ac:dyDescent="0.25">
      <c r="A2959" t="str" cm="1">
        <f t="array" ref="A2959">IF(INDEX(CUEs!$A:$A,INT((ROW()-1)/7)*57+MOD(ROW()-1,7)+50)&lt;&gt;"","set "&amp;INDEX(CUEs!$A:$A,INT((ROW()-1)/7)*57+MOD(ROW()-1,7)+50)&amp;"=/ s "&amp;INDEX(CUEs!$B:$B,INT((ROW()-1)/7)*57+MOD(ROW()-1,7)+50),"")</f>
        <v/>
      </c>
    </row>
    <row r="2960" spans="1:1" x14ac:dyDescent="0.25">
      <c r="A2960" t="str" cm="1">
        <f t="array" ref="A2960">IF(INDEX(CUEs!$A:$A,INT((ROW()-1)/7)*57+MOD(ROW()-1,7)+50)&lt;&gt;"","set "&amp;INDEX(CUEs!$A:$A,INT((ROW()-1)/7)*57+MOD(ROW()-1,7)+50)&amp;"=/ s "&amp;INDEX(CUEs!$B:$B,INT((ROW()-1)/7)*57+MOD(ROW()-1,7)+50),"")</f>
        <v/>
      </c>
    </row>
    <row r="2961" spans="1:1" x14ac:dyDescent="0.25">
      <c r="A2961" t="str" cm="1">
        <f t="array" ref="A2961">IF(INDEX(CUEs!$A:$A,INT((ROW()-1)/7)*57+MOD(ROW()-1,7)+50)&lt;&gt;"","set "&amp;INDEX(CUEs!$A:$A,INT((ROW()-1)/7)*57+MOD(ROW()-1,7)+50)&amp;"=/ s "&amp;INDEX(CUEs!$B:$B,INT((ROW()-1)/7)*57+MOD(ROW()-1,7)+50),"")</f>
        <v/>
      </c>
    </row>
    <row r="2962" spans="1:1" x14ac:dyDescent="0.25">
      <c r="A2962" t="str" cm="1">
        <f t="array" ref="A2962">IF(INDEX(CUEs!$A:$A,INT((ROW()-1)/7)*57+MOD(ROW()-1,7)+50)&lt;&gt;"","set "&amp;INDEX(CUEs!$A:$A,INT((ROW()-1)/7)*57+MOD(ROW()-1,7)+50)&amp;"=/ s "&amp;INDEX(CUEs!$B:$B,INT((ROW()-1)/7)*57+MOD(ROW()-1,7)+50),"")</f>
        <v/>
      </c>
    </row>
    <row r="2963" spans="1:1" x14ac:dyDescent="0.25">
      <c r="A2963" t="str" cm="1">
        <f t="array" ref="A2963">IF(INDEX(CUEs!$A:$A,INT((ROW()-1)/7)*57+MOD(ROW()-1,7)+50)&lt;&gt;"","set "&amp;INDEX(CUEs!$A:$A,INT((ROW()-1)/7)*57+MOD(ROW()-1,7)+50)&amp;"=/ s "&amp;INDEX(CUEs!$B:$B,INT((ROW()-1)/7)*57+MOD(ROW()-1,7)+50),"")</f>
        <v/>
      </c>
    </row>
    <row r="2964" spans="1:1" x14ac:dyDescent="0.25">
      <c r="A2964" t="str" cm="1">
        <f t="array" ref="A2964">IF(INDEX(CUEs!$A:$A,INT((ROW()-1)/7)*57+MOD(ROW()-1,7)+50)&lt;&gt;"","set "&amp;INDEX(CUEs!$A:$A,INT((ROW()-1)/7)*57+MOD(ROW()-1,7)+50)&amp;"=/ s "&amp;INDEX(CUEs!$B:$B,INT((ROW()-1)/7)*57+MOD(ROW()-1,7)+50),"")</f>
        <v/>
      </c>
    </row>
    <row r="2965" spans="1:1" x14ac:dyDescent="0.25">
      <c r="A2965" t="str" cm="1">
        <f t="array" ref="A2965">IF(INDEX(CUEs!$A:$A,INT((ROW()-1)/7)*57+MOD(ROW()-1,7)+50)&lt;&gt;"","set "&amp;INDEX(CUEs!$A:$A,INT((ROW()-1)/7)*57+MOD(ROW()-1,7)+50)&amp;"=/ s "&amp;INDEX(CUEs!$B:$B,INT((ROW()-1)/7)*57+MOD(ROW()-1,7)+50),"")</f>
        <v/>
      </c>
    </row>
    <row r="2966" spans="1:1" x14ac:dyDescent="0.25">
      <c r="A2966" t="str" cm="1">
        <f t="array" ref="A2966">IF(INDEX(CUEs!$A:$A,INT((ROW()-1)/7)*57+MOD(ROW()-1,7)+50)&lt;&gt;"","set "&amp;INDEX(CUEs!$A:$A,INT((ROW()-1)/7)*57+MOD(ROW()-1,7)+50)&amp;"=/ s "&amp;INDEX(CUEs!$B:$B,INT((ROW()-1)/7)*57+MOD(ROW()-1,7)+50),"")</f>
        <v/>
      </c>
    </row>
    <row r="2967" spans="1:1" x14ac:dyDescent="0.25">
      <c r="A2967" t="str" cm="1">
        <f t="array" ref="A2967">IF(INDEX(CUEs!$A:$A,INT((ROW()-1)/7)*57+MOD(ROW()-1,7)+50)&lt;&gt;"","set "&amp;INDEX(CUEs!$A:$A,INT((ROW()-1)/7)*57+MOD(ROW()-1,7)+50)&amp;"=/ s "&amp;INDEX(CUEs!$B:$B,INT((ROW()-1)/7)*57+MOD(ROW()-1,7)+50),"")</f>
        <v/>
      </c>
    </row>
    <row r="2968" spans="1:1" x14ac:dyDescent="0.25">
      <c r="A2968" t="str" cm="1">
        <f t="array" ref="A2968">IF(INDEX(CUEs!$A:$A,INT((ROW()-1)/7)*57+MOD(ROW()-1,7)+50)&lt;&gt;"","set "&amp;INDEX(CUEs!$A:$A,INT((ROW()-1)/7)*57+MOD(ROW()-1,7)+50)&amp;"=/ s "&amp;INDEX(CUEs!$B:$B,INT((ROW()-1)/7)*57+MOD(ROW()-1,7)+50),"")</f>
        <v/>
      </c>
    </row>
    <row r="2969" spans="1:1" x14ac:dyDescent="0.25">
      <c r="A2969" t="str" cm="1">
        <f t="array" ref="A2969">IF(INDEX(CUEs!$A:$A,INT((ROW()-1)/7)*57+MOD(ROW()-1,7)+50)&lt;&gt;"","set "&amp;INDEX(CUEs!$A:$A,INT((ROW()-1)/7)*57+MOD(ROW()-1,7)+50)&amp;"=/ s "&amp;INDEX(CUEs!$B:$B,INT((ROW()-1)/7)*57+MOD(ROW()-1,7)+50),"")</f>
        <v/>
      </c>
    </row>
    <row r="2970" spans="1:1" x14ac:dyDescent="0.25">
      <c r="A2970" t="str" cm="1">
        <f t="array" ref="A2970">IF(INDEX(CUEs!$A:$A,INT((ROW()-1)/7)*57+MOD(ROW()-1,7)+50)&lt;&gt;"","set "&amp;INDEX(CUEs!$A:$A,INT((ROW()-1)/7)*57+MOD(ROW()-1,7)+50)&amp;"=/ s "&amp;INDEX(CUEs!$B:$B,INT((ROW()-1)/7)*57+MOD(ROW()-1,7)+50),"")</f>
        <v/>
      </c>
    </row>
    <row r="2971" spans="1:1" x14ac:dyDescent="0.25">
      <c r="A2971" t="str" cm="1">
        <f t="array" ref="A2971">IF(INDEX(CUEs!$A:$A,INT((ROW()-1)/7)*57+MOD(ROW()-1,7)+50)&lt;&gt;"","set "&amp;INDEX(CUEs!$A:$A,INT((ROW()-1)/7)*57+MOD(ROW()-1,7)+50)&amp;"=/ s "&amp;INDEX(CUEs!$B:$B,INT((ROW()-1)/7)*57+MOD(ROW()-1,7)+50),"")</f>
        <v/>
      </c>
    </row>
    <row r="2972" spans="1:1" x14ac:dyDescent="0.25">
      <c r="A2972" t="str" cm="1">
        <f t="array" ref="A2972">IF(INDEX(CUEs!$A:$A,INT((ROW()-1)/7)*57+MOD(ROW()-1,7)+50)&lt;&gt;"","set "&amp;INDEX(CUEs!$A:$A,INT((ROW()-1)/7)*57+MOD(ROW()-1,7)+50)&amp;"=/ s "&amp;INDEX(CUEs!$B:$B,INT((ROW()-1)/7)*57+MOD(ROW()-1,7)+50),"")</f>
        <v/>
      </c>
    </row>
    <row r="2973" spans="1:1" x14ac:dyDescent="0.25">
      <c r="A2973" t="str" cm="1">
        <f t="array" ref="A2973">IF(INDEX(CUEs!$A:$A,INT((ROW()-1)/7)*57+MOD(ROW()-1,7)+50)&lt;&gt;"","set "&amp;INDEX(CUEs!$A:$A,INT((ROW()-1)/7)*57+MOD(ROW()-1,7)+50)&amp;"=/ s "&amp;INDEX(CUEs!$B:$B,INT((ROW()-1)/7)*57+MOD(ROW()-1,7)+50),"")</f>
        <v/>
      </c>
    </row>
    <row r="2974" spans="1:1" x14ac:dyDescent="0.25">
      <c r="A2974" t="str" cm="1">
        <f t="array" ref="A2974">IF(INDEX(CUEs!$A:$A,INT((ROW()-1)/7)*57+MOD(ROW()-1,7)+50)&lt;&gt;"","set "&amp;INDEX(CUEs!$A:$A,INT((ROW()-1)/7)*57+MOD(ROW()-1,7)+50)&amp;"=/ s "&amp;INDEX(CUEs!$B:$B,INT((ROW()-1)/7)*57+MOD(ROW()-1,7)+50),"")</f>
        <v/>
      </c>
    </row>
    <row r="2975" spans="1:1" x14ac:dyDescent="0.25">
      <c r="A2975" t="str" cm="1">
        <f t="array" ref="A2975">IF(INDEX(CUEs!$A:$A,INT((ROW()-1)/7)*57+MOD(ROW()-1,7)+50)&lt;&gt;"","set "&amp;INDEX(CUEs!$A:$A,INT((ROW()-1)/7)*57+MOD(ROW()-1,7)+50)&amp;"=/ s "&amp;INDEX(CUEs!$B:$B,INT((ROW()-1)/7)*57+MOD(ROW()-1,7)+50),"")</f>
        <v/>
      </c>
    </row>
    <row r="2976" spans="1:1" x14ac:dyDescent="0.25">
      <c r="A2976" t="str" cm="1">
        <f t="array" ref="A2976">IF(INDEX(CUEs!$A:$A,INT((ROW()-1)/7)*57+MOD(ROW()-1,7)+50)&lt;&gt;"","set "&amp;INDEX(CUEs!$A:$A,INT((ROW()-1)/7)*57+MOD(ROW()-1,7)+50)&amp;"=/ s "&amp;INDEX(CUEs!$B:$B,INT((ROW()-1)/7)*57+MOD(ROW()-1,7)+50),"")</f>
        <v/>
      </c>
    </row>
    <row r="2977" spans="1:1" x14ac:dyDescent="0.25">
      <c r="A2977" t="str" cm="1">
        <f t="array" ref="A2977">IF(INDEX(CUEs!$A:$A,INT((ROW()-1)/7)*57+MOD(ROW()-1,7)+50)&lt;&gt;"","set "&amp;INDEX(CUEs!$A:$A,INT((ROW()-1)/7)*57+MOD(ROW()-1,7)+50)&amp;"=/ s "&amp;INDEX(CUEs!$B:$B,INT((ROW()-1)/7)*57+MOD(ROW()-1,7)+50),"")</f>
        <v/>
      </c>
    </row>
    <row r="2978" spans="1:1" x14ac:dyDescent="0.25">
      <c r="A2978" t="str" cm="1">
        <f t="array" ref="A2978">IF(INDEX(CUEs!$A:$A,INT((ROW()-1)/7)*57+MOD(ROW()-1,7)+50)&lt;&gt;"","set "&amp;INDEX(CUEs!$A:$A,INT((ROW()-1)/7)*57+MOD(ROW()-1,7)+50)&amp;"=/ s "&amp;INDEX(CUEs!$B:$B,INT((ROW()-1)/7)*57+MOD(ROW()-1,7)+50),"")</f>
        <v/>
      </c>
    </row>
    <row r="2979" spans="1:1" x14ac:dyDescent="0.25">
      <c r="A2979" t="str" cm="1">
        <f t="array" ref="A2979">IF(INDEX(CUEs!$A:$A,INT((ROW()-1)/7)*57+MOD(ROW()-1,7)+50)&lt;&gt;"","set "&amp;INDEX(CUEs!$A:$A,INT((ROW()-1)/7)*57+MOD(ROW()-1,7)+50)&amp;"=/ s "&amp;INDEX(CUEs!$B:$B,INT((ROW()-1)/7)*57+MOD(ROW()-1,7)+50),"")</f>
        <v/>
      </c>
    </row>
    <row r="2980" spans="1:1" x14ac:dyDescent="0.25">
      <c r="A2980" t="str" cm="1">
        <f t="array" ref="A2980">IF(INDEX(CUEs!$A:$A,INT((ROW()-1)/7)*57+MOD(ROW()-1,7)+50)&lt;&gt;"","set "&amp;INDEX(CUEs!$A:$A,INT((ROW()-1)/7)*57+MOD(ROW()-1,7)+50)&amp;"=/ s "&amp;INDEX(CUEs!$B:$B,INT((ROW()-1)/7)*57+MOD(ROW()-1,7)+50),"")</f>
        <v/>
      </c>
    </row>
    <row r="2981" spans="1:1" x14ac:dyDescent="0.25">
      <c r="A2981" t="str" cm="1">
        <f t="array" ref="A2981">IF(INDEX(CUEs!$A:$A,INT((ROW()-1)/7)*57+MOD(ROW()-1,7)+50)&lt;&gt;"","set "&amp;INDEX(CUEs!$A:$A,INT((ROW()-1)/7)*57+MOD(ROW()-1,7)+50)&amp;"=/ s "&amp;INDEX(CUEs!$B:$B,INT((ROW()-1)/7)*57+MOD(ROW()-1,7)+50),"")</f>
        <v/>
      </c>
    </row>
    <row r="2982" spans="1:1" x14ac:dyDescent="0.25">
      <c r="A2982" t="str" cm="1">
        <f t="array" ref="A2982">IF(INDEX(CUEs!$A:$A,INT((ROW()-1)/7)*57+MOD(ROW()-1,7)+50)&lt;&gt;"","set "&amp;INDEX(CUEs!$A:$A,INT((ROW()-1)/7)*57+MOD(ROW()-1,7)+50)&amp;"=/ s "&amp;INDEX(CUEs!$B:$B,INT((ROW()-1)/7)*57+MOD(ROW()-1,7)+50),"")</f>
        <v/>
      </c>
    </row>
    <row r="2983" spans="1:1" x14ac:dyDescent="0.25">
      <c r="A2983" t="str" cm="1">
        <f t="array" ref="A2983">IF(INDEX(CUEs!$A:$A,INT((ROW()-1)/7)*57+MOD(ROW()-1,7)+50)&lt;&gt;"","set "&amp;INDEX(CUEs!$A:$A,INT((ROW()-1)/7)*57+MOD(ROW()-1,7)+50)&amp;"=/ s "&amp;INDEX(CUEs!$B:$B,INT((ROW()-1)/7)*57+MOD(ROW()-1,7)+50),"")</f>
        <v/>
      </c>
    </row>
    <row r="2984" spans="1:1" x14ac:dyDescent="0.25">
      <c r="A2984" t="str" cm="1">
        <f t="array" ref="A2984">IF(INDEX(CUEs!$A:$A,INT((ROW()-1)/7)*57+MOD(ROW()-1,7)+50)&lt;&gt;"","set "&amp;INDEX(CUEs!$A:$A,INT((ROW()-1)/7)*57+MOD(ROW()-1,7)+50)&amp;"=/ s "&amp;INDEX(CUEs!$B:$B,INT((ROW()-1)/7)*57+MOD(ROW()-1,7)+50),"")</f>
        <v/>
      </c>
    </row>
    <row r="2985" spans="1:1" x14ac:dyDescent="0.25">
      <c r="A2985" t="str" cm="1">
        <f t="array" ref="A2985">IF(INDEX(CUEs!$A:$A,INT((ROW()-1)/7)*57+MOD(ROW()-1,7)+50)&lt;&gt;"","set "&amp;INDEX(CUEs!$A:$A,INT((ROW()-1)/7)*57+MOD(ROW()-1,7)+50)&amp;"=/ s "&amp;INDEX(CUEs!$B:$B,INT((ROW()-1)/7)*57+MOD(ROW()-1,7)+50),"")</f>
        <v/>
      </c>
    </row>
    <row r="2986" spans="1:1" x14ac:dyDescent="0.25">
      <c r="A2986" t="str" cm="1">
        <f t="array" ref="A2986">IF(INDEX(CUEs!$A:$A,INT((ROW()-1)/7)*57+MOD(ROW()-1,7)+50)&lt;&gt;"","set "&amp;INDEX(CUEs!$A:$A,INT((ROW()-1)/7)*57+MOD(ROW()-1,7)+50)&amp;"=/ s "&amp;INDEX(CUEs!$B:$B,INT((ROW()-1)/7)*57+MOD(ROW()-1,7)+50),"")</f>
        <v/>
      </c>
    </row>
    <row r="2987" spans="1:1" x14ac:dyDescent="0.25">
      <c r="A2987" t="str" cm="1">
        <f t="array" ref="A2987">IF(INDEX(CUEs!$A:$A,INT((ROW()-1)/7)*57+MOD(ROW()-1,7)+50)&lt;&gt;"","set "&amp;INDEX(CUEs!$A:$A,INT((ROW()-1)/7)*57+MOD(ROW()-1,7)+50)&amp;"=/ s "&amp;INDEX(CUEs!$B:$B,INT((ROW()-1)/7)*57+MOD(ROW()-1,7)+50),"")</f>
        <v/>
      </c>
    </row>
    <row r="2988" spans="1:1" x14ac:dyDescent="0.25">
      <c r="A2988" t="str" cm="1">
        <f t="array" ref="A2988">IF(INDEX(CUEs!$A:$A,INT((ROW()-1)/7)*57+MOD(ROW()-1,7)+50)&lt;&gt;"","set "&amp;INDEX(CUEs!$A:$A,INT((ROW()-1)/7)*57+MOD(ROW()-1,7)+50)&amp;"=/ s "&amp;INDEX(CUEs!$B:$B,INT((ROW()-1)/7)*57+MOD(ROW()-1,7)+50),"")</f>
        <v/>
      </c>
    </row>
    <row r="2989" spans="1:1" x14ac:dyDescent="0.25">
      <c r="A2989" t="str" cm="1">
        <f t="array" ref="A2989">IF(INDEX(CUEs!$A:$A,INT((ROW()-1)/7)*57+MOD(ROW()-1,7)+50)&lt;&gt;"","set "&amp;INDEX(CUEs!$A:$A,INT((ROW()-1)/7)*57+MOD(ROW()-1,7)+50)&amp;"=/ s "&amp;INDEX(CUEs!$B:$B,INT((ROW()-1)/7)*57+MOD(ROW()-1,7)+50),"")</f>
        <v/>
      </c>
    </row>
    <row r="2990" spans="1:1" x14ac:dyDescent="0.25">
      <c r="A2990" t="str" cm="1">
        <f t="array" ref="A2990">IF(INDEX(CUEs!$A:$A,INT((ROW()-1)/7)*57+MOD(ROW()-1,7)+50)&lt;&gt;"","set "&amp;INDEX(CUEs!$A:$A,INT((ROW()-1)/7)*57+MOD(ROW()-1,7)+50)&amp;"=/ s "&amp;INDEX(CUEs!$B:$B,INT((ROW()-1)/7)*57+MOD(ROW()-1,7)+50),"")</f>
        <v/>
      </c>
    </row>
    <row r="2991" spans="1:1" x14ac:dyDescent="0.25">
      <c r="A2991" t="str" cm="1">
        <f t="array" ref="A2991">IF(INDEX(CUEs!$A:$A,INT((ROW()-1)/7)*57+MOD(ROW()-1,7)+50)&lt;&gt;"","set "&amp;INDEX(CUEs!$A:$A,INT((ROW()-1)/7)*57+MOD(ROW()-1,7)+50)&amp;"=/ s "&amp;INDEX(CUEs!$B:$B,INT((ROW()-1)/7)*57+MOD(ROW()-1,7)+50),"")</f>
        <v/>
      </c>
    </row>
    <row r="2992" spans="1:1" x14ac:dyDescent="0.25">
      <c r="A2992" t="str" cm="1">
        <f t="array" ref="A2992">IF(INDEX(CUEs!$A:$A,INT((ROW()-1)/7)*57+MOD(ROW()-1,7)+50)&lt;&gt;"","set "&amp;INDEX(CUEs!$A:$A,INT((ROW()-1)/7)*57+MOD(ROW()-1,7)+50)&amp;"=/ s "&amp;INDEX(CUEs!$B:$B,INT((ROW()-1)/7)*57+MOD(ROW()-1,7)+50),"")</f>
        <v/>
      </c>
    </row>
    <row r="2993" spans="1:1" x14ac:dyDescent="0.25">
      <c r="A2993" t="str" cm="1">
        <f t="array" ref="A2993">IF(INDEX(CUEs!$A:$A,INT((ROW()-1)/7)*57+MOD(ROW()-1,7)+50)&lt;&gt;"","set "&amp;INDEX(CUEs!$A:$A,INT((ROW()-1)/7)*57+MOD(ROW()-1,7)+50)&amp;"=/ s "&amp;INDEX(CUEs!$B:$B,INT((ROW()-1)/7)*57+MOD(ROW()-1,7)+50),"")</f>
        <v/>
      </c>
    </row>
    <row r="2994" spans="1:1" x14ac:dyDescent="0.25">
      <c r="A2994" t="str" cm="1">
        <f t="array" ref="A2994">IF(INDEX(CUEs!$A:$A,INT((ROW()-1)/7)*57+MOD(ROW()-1,7)+50)&lt;&gt;"","set "&amp;INDEX(CUEs!$A:$A,INT((ROW()-1)/7)*57+MOD(ROW()-1,7)+50)&amp;"=/ s "&amp;INDEX(CUEs!$B:$B,INT((ROW()-1)/7)*57+MOD(ROW()-1,7)+50),"")</f>
        <v/>
      </c>
    </row>
    <row r="2995" spans="1:1" x14ac:dyDescent="0.25">
      <c r="A2995" t="str" cm="1">
        <f t="array" ref="A2995">IF(INDEX(CUEs!$A:$A,INT((ROW()-1)/7)*57+MOD(ROW()-1,7)+50)&lt;&gt;"","set "&amp;INDEX(CUEs!$A:$A,INT((ROW()-1)/7)*57+MOD(ROW()-1,7)+50)&amp;"=/ s "&amp;INDEX(CUEs!$B:$B,INT((ROW()-1)/7)*57+MOD(ROW()-1,7)+50),"")</f>
        <v/>
      </c>
    </row>
    <row r="2996" spans="1:1" x14ac:dyDescent="0.25">
      <c r="A2996" t="str" cm="1">
        <f t="array" ref="A2996">IF(INDEX(CUEs!$A:$A,INT((ROW()-1)/7)*57+MOD(ROW()-1,7)+50)&lt;&gt;"","set "&amp;INDEX(CUEs!$A:$A,INT((ROW()-1)/7)*57+MOD(ROW()-1,7)+50)&amp;"=/ s "&amp;INDEX(CUEs!$B:$B,INT((ROW()-1)/7)*57+MOD(ROW()-1,7)+50),"")</f>
        <v/>
      </c>
    </row>
    <row r="2997" spans="1:1" x14ac:dyDescent="0.25">
      <c r="A2997" t="str" cm="1">
        <f t="array" ref="A2997">IF(INDEX(CUEs!$A:$A,INT((ROW()-1)/7)*57+MOD(ROW()-1,7)+50)&lt;&gt;"","set "&amp;INDEX(CUEs!$A:$A,INT((ROW()-1)/7)*57+MOD(ROW()-1,7)+50)&amp;"=/ s "&amp;INDEX(CUEs!$B:$B,INT((ROW()-1)/7)*57+MOD(ROW()-1,7)+50),"")</f>
        <v/>
      </c>
    </row>
    <row r="2998" spans="1:1" x14ac:dyDescent="0.25">
      <c r="A2998" t="str" cm="1">
        <f t="array" ref="A2998">IF(INDEX(CUEs!$A:$A,INT((ROW()-1)/7)*57+MOD(ROW()-1,7)+50)&lt;&gt;"","set "&amp;INDEX(CUEs!$A:$A,INT((ROW()-1)/7)*57+MOD(ROW()-1,7)+50)&amp;"=/ s "&amp;INDEX(CUEs!$B:$B,INT((ROW()-1)/7)*57+MOD(ROW()-1,7)+50),"")</f>
        <v/>
      </c>
    </row>
    <row r="2999" spans="1:1" x14ac:dyDescent="0.25">
      <c r="A2999" t="str" cm="1">
        <f t="array" ref="A2999">IF(INDEX(CUEs!$A:$A,INT((ROW()-1)/7)*57+MOD(ROW()-1,7)+50)&lt;&gt;"","set "&amp;INDEX(CUEs!$A:$A,INT((ROW()-1)/7)*57+MOD(ROW()-1,7)+50)&amp;"=/ s "&amp;INDEX(CUEs!$B:$B,INT((ROW()-1)/7)*57+MOD(ROW()-1,7)+50),"")</f>
        <v/>
      </c>
    </row>
    <row r="3000" spans="1:1" x14ac:dyDescent="0.25">
      <c r="A3000" t="str" cm="1">
        <f t="array" ref="A3000">IF(INDEX(CUEs!$A:$A,INT((ROW()-1)/7)*57+MOD(ROW()-1,7)+50)&lt;&gt;"","set "&amp;INDEX(CUEs!$A:$A,INT((ROW()-1)/7)*57+MOD(ROW()-1,7)+50)&amp;"=/ s "&amp;INDEX(CUEs!$B:$B,INT((ROW()-1)/7)*57+MOD(ROW()-1,7)+50),"")</f>
        <v/>
      </c>
    </row>
    <row r="3001" spans="1:1" x14ac:dyDescent="0.25">
      <c r="A3001" t="str" cm="1">
        <f t="array" ref="A3001">IF(INDEX(CUEs!$A:$A,INT((ROW()-1)/7)*57+MOD(ROW()-1,7)+50)&lt;&gt;"","set "&amp;INDEX(CUEs!$A:$A,INT((ROW()-1)/7)*57+MOD(ROW()-1,7)+50)&amp;"=/ s "&amp;INDEX(CUEs!$B:$B,INT((ROW()-1)/7)*57+MOD(ROW()-1,7)+50),"")</f>
        <v/>
      </c>
    </row>
    <row r="3002" spans="1:1" x14ac:dyDescent="0.25">
      <c r="A3002" t="str" cm="1">
        <f t="array" ref="A3002">IF(INDEX(CUEs!$A:$A,INT((ROW()-1)/7)*57+MOD(ROW()-1,7)+50)&lt;&gt;"","set "&amp;INDEX(CUEs!$A:$A,INT((ROW()-1)/7)*57+MOD(ROW()-1,7)+50)&amp;"=/ s "&amp;INDEX(CUEs!$B:$B,INT((ROW()-1)/7)*57+MOD(ROW()-1,7)+50),"")</f>
        <v/>
      </c>
    </row>
    <row r="3003" spans="1:1" x14ac:dyDescent="0.25">
      <c r="A3003" t="str" cm="1">
        <f t="array" ref="A3003">IF(INDEX(CUEs!$A:$A,INT((ROW()-1)/7)*57+MOD(ROW()-1,7)+50)&lt;&gt;"","set "&amp;INDEX(CUEs!$A:$A,INT((ROW()-1)/7)*57+MOD(ROW()-1,7)+50)&amp;"=/ s "&amp;INDEX(CUEs!$B:$B,INT((ROW()-1)/7)*57+MOD(ROW()-1,7)+50),"")</f>
        <v/>
      </c>
    </row>
    <row r="3004" spans="1:1" x14ac:dyDescent="0.25">
      <c r="A3004" t="str" cm="1">
        <f t="array" ref="A3004">IF(INDEX(CUEs!$A:$A,INT((ROW()-1)/7)*57+MOD(ROW()-1,7)+50)&lt;&gt;"","set "&amp;INDEX(CUEs!$A:$A,INT((ROW()-1)/7)*57+MOD(ROW()-1,7)+50)&amp;"=/ s "&amp;INDEX(CUEs!$B:$B,INT((ROW()-1)/7)*57+MOD(ROW()-1,7)+50),"")</f>
        <v/>
      </c>
    </row>
    <row r="3005" spans="1:1" x14ac:dyDescent="0.25">
      <c r="A3005" t="str" cm="1">
        <f t="array" ref="A3005">IF(INDEX(CUEs!$A:$A,INT((ROW()-1)/7)*57+MOD(ROW()-1,7)+50)&lt;&gt;"","set "&amp;INDEX(CUEs!$A:$A,INT((ROW()-1)/7)*57+MOD(ROW()-1,7)+50)&amp;"=/ s "&amp;INDEX(CUEs!$B:$B,INT((ROW()-1)/7)*57+MOD(ROW()-1,7)+50),"")</f>
        <v/>
      </c>
    </row>
    <row r="3006" spans="1:1" x14ac:dyDescent="0.25">
      <c r="A3006" t="str" cm="1">
        <f t="array" ref="A3006">IF(INDEX(CUEs!$A:$A,INT((ROW()-1)/7)*57+MOD(ROW()-1,7)+50)&lt;&gt;"","set "&amp;INDEX(CUEs!$A:$A,INT((ROW()-1)/7)*57+MOD(ROW()-1,7)+50)&amp;"=/ s "&amp;INDEX(CUEs!$B:$B,INT((ROW()-1)/7)*57+MOD(ROW()-1,7)+50),"")</f>
        <v/>
      </c>
    </row>
    <row r="3007" spans="1:1" x14ac:dyDescent="0.25">
      <c r="A3007" t="str" cm="1">
        <f t="array" ref="A3007">IF(INDEX(CUEs!$A:$A,INT((ROW()-1)/7)*57+MOD(ROW()-1,7)+50)&lt;&gt;"","set "&amp;INDEX(CUEs!$A:$A,INT((ROW()-1)/7)*57+MOD(ROW()-1,7)+50)&amp;"=/ s "&amp;INDEX(CUEs!$B:$B,INT((ROW()-1)/7)*57+MOD(ROW()-1,7)+50),"")</f>
        <v/>
      </c>
    </row>
    <row r="3008" spans="1:1" x14ac:dyDescent="0.25">
      <c r="A3008" t="str" cm="1">
        <f t="array" ref="A3008">IF(INDEX(CUEs!$A:$A,INT((ROW()-1)/7)*57+MOD(ROW()-1,7)+50)&lt;&gt;"","set "&amp;INDEX(CUEs!$A:$A,INT((ROW()-1)/7)*57+MOD(ROW()-1,7)+50)&amp;"=/ s "&amp;INDEX(CUEs!$B:$B,INT((ROW()-1)/7)*57+MOD(ROW()-1,7)+50),"")</f>
        <v/>
      </c>
    </row>
    <row r="3009" spans="1:1" x14ac:dyDescent="0.25">
      <c r="A3009" t="str" cm="1">
        <f t="array" ref="A3009">IF(INDEX(CUEs!$A:$A,INT((ROW()-1)/7)*57+MOD(ROW()-1,7)+50)&lt;&gt;"","set "&amp;INDEX(CUEs!$A:$A,INT((ROW()-1)/7)*57+MOD(ROW()-1,7)+50)&amp;"=/ s "&amp;INDEX(CUEs!$B:$B,INT((ROW()-1)/7)*57+MOD(ROW()-1,7)+50),"")</f>
        <v/>
      </c>
    </row>
    <row r="3010" spans="1:1" x14ac:dyDescent="0.25">
      <c r="A3010" t="str" cm="1">
        <f t="array" ref="A3010">IF(INDEX(CUEs!$A:$A,INT((ROW()-1)/7)*57+MOD(ROW()-1,7)+50)&lt;&gt;"","set "&amp;INDEX(CUEs!$A:$A,INT((ROW()-1)/7)*57+MOD(ROW()-1,7)+50)&amp;"=/ s "&amp;INDEX(CUEs!$B:$B,INT((ROW()-1)/7)*57+MOD(ROW()-1,7)+50),"")</f>
        <v/>
      </c>
    </row>
    <row r="3011" spans="1:1" x14ac:dyDescent="0.25">
      <c r="A3011" t="str" cm="1">
        <f t="array" ref="A3011">IF(INDEX(CUEs!$A:$A,INT((ROW()-1)/7)*57+MOD(ROW()-1,7)+50)&lt;&gt;"","set "&amp;INDEX(CUEs!$A:$A,INT((ROW()-1)/7)*57+MOD(ROW()-1,7)+50)&amp;"=/ s "&amp;INDEX(CUEs!$B:$B,INT((ROW()-1)/7)*57+MOD(ROW()-1,7)+50),"")</f>
        <v/>
      </c>
    </row>
    <row r="3012" spans="1:1" x14ac:dyDescent="0.25">
      <c r="A3012" t="str" cm="1">
        <f t="array" ref="A3012">IF(INDEX(CUEs!$A:$A,INT((ROW()-1)/7)*57+MOD(ROW()-1,7)+50)&lt;&gt;"","set "&amp;INDEX(CUEs!$A:$A,INT((ROW()-1)/7)*57+MOD(ROW()-1,7)+50)&amp;"=/ s "&amp;INDEX(CUEs!$B:$B,INT((ROW()-1)/7)*57+MOD(ROW()-1,7)+50),"")</f>
        <v/>
      </c>
    </row>
    <row r="3013" spans="1:1" x14ac:dyDescent="0.25">
      <c r="A3013" t="str" cm="1">
        <f t="array" ref="A3013">IF(INDEX(CUEs!$A:$A,INT((ROW()-1)/7)*57+MOD(ROW()-1,7)+50)&lt;&gt;"","set "&amp;INDEX(CUEs!$A:$A,INT((ROW()-1)/7)*57+MOD(ROW()-1,7)+50)&amp;"=/ s "&amp;INDEX(CUEs!$B:$B,INT((ROW()-1)/7)*57+MOD(ROW()-1,7)+50),"")</f>
        <v/>
      </c>
    </row>
    <row r="3014" spans="1:1" x14ac:dyDescent="0.25">
      <c r="A3014" t="str" cm="1">
        <f t="array" ref="A3014">IF(INDEX(CUEs!$A:$A,INT((ROW()-1)/7)*57+MOD(ROW()-1,7)+50)&lt;&gt;"","set "&amp;INDEX(CUEs!$A:$A,INT((ROW()-1)/7)*57+MOD(ROW()-1,7)+50)&amp;"=/ s "&amp;INDEX(CUEs!$B:$B,INT((ROW()-1)/7)*57+MOD(ROW()-1,7)+50),"")</f>
        <v/>
      </c>
    </row>
    <row r="3015" spans="1:1" x14ac:dyDescent="0.25">
      <c r="A3015" t="str" cm="1">
        <f t="array" ref="A3015">IF(INDEX(CUEs!$A:$A,INT((ROW()-1)/7)*57+MOD(ROW()-1,7)+50)&lt;&gt;"","set "&amp;INDEX(CUEs!$A:$A,INT((ROW()-1)/7)*57+MOD(ROW()-1,7)+50)&amp;"=/ s "&amp;INDEX(CUEs!$B:$B,INT((ROW()-1)/7)*57+MOD(ROW()-1,7)+50),"")</f>
        <v/>
      </c>
    </row>
    <row r="3016" spans="1:1" x14ac:dyDescent="0.25">
      <c r="A3016" t="str" cm="1">
        <f t="array" ref="A3016">IF(INDEX(CUEs!$A:$A,INT((ROW()-1)/7)*57+MOD(ROW()-1,7)+50)&lt;&gt;"","set "&amp;INDEX(CUEs!$A:$A,INT((ROW()-1)/7)*57+MOD(ROW()-1,7)+50)&amp;"=/ s "&amp;INDEX(CUEs!$B:$B,INT((ROW()-1)/7)*57+MOD(ROW()-1,7)+50),"")</f>
        <v/>
      </c>
    </row>
    <row r="3017" spans="1:1" x14ac:dyDescent="0.25">
      <c r="A3017" t="str" cm="1">
        <f t="array" ref="A3017">IF(INDEX(CUEs!$A:$A,INT((ROW()-1)/7)*57+MOD(ROW()-1,7)+50)&lt;&gt;"","set "&amp;INDEX(CUEs!$A:$A,INT((ROW()-1)/7)*57+MOD(ROW()-1,7)+50)&amp;"=/ s "&amp;INDEX(CUEs!$B:$B,INT((ROW()-1)/7)*57+MOD(ROW()-1,7)+50),"")</f>
        <v/>
      </c>
    </row>
    <row r="3018" spans="1:1" x14ac:dyDescent="0.25">
      <c r="A3018" t="str" cm="1">
        <f t="array" ref="A3018">IF(INDEX(CUEs!$A:$A,INT((ROW()-1)/7)*57+MOD(ROW()-1,7)+50)&lt;&gt;"","set "&amp;INDEX(CUEs!$A:$A,INT((ROW()-1)/7)*57+MOD(ROW()-1,7)+50)&amp;"=/ s "&amp;INDEX(CUEs!$B:$B,INT((ROW()-1)/7)*57+MOD(ROW()-1,7)+50),"")</f>
        <v/>
      </c>
    </row>
    <row r="3019" spans="1:1" x14ac:dyDescent="0.25">
      <c r="A3019" t="str" cm="1">
        <f t="array" ref="A3019">IF(INDEX(CUEs!$A:$A,INT((ROW()-1)/7)*57+MOD(ROW()-1,7)+50)&lt;&gt;"","set "&amp;INDEX(CUEs!$A:$A,INT((ROW()-1)/7)*57+MOD(ROW()-1,7)+50)&amp;"=/ s "&amp;INDEX(CUEs!$B:$B,INT((ROW()-1)/7)*57+MOD(ROW()-1,7)+50),"")</f>
        <v/>
      </c>
    </row>
    <row r="3020" spans="1:1" x14ac:dyDescent="0.25">
      <c r="A3020" t="str" cm="1">
        <f t="array" ref="A3020">IF(INDEX(CUEs!$A:$A,INT((ROW()-1)/7)*57+MOD(ROW()-1,7)+50)&lt;&gt;"","set "&amp;INDEX(CUEs!$A:$A,INT((ROW()-1)/7)*57+MOD(ROW()-1,7)+50)&amp;"=/ s "&amp;INDEX(CUEs!$B:$B,INT((ROW()-1)/7)*57+MOD(ROW()-1,7)+50),"")</f>
        <v/>
      </c>
    </row>
    <row r="3021" spans="1:1" x14ac:dyDescent="0.25">
      <c r="A3021" t="str" cm="1">
        <f t="array" ref="A3021">IF(INDEX(CUEs!$A:$A,INT((ROW()-1)/7)*57+MOD(ROW()-1,7)+50)&lt;&gt;"","set "&amp;INDEX(CUEs!$A:$A,INT((ROW()-1)/7)*57+MOD(ROW()-1,7)+50)&amp;"=/ s "&amp;INDEX(CUEs!$B:$B,INT((ROW()-1)/7)*57+MOD(ROW()-1,7)+50),"")</f>
        <v/>
      </c>
    </row>
    <row r="3022" spans="1:1" x14ac:dyDescent="0.25">
      <c r="A3022" t="str" cm="1">
        <f t="array" ref="A3022">IF(INDEX(CUEs!$A:$A,INT((ROW()-1)/7)*57+MOD(ROW()-1,7)+50)&lt;&gt;"","set "&amp;INDEX(CUEs!$A:$A,INT((ROW()-1)/7)*57+MOD(ROW()-1,7)+50)&amp;"=/ s "&amp;INDEX(CUEs!$B:$B,INT((ROW()-1)/7)*57+MOD(ROW()-1,7)+50),"")</f>
        <v/>
      </c>
    </row>
    <row r="3023" spans="1:1" x14ac:dyDescent="0.25">
      <c r="A3023" t="str" cm="1">
        <f t="array" ref="A3023">IF(INDEX(CUEs!$A:$A,INT((ROW()-1)/7)*57+MOD(ROW()-1,7)+50)&lt;&gt;"","set "&amp;INDEX(CUEs!$A:$A,INT((ROW()-1)/7)*57+MOD(ROW()-1,7)+50)&amp;"=/ s "&amp;INDEX(CUEs!$B:$B,INT((ROW()-1)/7)*57+MOD(ROW()-1,7)+50),"")</f>
        <v/>
      </c>
    </row>
    <row r="3024" spans="1:1" x14ac:dyDescent="0.25">
      <c r="A3024" t="str" cm="1">
        <f t="array" ref="A3024">IF(INDEX(CUEs!$A:$A,INT((ROW()-1)/7)*57+MOD(ROW()-1,7)+50)&lt;&gt;"","set "&amp;INDEX(CUEs!$A:$A,INT((ROW()-1)/7)*57+MOD(ROW()-1,7)+50)&amp;"=/ s "&amp;INDEX(CUEs!$B:$B,INT((ROW()-1)/7)*57+MOD(ROW()-1,7)+50),"")</f>
        <v/>
      </c>
    </row>
    <row r="3025" spans="1:1" x14ac:dyDescent="0.25">
      <c r="A3025" t="str" cm="1">
        <f t="array" ref="A3025">IF(INDEX(CUEs!$A:$A,INT((ROW()-1)/7)*57+MOD(ROW()-1,7)+50)&lt;&gt;"","set "&amp;INDEX(CUEs!$A:$A,INT((ROW()-1)/7)*57+MOD(ROW()-1,7)+50)&amp;"=/ s "&amp;INDEX(CUEs!$B:$B,INT((ROW()-1)/7)*57+MOD(ROW()-1,7)+50),"")</f>
        <v/>
      </c>
    </row>
    <row r="3026" spans="1:1" x14ac:dyDescent="0.25">
      <c r="A3026" t="str" cm="1">
        <f t="array" ref="A3026">IF(INDEX(CUEs!$A:$A,INT((ROW()-1)/7)*57+MOD(ROW()-1,7)+50)&lt;&gt;"","set "&amp;INDEX(CUEs!$A:$A,INT((ROW()-1)/7)*57+MOD(ROW()-1,7)+50)&amp;"=/ s "&amp;INDEX(CUEs!$B:$B,INT((ROW()-1)/7)*57+MOD(ROW()-1,7)+50),"")</f>
        <v/>
      </c>
    </row>
    <row r="3027" spans="1:1" x14ac:dyDescent="0.25">
      <c r="A3027" t="str" cm="1">
        <f t="array" ref="A3027">IF(INDEX(CUEs!$A:$A,INT((ROW()-1)/7)*57+MOD(ROW()-1,7)+50)&lt;&gt;"","set "&amp;INDEX(CUEs!$A:$A,INT((ROW()-1)/7)*57+MOD(ROW()-1,7)+50)&amp;"=/ s "&amp;INDEX(CUEs!$B:$B,INT((ROW()-1)/7)*57+MOD(ROW()-1,7)+50),"")</f>
        <v/>
      </c>
    </row>
    <row r="3028" spans="1:1" x14ac:dyDescent="0.25">
      <c r="A3028" t="str" cm="1">
        <f t="array" ref="A3028">IF(INDEX(CUEs!$A:$A,INT((ROW()-1)/7)*57+MOD(ROW()-1,7)+50)&lt;&gt;"","set "&amp;INDEX(CUEs!$A:$A,INT((ROW()-1)/7)*57+MOD(ROW()-1,7)+50)&amp;"=/ s "&amp;INDEX(CUEs!$B:$B,INT((ROW()-1)/7)*57+MOD(ROW()-1,7)+50),"")</f>
        <v/>
      </c>
    </row>
    <row r="3029" spans="1:1" x14ac:dyDescent="0.25">
      <c r="A3029" t="str" cm="1">
        <f t="array" ref="A3029">IF(INDEX(CUEs!$A:$A,INT((ROW()-1)/7)*57+MOD(ROW()-1,7)+50)&lt;&gt;"","set "&amp;INDEX(CUEs!$A:$A,INT((ROW()-1)/7)*57+MOD(ROW()-1,7)+50)&amp;"=/ s "&amp;INDEX(CUEs!$B:$B,INT((ROW()-1)/7)*57+MOD(ROW()-1,7)+50),"")</f>
        <v/>
      </c>
    </row>
    <row r="3030" spans="1:1" x14ac:dyDescent="0.25">
      <c r="A3030" t="str" cm="1">
        <f t="array" ref="A3030">IF(INDEX(CUEs!$A:$A,INT((ROW()-1)/7)*57+MOD(ROW()-1,7)+50)&lt;&gt;"","set "&amp;INDEX(CUEs!$A:$A,INT((ROW()-1)/7)*57+MOD(ROW()-1,7)+50)&amp;"=/ s "&amp;INDEX(CUEs!$B:$B,INT((ROW()-1)/7)*57+MOD(ROW()-1,7)+50),"")</f>
        <v/>
      </c>
    </row>
    <row r="3031" spans="1:1" x14ac:dyDescent="0.25">
      <c r="A3031" t="str" cm="1">
        <f t="array" ref="A3031">IF(INDEX(CUEs!$A:$A,INT((ROW()-1)/7)*57+MOD(ROW()-1,7)+50)&lt;&gt;"","set "&amp;INDEX(CUEs!$A:$A,INT((ROW()-1)/7)*57+MOD(ROW()-1,7)+50)&amp;"=/ s "&amp;INDEX(CUEs!$B:$B,INT((ROW()-1)/7)*57+MOD(ROW()-1,7)+50),"")</f>
        <v/>
      </c>
    </row>
    <row r="3032" spans="1:1" x14ac:dyDescent="0.25">
      <c r="A3032" t="str" cm="1">
        <f t="array" ref="A3032">IF(INDEX(CUEs!$A:$A,INT((ROW()-1)/7)*57+MOD(ROW()-1,7)+50)&lt;&gt;"","set "&amp;INDEX(CUEs!$A:$A,INT((ROW()-1)/7)*57+MOD(ROW()-1,7)+50)&amp;"=/ s "&amp;INDEX(CUEs!$B:$B,INT((ROW()-1)/7)*57+MOD(ROW()-1,7)+50),"")</f>
        <v/>
      </c>
    </row>
    <row r="3033" spans="1:1" x14ac:dyDescent="0.25">
      <c r="A3033" t="str" cm="1">
        <f t="array" ref="A3033">IF(INDEX(CUEs!$A:$A,INT((ROW()-1)/7)*57+MOD(ROW()-1,7)+50)&lt;&gt;"","set "&amp;INDEX(CUEs!$A:$A,INT((ROW()-1)/7)*57+MOD(ROW()-1,7)+50)&amp;"=/ s "&amp;INDEX(CUEs!$B:$B,INT((ROW()-1)/7)*57+MOD(ROW()-1,7)+50),"")</f>
        <v/>
      </c>
    </row>
    <row r="3034" spans="1:1" x14ac:dyDescent="0.25">
      <c r="A3034" t="str" cm="1">
        <f t="array" ref="A3034">IF(INDEX(CUEs!$A:$A,INT((ROW()-1)/7)*57+MOD(ROW()-1,7)+50)&lt;&gt;"","set "&amp;INDEX(CUEs!$A:$A,INT((ROW()-1)/7)*57+MOD(ROW()-1,7)+50)&amp;"=/ s "&amp;INDEX(CUEs!$B:$B,INT((ROW()-1)/7)*57+MOD(ROW()-1,7)+50),"")</f>
        <v/>
      </c>
    </row>
    <row r="3035" spans="1:1" x14ac:dyDescent="0.25">
      <c r="A3035" t="str" cm="1">
        <f t="array" ref="A3035">IF(INDEX(CUEs!$A:$A,INT((ROW()-1)/7)*57+MOD(ROW()-1,7)+50)&lt;&gt;"","set "&amp;INDEX(CUEs!$A:$A,INT((ROW()-1)/7)*57+MOD(ROW()-1,7)+50)&amp;"=/ s "&amp;INDEX(CUEs!$B:$B,INT((ROW()-1)/7)*57+MOD(ROW()-1,7)+50),"")</f>
        <v/>
      </c>
    </row>
    <row r="3036" spans="1:1" x14ac:dyDescent="0.25">
      <c r="A3036" t="str" cm="1">
        <f t="array" ref="A3036">IF(INDEX(CUEs!$A:$A,INT((ROW()-1)/7)*57+MOD(ROW()-1,7)+50)&lt;&gt;"","set "&amp;INDEX(CUEs!$A:$A,INT((ROW()-1)/7)*57+MOD(ROW()-1,7)+50)&amp;"=/ s "&amp;INDEX(CUEs!$B:$B,INT((ROW()-1)/7)*57+MOD(ROW()-1,7)+50),"")</f>
        <v/>
      </c>
    </row>
    <row r="3037" spans="1:1" x14ac:dyDescent="0.25">
      <c r="A3037" t="str" cm="1">
        <f t="array" ref="A3037">IF(INDEX(CUEs!$A:$A,INT((ROW()-1)/7)*57+MOD(ROW()-1,7)+50)&lt;&gt;"","set "&amp;INDEX(CUEs!$A:$A,INT((ROW()-1)/7)*57+MOD(ROW()-1,7)+50)&amp;"=/ s "&amp;INDEX(CUEs!$B:$B,INT((ROW()-1)/7)*57+MOD(ROW()-1,7)+50),"")</f>
        <v/>
      </c>
    </row>
    <row r="3038" spans="1:1" x14ac:dyDescent="0.25">
      <c r="A3038" t="str" cm="1">
        <f t="array" ref="A3038">IF(INDEX(CUEs!$A:$A,INT((ROW()-1)/7)*57+MOD(ROW()-1,7)+50)&lt;&gt;"","set "&amp;INDEX(CUEs!$A:$A,INT((ROW()-1)/7)*57+MOD(ROW()-1,7)+50)&amp;"=/ s "&amp;INDEX(CUEs!$B:$B,INT((ROW()-1)/7)*57+MOD(ROW()-1,7)+50),"")</f>
        <v/>
      </c>
    </row>
    <row r="3039" spans="1:1" x14ac:dyDescent="0.25">
      <c r="A3039" t="str" cm="1">
        <f t="array" ref="A3039">IF(INDEX(CUEs!$A:$A,INT((ROW()-1)/7)*57+MOD(ROW()-1,7)+50)&lt;&gt;"","set "&amp;INDEX(CUEs!$A:$A,INT((ROW()-1)/7)*57+MOD(ROW()-1,7)+50)&amp;"=/ s "&amp;INDEX(CUEs!$B:$B,INT((ROW()-1)/7)*57+MOD(ROW()-1,7)+50),"")</f>
        <v/>
      </c>
    </row>
    <row r="3040" spans="1:1" x14ac:dyDescent="0.25">
      <c r="A3040" t="str" cm="1">
        <f t="array" ref="A3040">IF(INDEX(CUEs!$A:$A,INT((ROW()-1)/7)*57+MOD(ROW()-1,7)+50)&lt;&gt;"","set "&amp;INDEX(CUEs!$A:$A,INT((ROW()-1)/7)*57+MOD(ROW()-1,7)+50)&amp;"=/ s "&amp;INDEX(CUEs!$B:$B,INT((ROW()-1)/7)*57+MOD(ROW()-1,7)+50),"")</f>
        <v/>
      </c>
    </row>
    <row r="3041" spans="1:1" x14ac:dyDescent="0.25">
      <c r="A3041" t="str" cm="1">
        <f t="array" ref="A3041">IF(INDEX(CUEs!$A:$A,INT((ROW()-1)/7)*57+MOD(ROW()-1,7)+50)&lt;&gt;"","set "&amp;INDEX(CUEs!$A:$A,INT((ROW()-1)/7)*57+MOD(ROW()-1,7)+50)&amp;"=/ s "&amp;INDEX(CUEs!$B:$B,INT((ROW()-1)/7)*57+MOD(ROW()-1,7)+50),"")</f>
        <v/>
      </c>
    </row>
    <row r="3042" spans="1:1" x14ac:dyDescent="0.25">
      <c r="A3042" t="str" cm="1">
        <f t="array" ref="A3042">IF(INDEX(CUEs!$A:$A,INT((ROW()-1)/7)*57+MOD(ROW()-1,7)+50)&lt;&gt;"","set "&amp;INDEX(CUEs!$A:$A,INT((ROW()-1)/7)*57+MOD(ROW()-1,7)+50)&amp;"=/ s "&amp;INDEX(CUEs!$B:$B,INT((ROW()-1)/7)*57+MOD(ROW()-1,7)+50),"")</f>
        <v/>
      </c>
    </row>
    <row r="3043" spans="1:1" x14ac:dyDescent="0.25">
      <c r="A3043" t="str" cm="1">
        <f t="array" ref="A3043">IF(INDEX(CUEs!$A:$A,INT((ROW()-1)/7)*57+MOD(ROW()-1,7)+50)&lt;&gt;"","set "&amp;INDEX(CUEs!$A:$A,INT((ROW()-1)/7)*57+MOD(ROW()-1,7)+50)&amp;"=/ s "&amp;INDEX(CUEs!$B:$B,INT((ROW()-1)/7)*57+MOD(ROW()-1,7)+50),"")</f>
        <v/>
      </c>
    </row>
    <row r="3044" spans="1:1" x14ac:dyDescent="0.25">
      <c r="A3044" t="str" cm="1">
        <f t="array" ref="A3044">IF(INDEX(CUEs!$A:$A,INT((ROW()-1)/7)*57+MOD(ROW()-1,7)+50)&lt;&gt;"","set "&amp;INDEX(CUEs!$A:$A,INT((ROW()-1)/7)*57+MOD(ROW()-1,7)+50)&amp;"=/ s "&amp;INDEX(CUEs!$B:$B,INT((ROW()-1)/7)*57+MOD(ROW()-1,7)+50),"")</f>
        <v/>
      </c>
    </row>
    <row r="3045" spans="1:1" x14ac:dyDescent="0.25">
      <c r="A3045" t="str" cm="1">
        <f t="array" ref="A3045">IF(INDEX(CUEs!$A:$A,INT((ROW()-1)/7)*57+MOD(ROW()-1,7)+50)&lt;&gt;"","set "&amp;INDEX(CUEs!$A:$A,INT((ROW()-1)/7)*57+MOD(ROW()-1,7)+50)&amp;"=/ s "&amp;INDEX(CUEs!$B:$B,INT((ROW()-1)/7)*57+MOD(ROW()-1,7)+50),"")</f>
        <v/>
      </c>
    </row>
    <row r="3046" spans="1:1" x14ac:dyDescent="0.25">
      <c r="A3046" t="str" cm="1">
        <f t="array" ref="A3046">IF(INDEX(CUEs!$A:$A,INT((ROW()-1)/7)*57+MOD(ROW()-1,7)+50)&lt;&gt;"","set "&amp;INDEX(CUEs!$A:$A,INT((ROW()-1)/7)*57+MOD(ROW()-1,7)+50)&amp;"=/ s "&amp;INDEX(CUEs!$B:$B,INT((ROW()-1)/7)*57+MOD(ROW()-1,7)+50),"")</f>
        <v/>
      </c>
    </row>
    <row r="3047" spans="1:1" x14ac:dyDescent="0.25">
      <c r="A3047" t="str" cm="1">
        <f t="array" ref="A3047">IF(INDEX(CUEs!$A:$A,INT((ROW()-1)/7)*57+MOD(ROW()-1,7)+50)&lt;&gt;"","set "&amp;INDEX(CUEs!$A:$A,INT((ROW()-1)/7)*57+MOD(ROW()-1,7)+50)&amp;"=/ s "&amp;INDEX(CUEs!$B:$B,INT((ROW()-1)/7)*57+MOD(ROW()-1,7)+50),"")</f>
        <v/>
      </c>
    </row>
    <row r="3048" spans="1:1" x14ac:dyDescent="0.25">
      <c r="A3048" t="str" cm="1">
        <f t="array" ref="A3048">IF(INDEX(CUEs!$A:$A,INT((ROW()-1)/7)*57+MOD(ROW()-1,7)+50)&lt;&gt;"","set "&amp;INDEX(CUEs!$A:$A,INT((ROW()-1)/7)*57+MOD(ROW()-1,7)+50)&amp;"=/ s "&amp;INDEX(CUEs!$B:$B,INT((ROW()-1)/7)*57+MOD(ROW()-1,7)+50),"")</f>
        <v/>
      </c>
    </row>
    <row r="3049" spans="1:1" x14ac:dyDescent="0.25">
      <c r="A3049" t="str" cm="1">
        <f t="array" ref="A3049">IF(INDEX(CUEs!$A:$A,INT((ROW()-1)/7)*57+MOD(ROW()-1,7)+50)&lt;&gt;"","set "&amp;INDEX(CUEs!$A:$A,INT((ROW()-1)/7)*57+MOD(ROW()-1,7)+50)&amp;"=/ s "&amp;INDEX(CUEs!$B:$B,INT((ROW()-1)/7)*57+MOD(ROW()-1,7)+50),"")</f>
        <v/>
      </c>
    </row>
    <row r="3050" spans="1:1" x14ac:dyDescent="0.25">
      <c r="A3050" t="str" cm="1">
        <f t="array" ref="A3050">IF(INDEX(CUEs!$A:$A,INT((ROW()-1)/7)*57+MOD(ROW()-1,7)+50)&lt;&gt;"","set "&amp;INDEX(CUEs!$A:$A,INT((ROW()-1)/7)*57+MOD(ROW()-1,7)+50)&amp;"=/ s "&amp;INDEX(CUEs!$B:$B,INT((ROW()-1)/7)*57+MOD(ROW()-1,7)+50),"")</f>
        <v/>
      </c>
    </row>
    <row r="3051" spans="1:1" x14ac:dyDescent="0.25">
      <c r="A3051" t="str" cm="1">
        <f t="array" ref="A3051">IF(INDEX(CUEs!$A:$A,INT((ROW()-1)/7)*57+MOD(ROW()-1,7)+50)&lt;&gt;"","set "&amp;INDEX(CUEs!$A:$A,INT((ROW()-1)/7)*57+MOD(ROW()-1,7)+50)&amp;"=/ s "&amp;INDEX(CUEs!$B:$B,INT((ROW()-1)/7)*57+MOD(ROW()-1,7)+50),"")</f>
        <v/>
      </c>
    </row>
    <row r="3052" spans="1:1" x14ac:dyDescent="0.25">
      <c r="A3052" t="str" cm="1">
        <f t="array" ref="A3052">IF(INDEX(CUEs!$A:$A,INT((ROW()-1)/7)*57+MOD(ROW()-1,7)+50)&lt;&gt;"","set "&amp;INDEX(CUEs!$A:$A,INT((ROW()-1)/7)*57+MOD(ROW()-1,7)+50)&amp;"=/ s "&amp;INDEX(CUEs!$B:$B,INT((ROW()-1)/7)*57+MOD(ROW()-1,7)+50),"")</f>
        <v/>
      </c>
    </row>
    <row r="3053" spans="1:1" x14ac:dyDescent="0.25">
      <c r="A3053" t="str" cm="1">
        <f t="array" ref="A3053">IF(INDEX(CUEs!$A:$A,INT((ROW()-1)/7)*57+MOD(ROW()-1,7)+50)&lt;&gt;"","set "&amp;INDEX(CUEs!$A:$A,INT((ROW()-1)/7)*57+MOD(ROW()-1,7)+50)&amp;"=/ s "&amp;INDEX(CUEs!$B:$B,INT((ROW()-1)/7)*57+MOD(ROW()-1,7)+50),"")</f>
        <v/>
      </c>
    </row>
    <row r="3054" spans="1:1" x14ac:dyDescent="0.25">
      <c r="A3054" t="str" cm="1">
        <f t="array" ref="A3054">IF(INDEX(CUEs!$A:$A,INT((ROW()-1)/7)*57+MOD(ROW()-1,7)+50)&lt;&gt;"","set "&amp;INDEX(CUEs!$A:$A,INT((ROW()-1)/7)*57+MOD(ROW()-1,7)+50)&amp;"=/ s "&amp;INDEX(CUEs!$B:$B,INT((ROW()-1)/7)*57+MOD(ROW()-1,7)+50),"")</f>
        <v/>
      </c>
    </row>
    <row r="3055" spans="1:1" x14ac:dyDescent="0.25">
      <c r="A3055" t="str" cm="1">
        <f t="array" ref="A3055">IF(INDEX(CUEs!$A:$A,INT((ROW()-1)/7)*57+MOD(ROW()-1,7)+50)&lt;&gt;"","set "&amp;INDEX(CUEs!$A:$A,INT((ROW()-1)/7)*57+MOD(ROW()-1,7)+50)&amp;"=/ s "&amp;INDEX(CUEs!$B:$B,INT((ROW()-1)/7)*57+MOD(ROW()-1,7)+50),"")</f>
        <v/>
      </c>
    </row>
    <row r="3056" spans="1:1" x14ac:dyDescent="0.25">
      <c r="A3056" t="str" cm="1">
        <f t="array" ref="A3056">IF(INDEX(CUEs!$A:$A,INT((ROW()-1)/7)*57+MOD(ROW()-1,7)+50)&lt;&gt;"","set "&amp;INDEX(CUEs!$A:$A,INT((ROW()-1)/7)*57+MOD(ROW()-1,7)+50)&amp;"=/ s "&amp;INDEX(CUEs!$B:$B,INT((ROW()-1)/7)*57+MOD(ROW()-1,7)+50),"")</f>
        <v/>
      </c>
    </row>
    <row r="3057" spans="1:1" x14ac:dyDescent="0.25">
      <c r="A3057" t="str" cm="1">
        <f t="array" ref="A3057">IF(INDEX(CUEs!$A:$A,INT((ROW()-1)/7)*57+MOD(ROW()-1,7)+50)&lt;&gt;"","set "&amp;INDEX(CUEs!$A:$A,INT((ROW()-1)/7)*57+MOD(ROW()-1,7)+50)&amp;"=/ s "&amp;INDEX(CUEs!$B:$B,INT((ROW()-1)/7)*57+MOD(ROW()-1,7)+50),"")</f>
        <v/>
      </c>
    </row>
    <row r="3058" spans="1:1" x14ac:dyDescent="0.25">
      <c r="A3058" t="str" cm="1">
        <f t="array" ref="A3058">IF(INDEX(CUEs!$A:$A,INT((ROW()-1)/7)*57+MOD(ROW()-1,7)+50)&lt;&gt;"","set "&amp;INDEX(CUEs!$A:$A,INT((ROW()-1)/7)*57+MOD(ROW()-1,7)+50)&amp;"=/ s "&amp;INDEX(CUEs!$B:$B,INT((ROW()-1)/7)*57+MOD(ROW()-1,7)+50),"")</f>
        <v/>
      </c>
    </row>
    <row r="3059" spans="1:1" x14ac:dyDescent="0.25">
      <c r="A3059" t="str" cm="1">
        <f t="array" ref="A3059">IF(INDEX(CUEs!$A:$A,INT((ROW()-1)/7)*57+MOD(ROW()-1,7)+50)&lt;&gt;"","set "&amp;INDEX(CUEs!$A:$A,INT((ROW()-1)/7)*57+MOD(ROW()-1,7)+50)&amp;"=/ s "&amp;INDEX(CUEs!$B:$B,INT((ROW()-1)/7)*57+MOD(ROW()-1,7)+50),"")</f>
        <v/>
      </c>
    </row>
    <row r="3060" spans="1:1" x14ac:dyDescent="0.25">
      <c r="A3060" t="str" cm="1">
        <f t="array" ref="A3060">IF(INDEX(CUEs!$A:$A,INT((ROW()-1)/7)*57+MOD(ROW()-1,7)+50)&lt;&gt;"","set "&amp;INDEX(CUEs!$A:$A,INT((ROW()-1)/7)*57+MOD(ROW()-1,7)+50)&amp;"=/ s "&amp;INDEX(CUEs!$B:$B,INT((ROW()-1)/7)*57+MOD(ROW()-1,7)+50),"")</f>
        <v/>
      </c>
    </row>
    <row r="3061" spans="1:1" x14ac:dyDescent="0.25">
      <c r="A3061" t="str" cm="1">
        <f t="array" ref="A3061">IF(INDEX(CUEs!$A:$A,INT((ROW()-1)/7)*57+MOD(ROW()-1,7)+50)&lt;&gt;"","set "&amp;INDEX(CUEs!$A:$A,INT((ROW()-1)/7)*57+MOD(ROW()-1,7)+50)&amp;"=/ s "&amp;INDEX(CUEs!$B:$B,INT((ROW()-1)/7)*57+MOD(ROW()-1,7)+50),"")</f>
        <v/>
      </c>
    </row>
    <row r="3062" spans="1:1" x14ac:dyDescent="0.25">
      <c r="A3062" t="str" cm="1">
        <f t="array" ref="A3062">IF(INDEX(CUEs!$A:$A,INT((ROW()-1)/7)*57+MOD(ROW()-1,7)+50)&lt;&gt;"","set "&amp;INDEX(CUEs!$A:$A,INT((ROW()-1)/7)*57+MOD(ROW()-1,7)+50)&amp;"=/ s "&amp;INDEX(CUEs!$B:$B,INT((ROW()-1)/7)*57+MOD(ROW()-1,7)+50),"")</f>
        <v/>
      </c>
    </row>
    <row r="3063" spans="1:1" x14ac:dyDescent="0.25">
      <c r="A3063" t="str" cm="1">
        <f t="array" ref="A3063">IF(INDEX(CUEs!$A:$A,INT((ROW()-1)/7)*57+MOD(ROW()-1,7)+50)&lt;&gt;"","set "&amp;INDEX(CUEs!$A:$A,INT((ROW()-1)/7)*57+MOD(ROW()-1,7)+50)&amp;"=/ s "&amp;INDEX(CUEs!$B:$B,INT((ROW()-1)/7)*57+MOD(ROW()-1,7)+50),"")</f>
        <v/>
      </c>
    </row>
    <row r="3064" spans="1:1" x14ac:dyDescent="0.25">
      <c r="A3064" t="str" cm="1">
        <f t="array" ref="A3064">IF(INDEX(CUEs!$A:$A,INT((ROW()-1)/7)*57+MOD(ROW()-1,7)+50)&lt;&gt;"","set "&amp;INDEX(CUEs!$A:$A,INT((ROW()-1)/7)*57+MOD(ROW()-1,7)+50)&amp;"=/ s "&amp;INDEX(CUEs!$B:$B,INT((ROW()-1)/7)*57+MOD(ROW()-1,7)+50),"")</f>
        <v/>
      </c>
    </row>
    <row r="3065" spans="1:1" x14ac:dyDescent="0.25">
      <c r="A3065" t="str" cm="1">
        <f t="array" ref="A3065">IF(INDEX(CUEs!$A:$A,INT((ROW()-1)/7)*57+MOD(ROW()-1,7)+50)&lt;&gt;"","set "&amp;INDEX(CUEs!$A:$A,INT((ROW()-1)/7)*57+MOD(ROW()-1,7)+50)&amp;"=/ s "&amp;INDEX(CUEs!$B:$B,INT((ROW()-1)/7)*57+MOD(ROW()-1,7)+50),"")</f>
        <v/>
      </c>
    </row>
    <row r="3066" spans="1:1" x14ac:dyDescent="0.25">
      <c r="A3066" t="str" cm="1">
        <f t="array" ref="A3066">IF(INDEX(CUEs!$A:$A,INT((ROW()-1)/7)*57+MOD(ROW()-1,7)+50)&lt;&gt;"","set "&amp;INDEX(CUEs!$A:$A,INT((ROW()-1)/7)*57+MOD(ROW()-1,7)+50)&amp;"=/ s "&amp;INDEX(CUEs!$B:$B,INT((ROW()-1)/7)*57+MOD(ROW()-1,7)+50),"")</f>
        <v/>
      </c>
    </row>
    <row r="3067" spans="1:1" x14ac:dyDescent="0.25">
      <c r="A3067" t="str" cm="1">
        <f t="array" ref="A3067">IF(INDEX(CUEs!$A:$A,INT((ROW()-1)/7)*57+MOD(ROW()-1,7)+50)&lt;&gt;"","set "&amp;INDEX(CUEs!$A:$A,INT((ROW()-1)/7)*57+MOD(ROW()-1,7)+50)&amp;"=/ s "&amp;INDEX(CUEs!$B:$B,INT((ROW()-1)/7)*57+MOD(ROW()-1,7)+50),"")</f>
        <v/>
      </c>
    </row>
    <row r="3068" spans="1:1" x14ac:dyDescent="0.25">
      <c r="A3068" t="str" cm="1">
        <f t="array" ref="A3068">IF(INDEX(CUEs!$A:$A,INT((ROW()-1)/7)*57+MOD(ROW()-1,7)+50)&lt;&gt;"","set "&amp;INDEX(CUEs!$A:$A,INT((ROW()-1)/7)*57+MOD(ROW()-1,7)+50)&amp;"=/ s "&amp;INDEX(CUEs!$B:$B,INT((ROW()-1)/7)*57+MOD(ROW()-1,7)+50),"")</f>
        <v/>
      </c>
    </row>
    <row r="3069" spans="1:1" x14ac:dyDescent="0.25">
      <c r="A3069" t="str" cm="1">
        <f t="array" ref="A3069">IF(INDEX(CUEs!$A:$A,INT((ROW()-1)/7)*57+MOD(ROW()-1,7)+50)&lt;&gt;"","set "&amp;INDEX(CUEs!$A:$A,INT((ROW()-1)/7)*57+MOD(ROW()-1,7)+50)&amp;"=/ s "&amp;INDEX(CUEs!$B:$B,INT((ROW()-1)/7)*57+MOD(ROW()-1,7)+50),"")</f>
        <v/>
      </c>
    </row>
    <row r="3070" spans="1:1" x14ac:dyDescent="0.25">
      <c r="A3070" t="str" cm="1">
        <f t="array" ref="A3070">IF(INDEX(CUEs!$A:$A,INT((ROW()-1)/7)*57+MOD(ROW()-1,7)+50)&lt;&gt;"","set "&amp;INDEX(CUEs!$A:$A,INT((ROW()-1)/7)*57+MOD(ROW()-1,7)+50)&amp;"=/ s "&amp;INDEX(CUEs!$B:$B,INT((ROW()-1)/7)*57+MOD(ROW()-1,7)+50),"")</f>
        <v/>
      </c>
    </row>
    <row r="3071" spans="1:1" x14ac:dyDescent="0.25">
      <c r="A3071" t="str" cm="1">
        <f t="array" ref="A3071">IF(INDEX(CUEs!$A:$A,INT((ROW()-1)/7)*57+MOD(ROW()-1,7)+50)&lt;&gt;"","set "&amp;INDEX(CUEs!$A:$A,INT((ROW()-1)/7)*57+MOD(ROW()-1,7)+50)&amp;"=/ s "&amp;INDEX(CUEs!$B:$B,INT((ROW()-1)/7)*57+MOD(ROW()-1,7)+50),"")</f>
        <v/>
      </c>
    </row>
    <row r="3072" spans="1:1" x14ac:dyDescent="0.25">
      <c r="A3072" t="str" cm="1">
        <f t="array" ref="A3072">IF(INDEX(CUEs!$A:$A,INT((ROW()-1)/7)*57+MOD(ROW()-1,7)+50)&lt;&gt;"","set "&amp;INDEX(CUEs!$A:$A,INT((ROW()-1)/7)*57+MOD(ROW()-1,7)+50)&amp;"=/ s "&amp;INDEX(CUEs!$B:$B,INT((ROW()-1)/7)*57+MOD(ROW()-1,7)+50),"")</f>
        <v/>
      </c>
    </row>
    <row r="3073" spans="1:1" x14ac:dyDescent="0.25">
      <c r="A3073" t="str" cm="1">
        <f t="array" ref="A3073">IF(INDEX(CUEs!$A:$A,INT((ROW()-1)/7)*57+MOD(ROW()-1,7)+50)&lt;&gt;"","set "&amp;INDEX(CUEs!$A:$A,INT((ROW()-1)/7)*57+MOD(ROW()-1,7)+50)&amp;"=/ s "&amp;INDEX(CUEs!$B:$B,INT((ROW()-1)/7)*57+MOD(ROW()-1,7)+50),"")</f>
        <v/>
      </c>
    </row>
    <row r="3074" spans="1:1" x14ac:dyDescent="0.25">
      <c r="A3074" t="str" cm="1">
        <f t="array" ref="A3074">IF(INDEX(CUEs!$A:$A,INT((ROW()-1)/7)*57+MOD(ROW()-1,7)+50)&lt;&gt;"","set "&amp;INDEX(CUEs!$A:$A,INT((ROW()-1)/7)*57+MOD(ROW()-1,7)+50)&amp;"=/ s "&amp;INDEX(CUEs!$B:$B,INT((ROW()-1)/7)*57+MOD(ROW()-1,7)+50),"")</f>
        <v/>
      </c>
    </row>
    <row r="3075" spans="1:1" x14ac:dyDescent="0.25">
      <c r="A3075" t="str" cm="1">
        <f t="array" ref="A3075">IF(INDEX(CUEs!$A:$A,INT((ROW()-1)/7)*57+MOD(ROW()-1,7)+50)&lt;&gt;"","set "&amp;INDEX(CUEs!$A:$A,INT((ROW()-1)/7)*57+MOD(ROW()-1,7)+50)&amp;"=/ s "&amp;INDEX(CUEs!$B:$B,INT((ROW()-1)/7)*57+MOD(ROW()-1,7)+50),"")</f>
        <v/>
      </c>
    </row>
    <row r="3076" spans="1:1" x14ac:dyDescent="0.25">
      <c r="A3076" t="str" cm="1">
        <f t="array" ref="A3076">IF(INDEX(CUEs!$A:$A,INT((ROW()-1)/7)*57+MOD(ROW()-1,7)+50)&lt;&gt;"","set "&amp;INDEX(CUEs!$A:$A,INT((ROW()-1)/7)*57+MOD(ROW()-1,7)+50)&amp;"=/ s "&amp;INDEX(CUEs!$B:$B,INT((ROW()-1)/7)*57+MOD(ROW()-1,7)+50),"")</f>
        <v/>
      </c>
    </row>
    <row r="3077" spans="1:1" x14ac:dyDescent="0.25">
      <c r="A3077" t="str" cm="1">
        <f t="array" ref="A3077">IF(INDEX(CUEs!$A:$A,INT((ROW()-1)/7)*57+MOD(ROW()-1,7)+50)&lt;&gt;"","set "&amp;INDEX(CUEs!$A:$A,INT((ROW()-1)/7)*57+MOD(ROW()-1,7)+50)&amp;"=/ s "&amp;INDEX(CUEs!$B:$B,INT((ROW()-1)/7)*57+MOD(ROW()-1,7)+50),"")</f>
        <v/>
      </c>
    </row>
    <row r="3078" spans="1:1" x14ac:dyDescent="0.25">
      <c r="A3078" t="str" cm="1">
        <f t="array" ref="A3078">IF(INDEX(CUEs!$A:$A,INT((ROW()-1)/7)*57+MOD(ROW()-1,7)+50)&lt;&gt;"","set "&amp;INDEX(CUEs!$A:$A,INT((ROW()-1)/7)*57+MOD(ROW()-1,7)+50)&amp;"=/ s "&amp;INDEX(CUEs!$B:$B,INT((ROW()-1)/7)*57+MOD(ROW()-1,7)+50),"")</f>
        <v/>
      </c>
    </row>
    <row r="3079" spans="1:1" x14ac:dyDescent="0.25">
      <c r="A3079" t="str" cm="1">
        <f t="array" ref="A3079">IF(INDEX(CUEs!$A:$A,INT((ROW()-1)/7)*57+MOD(ROW()-1,7)+50)&lt;&gt;"","set "&amp;INDEX(CUEs!$A:$A,INT((ROW()-1)/7)*57+MOD(ROW()-1,7)+50)&amp;"=/ s "&amp;INDEX(CUEs!$B:$B,INT((ROW()-1)/7)*57+MOD(ROW()-1,7)+50),"")</f>
        <v/>
      </c>
    </row>
    <row r="3080" spans="1:1" x14ac:dyDescent="0.25">
      <c r="A3080" t="str" cm="1">
        <f t="array" ref="A3080">IF(INDEX(CUEs!$A:$A,INT((ROW()-1)/7)*57+MOD(ROW()-1,7)+50)&lt;&gt;"","set "&amp;INDEX(CUEs!$A:$A,INT((ROW()-1)/7)*57+MOD(ROW()-1,7)+50)&amp;"=/ s "&amp;INDEX(CUEs!$B:$B,INT((ROW()-1)/7)*57+MOD(ROW()-1,7)+50),"")</f>
        <v/>
      </c>
    </row>
    <row r="3081" spans="1:1" x14ac:dyDescent="0.25">
      <c r="A3081" t="str" cm="1">
        <f t="array" ref="A3081">IF(INDEX(CUEs!$A:$A,INT((ROW()-1)/7)*57+MOD(ROW()-1,7)+50)&lt;&gt;"","set "&amp;INDEX(CUEs!$A:$A,INT((ROW()-1)/7)*57+MOD(ROW()-1,7)+50)&amp;"=/ s "&amp;INDEX(CUEs!$B:$B,INT((ROW()-1)/7)*57+MOD(ROW()-1,7)+50),"")</f>
        <v/>
      </c>
    </row>
    <row r="3082" spans="1:1" x14ac:dyDescent="0.25">
      <c r="A3082" t="str" cm="1">
        <f t="array" ref="A3082">IF(INDEX(CUEs!$A:$A,INT((ROW()-1)/7)*57+MOD(ROW()-1,7)+50)&lt;&gt;"","set "&amp;INDEX(CUEs!$A:$A,INT((ROW()-1)/7)*57+MOD(ROW()-1,7)+50)&amp;"=/ s "&amp;INDEX(CUEs!$B:$B,INT((ROW()-1)/7)*57+MOD(ROW()-1,7)+50),"")</f>
        <v/>
      </c>
    </row>
    <row r="3083" spans="1:1" x14ac:dyDescent="0.25">
      <c r="A3083" t="str" cm="1">
        <f t="array" ref="A3083">IF(INDEX(CUEs!$A:$A,INT((ROW()-1)/7)*57+MOD(ROW()-1,7)+50)&lt;&gt;"","set "&amp;INDEX(CUEs!$A:$A,INT((ROW()-1)/7)*57+MOD(ROW()-1,7)+50)&amp;"=/ s "&amp;INDEX(CUEs!$B:$B,INT((ROW()-1)/7)*57+MOD(ROW()-1,7)+50),"")</f>
        <v/>
      </c>
    </row>
    <row r="3084" spans="1:1" x14ac:dyDescent="0.25">
      <c r="A3084" t="str" cm="1">
        <f t="array" ref="A3084">IF(INDEX(CUEs!$A:$A,INT((ROW()-1)/7)*57+MOD(ROW()-1,7)+50)&lt;&gt;"","set "&amp;INDEX(CUEs!$A:$A,INT((ROW()-1)/7)*57+MOD(ROW()-1,7)+50)&amp;"=/ s "&amp;INDEX(CUEs!$B:$B,INT((ROW()-1)/7)*57+MOD(ROW()-1,7)+50),"")</f>
        <v/>
      </c>
    </row>
    <row r="3085" spans="1:1" x14ac:dyDescent="0.25">
      <c r="A3085" t="str" cm="1">
        <f t="array" ref="A3085">IF(INDEX(CUEs!$A:$A,INT((ROW()-1)/7)*57+MOD(ROW()-1,7)+50)&lt;&gt;"","set "&amp;INDEX(CUEs!$A:$A,INT((ROW()-1)/7)*57+MOD(ROW()-1,7)+50)&amp;"=/ s "&amp;INDEX(CUEs!$B:$B,INT((ROW()-1)/7)*57+MOD(ROW()-1,7)+50),"")</f>
        <v/>
      </c>
    </row>
    <row r="3086" spans="1:1" x14ac:dyDescent="0.25">
      <c r="A3086" t="str" cm="1">
        <f t="array" ref="A3086">IF(INDEX(CUEs!$A:$A,INT((ROW()-1)/7)*57+MOD(ROW()-1,7)+50)&lt;&gt;"","set "&amp;INDEX(CUEs!$A:$A,INT((ROW()-1)/7)*57+MOD(ROW()-1,7)+50)&amp;"=/ s "&amp;INDEX(CUEs!$B:$B,INT((ROW()-1)/7)*57+MOD(ROW()-1,7)+50),"")</f>
        <v/>
      </c>
    </row>
    <row r="3087" spans="1:1" x14ac:dyDescent="0.25">
      <c r="A3087" t="str" cm="1">
        <f t="array" ref="A3087">IF(INDEX(CUEs!$A:$A,INT((ROW()-1)/7)*57+MOD(ROW()-1,7)+50)&lt;&gt;"","set "&amp;INDEX(CUEs!$A:$A,INT((ROW()-1)/7)*57+MOD(ROW()-1,7)+50)&amp;"=/ s "&amp;INDEX(CUEs!$B:$B,INT((ROW()-1)/7)*57+MOD(ROW()-1,7)+50),"")</f>
        <v/>
      </c>
    </row>
    <row r="3088" spans="1:1" x14ac:dyDescent="0.25">
      <c r="A3088" t="str" cm="1">
        <f t="array" ref="A3088">IF(INDEX(CUEs!$A:$A,INT((ROW()-1)/7)*57+MOD(ROW()-1,7)+50)&lt;&gt;"","set "&amp;INDEX(CUEs!$A:$A,INT((ROW()-1)/7)*57+MOD(ROW()-1,7)+50)&amp;"=/ s "&amp;INDEX(CUEs!$B:$B,INT((ROW()-1)/7)*57+MOD(ROW()-1,7)+50),"")</f>
        <v/>
      </c>
    </row>
    <row r="3089" spans="1:1" x14ac:dyDescent="0.25">
      <c r="A3089" t="str" cm="1">
        <f t="array" ref="A3089">IF(INDEX(CUEs!$A:$A,INT((ROW()-1)/7)*57+MOD(ROW()-1,7)+50)&lt;&gt;"","set "&amp;INDEX(CUEs!$A:$A,INT((ROW()-1)/7)*57+MOD(ROW()-1,7)+50)&amp;"=/ s "&amp;INDEX(CUEs!$B:$B,INT((ROW()-1)/7)*57+MOD(ROW()-1,7)+50),"")</f>
        <v/>
      </c>
    </row>
    <row r="3090" spans="1:1" x14ac:dyDescent="0.25">
      <c r="A3090" t="str" cm="1">
        <f t="array" ref="A3090">IF(INDEX(CUEs!$A:$A,INT((ROW()-1)/7)*57+MOD(ROW()-1,7)+50)&lt;&gt;"","set "&amp;INDEX(CUEs!$A:$A,INT((ROW()-1)/7)*57+MOD(ROW()-1,7)+50)&amp;"=/ s "&amp;INDEX(CUEs!$B:$B,INT((ROW()-1)/7)*57+MOD(ROW()-1,7)+50),"")</f>
        <v/>
      </c>
    </row>
    <row r="3091" spans="1:1" x14ac:dyDescent="0.25">
      <c r="A3091" t="str" cm="1">
        <f t="array" ref="A3091">IF(INDEX(CUEs!$A:$A,INT((ROW()-1)/7)*57+MOD(ROW()-1,7)+50)&lt;&gt;"","set "&amp;INDEX(CUEs!$A:$A,INT((ROW()-1)/7)*57+MOD(ROW()-1,7)+50)&amp;"=/ s "&amp;INDEX(CUEs!$B:$B,INT((ROW()-1)/7)*57+MOD(ROW()-1,7)+50),"")</f>
        <v/>
      </c>
    </row>
    <row r="3092" spans="1:1" x14ac:dyDescent="0.25">
      <c r="A3092" t="str" cm="1">
        <f t="array" ref="A3092">IF(INDEX(CUEs!$A:$A,INT((ROW()-1)/7)*57+MOD(ROW()-1,7)+50)&lt;&gt;"","set "&amp;INDEX(CUEs!$A:$A,INT((ROW()-1)/7)*57+MOD(ROW()-1,7)+50)&amp;"=/ s "&amp;INDEX(CUEs!$B:$B,INT((ROW()-1)/7)*57+MOD(ROW()-1,7)+50),"")</f>
        <v/>
      </c>
    </row>
    <row r="3093" spans="1:1" x14ac:dyDescent="0.25">
      <c r="A3093" t="str" cm="1">
        <f t="array" ref="A3093">IF(INDEX(CUEs!$A:$A,INT((ROW()-1)/7)*57+MOD(ROW()-1,7)+50)&lt;&gt;"","set "&amp;INDEX(CUEs!$A:$A,INT((ROW()-1)/7)*57+MOD(ROW()-1,7)+50)&amp;"=/ s "&amp;INDEX(CUEs!$B:$B,INT((ROW()-1)/7)*57+MOD(ROW()-1,7)+50),"")</f>
        <v/>
      </c>
    </row>
    <row r="3094" spans="1:1" x14ac:dyDescent="0.25">
      <c r="A3094" t="str" cm="1">
        <f t="array" ref="A3094">IF(INDEX(CUEs!$A:$A,INT((ROW()-1)/7)*57+MOD(ROW()-1,7)+50)&lt;&gt;"","set "&amp;INDEX(CUEs!$A:$A,INT((ROW()-1)/7)*57+MOD(ROW()-1,7)+50)&amp;"=/ s "&amp;INDEX(CUEs!$B:$B,INT((ROW()-1)/7)*57+MOD(ROW()-1,7)+50),"")</f>
        <v/>
      </c>
    </row>
    <row r="3095" spans="1:1" x14ac:dyDescent="0.25">
      <c r="A3095" t="str" cm="1">
        <f t="array" ref="A3095">IF(INDEX(CUEs!$A:$A,INT((ROW()-1)/7)*57+MOD(ROW()-1,7)+50)&lt;&gt;"","set "&amp;INDEX(CUEs!$A:$A,INT((ROW()-1)/7)*57+MOD(ROW()-1,7)+50)&amp;"=/ s "&amp;INDEX(CUEs!$B:$B,INT((ROW()-1)/7)*57+MOD(ROW()-1,7)+50),"")</f>
        <v/>
      </c>
    </row>
    <row r="3096" spans="1:1" x14ac:dyDescent="0.25">
      <c r="A3096" t="str" cm="1">
        <f t="array" ref="A3096">IF(INDEX(CUEs!$A:$A,INT((ROW()-1)/7)*57+MOD(ROW()-1,7)+50)&lt;&gt;"","set "&amp;INDEX(CUEs!$A:$A,INT((ROW()-1)/7)*57+MOD(ROW()-1,7)+50)&amp;"=/ s "&amp;INDEX(CUEs!$B:$B,INT((ROW()-1)/7)*57+MOD(ROW()-1,7)+50),"")</f>
        <v/>
      </c>
    </row>
    <row r="3097" spans="1:1" x14ac:dyDescent="0.25">
      <c r="A3097" t="str" cm="1">
        <f t="array" ref="A3097">IF(INDEX(CUEs!$A:$A,INT((ROW()-1)/7)*57+MOD(ROW()-1,7)+50)&lt;&gt;"","set "&amp;INDEX(CUEs!$A:$A,INT((ROW()-1)/7)*57+MOD(ROW()-1,7)+50)&amp;"=/ s "&amp;INDEX(CUEs!$B:$B,INT((ROW()-1)/7)*57+MOD(ROW()-1,7)+50),"")</f>
        <v/>
      </c>
    </row>
    <row r="3098" spans="1:1" x14ac:dyDescent="0.25">
      <c r="A3098" t="str" cm="1">
        <f t="array" ref="A3098">IF(INDEX(CUEs!$A:$A,INT((ROW()-1)/7)*57+MOD(ROW()-1,7)+50)&lt;&gt;"","set "&amp;INDEX(CUEs!$A:$A,INT((ROW()-1)/7)*57+MOD(ROW()-1,7)+50)&amp;"=/ s "&amp;INDEX(CUEs!$B:$B,INT((ROW()-1)/7)*57+MOD(ROW()-1,7)+50),"")</f>
        <v/>
      </c>
    </row>
    <row r="3099" spans="1:1" x14ac:dyDescent="0.25">
      <c r="A3099" t="str" cm="1">
        <f t="array" ref="A3099">IF(INDEX(CUEs!$A:$A,INT((ROW()-1)/7)*57+MOD(ROW()-1,7)+50)&lt;&gt;"","set "&amp;INDEX(CUEs!$A:$A,INT((ROW()-1)/7)*57+MOD(ROW()-1,7)+50)&amp;"=/ s "&amp;INDEX(CUEs!$B:$B,INT((ROW()-1)/7)*57+MOD(ROW()-1,7)+50),"")</f>
        <v/>
      </c>
    </row>
    <row r="3100" spans="1:1" x14ac:dyDescent="0.25">
      <c r="A3100" t="str" cm="1">
        <f t="array" ref="A3100">IF(INDEX(CUEs!$A:$A,INT((ROW()-1)/7)*57+MOD(ROW()-1,7)+50)&lt;&gt;"","set "&amp;INDEX(CUEs!$A:$A,INT((ROW()-1)/7)*57+MOD(ROW()-1,7)+50)&amp;"=/ s "&amp;INDEX(CUEs!$B:$B,INT((ROW()-1)/7)*57+MOD(ROW()-1,7)+50),"")</f>
        <v/>
      </c>
    </row>
    <row r="3101" spans="1:1" x14ac:dyDescent="0.25">
      <c r="A3101" t="str" cm="1">
        <f t="array" ref="A3101">IF(INDEX(CUEs!$A:$A,INT((ROW()-1)/7)*57+MOD(ROW()-1,7)+50)&lt;&gt;"","set "&amp;INDEX(CUEs!$A:$A,INT((ROW()-1)/7)*57+MOD(ROW()-1,7)+50)&amp;"=/ s "&amp;INDEX(CUEs!$B:$B,INT((ROW()-1)/7)*57+MOD(ROW()-1,7)+50),"")</f>
        <v/>
      </c>
    </row>
    <row r="3102" spans="1:1" x14ac:dyDescent="0.25">
      <c r="A3102" t="str" cm="1">
        <f t="array" ref="A3102">IF(INDEX(CUEs!$A:$A,INT((ROW()-1)/7)*57+MOD(ROW()-1,7)+50)&lt;&gt;"","set "&amp;INDEX(CUEs!$A:$A,INT((ROW()-1)/7)*57+MOD(ROW()-1,7)+50)&amp;"=/ s "&amp;INDEX(CUEs!$B:$B,INT((ROW()-1)/7)*57+MOD(ROW()-1,7)+50),"")</f>
        <v/>
      </c>
    </row>
    <row r="3103" spans="1:1" x14ac:dyDescent="0.25">
      <c r="A3103" t="str" cm="1">
        <f t="array" ref="A3103">IF(INDEX(CUEs!$A:$A,INT((ROW()-1)/7)*57+MOD(ROW()-1,7)+50)&lt;&gt;"","set "&amp;INDEX(CUEs!$A:$A,INT((ROW()-1)/7)*57+MOD(ROW()-1,7)+50)&amp;"=/ s "&amp;INDEX(CUEs!$B:$B,INT((ROW()-1)/7)*57+MOD(ROW()-1,7)+50),"")</f>
        <v/>
      </c>
    </row>
    <row r="3104" spans="1:1" x14ac:dyDescent="0.25">
      <c r="A3104" t="str" cm="1">
        <f t="array" ref="A3104">IF(INDEX(CUEs!$A:$A,INT((ROW()-1)/7)*57+MOD(ROW()-1,7)+50)&lt;&gt;"","set "&amp;INDEX(CUEs!$A:$A,INT((ROW()-1)/7)*57+MOD(ROW()-1,7)+50)&amp;"=/ s "&amp;INDEX(CUEs!$B:$B,INT((ROW()-1)/7)*57+MOD(ROW()-1,7)+50),"")</f>
        <v/>
      </c>
    </row>
    <row r="3105" spans="1:1" x14ac:dyDescent="0.25">
      <c r="A3105" t="str" cm="1">
        <f t="array" ref="A3105">IF(INDEX(CUEs!$A:$A,INT((ROW()-1)/7)*57+MOD(ROW()-1,7)+50)&lt;&gt;"","set "&amp;INDEX(CUEs!$A:$A,INT((ROW()-1)/7)*57+MOD(ROW()-1,7)+50)&amp;"=/ s "&amp;INDEX(CUEs!$B:$B,INT((ROW()-1)/7)*57+MOD(ROW()-1,7)+50),"")</f>
        <v/>
      </c>
    </row>
    <row r="3106" spans="1:1" x14ac:dyDescent="0.25">
      <c r="A3106" t="str" cm="1">
        <f t="array" ref="A3106">IF(INDEX(CUEs!$A:$A,INT((ROW()-1)/7)*57+MOD(ROW()-1,7)+50)&lt;&gt;"","set "&amp;INDEX(CUEs!$A:$A,INT((ROW()-1)/7)*57+MOD(ROW()-1,7)+50)&amp;"=/ s "&amp;INDEX(CUEs!$B:$B,INT((ROW()-1)/7)*57+MOD(ROW()-1,7)+50),"")</f>
        <v/>
      </c>
    </row>
    <row r="3107" spans="1:1" x14ac:dyDescent="0.25">
      <c r="A3107" t="str" cm="1">
        <f t="array" ref="A3107">IF(INDEX(CUEs!$A:$A,INT((ROW()-1)/7)*57+MOD(ROW()-1,7)+50)&lt;&gt;"","set "&amp;INDEX(CUEs!$A:$A,INT((ROW()-1)/7)*57+MOD(ROW()-1,7)+50)&amp;"=/ s "&amp;INDEX(CUEs!$B:$B,INT((ROW()-1)/7)*57+MOD(ROW()-1,7)+50),"")</f>
        <v/>
      </c>
    </row>
    <row r="3108" spans="1:1" x14ac:dyDescent="0.25">
      <c r="A3108" t="str" cm="1">
        <f t="array" ref="A3108">IF(INDEX(CUEs!$A:$A,INT((ROW()-1)/7)*57+MOD(ROW()-1,7)+50)&lt;&gt;"","set "&amp;INDEX(CUEs!$A:$A,INT((ROW()-1)/7)*57+MOD(ROW()-1,7)+50)&amp;"=/ s "&amp;INDEX(CUEs!$B:$B,INT((ROW()-1)/7)*57+MOD(ROW()-1,7)+50),"")</f>
        <v/>
      </c>
    </row>
    <row r="3109" spans="1:1" x14ac:dyDescent="0.25">
      <c r="A3109" t="str" cm="1">
        <f t="array" ref="A3109">IF(INDEX(CUEs!$A:$A,INT((ROW()-1)/7)*57+MOD(ROW()-1,7)+50)&lt;&gt;"","set "&amp;INDEX(CUEs!$A:$A,INT((ROW()-1)/7)*57+MOD(ROW()-1,7)+50)&amp;"=/ s "&amp;INDEX(CUEs!$B:$B,INT((ROW()-1)/7)*57+MOD(ROW()-1,7)+50),"")</f>
        <v/>
      </c>
    </row>
    <row r="3110" spans="1:1" x14ac:dyDescent="0.25">
      <c r="A3110" t="str" cm="1">
        <f t="array" ref="A3110">IF(INDEX(CUEs!$A:$A,INT((ROW()-1)/7)*57+MOD(ROW()-1,7)+50)&lt;&gt;"","set "&amp;INDEX(CUEs!$A:$A,INT((ROW()-1)/7)*57+MOD(ROW()-1,7)+50)&amp;"=/ s "&amp;INDEX(CUEs!$B:$B,INT((ROW()-1)/7)*57+MOD(ROW()-1,7)+50),"")</f>
        <v/>
      </c>
    </row>
    <row r="3111" spans="1:1" x14ac:dyDescent="0.25">
      <c r="A3111" t="str" cm="1">
        <f t="array" ref="A3111">IF(INDEX(CUEs!$A:$A,INT((ROW()-1)/7)*57+MOD(ROW()-1,7)+50)&lt;&gt;"","set "&amp;INDEX(CUEs!$A:$A,INT((ROW()-1)/7)*57+MOD(ROW()-1,7)+50)&amp;"=/ s "&amp;INDEX(CUEs!$B:$B,INT((ROW()-1)/7)*57+MOD(ROW()-1,7)+50),"")</f>
        <v/>
      </c>
    </row>
    <row r="3112" spans="1:1" x14ac:dyDescent="0.25">
      <c r="A3112" t="str" cm="1">
        <f t="array" ref="A3112">IF(INDEX(CUEs!$A:$A,INT((ROW()-1)/7)*57+MOD(ROW()-1,7)+50)&lt;&gt;"","set "&amp;INDEX(CUEs!$A:$A,INT((ROW()-1)/7)*57+MOD(ROW()-1,7)+50)&amp;"=/ s "&amp;INDEX(CUEs!$B:$B,INT((ROW()-1)/7)*57+MOD(ROW()-1,7)+50),"")</f>
        <v/>
      </c>
    </row>
    <row r="3113" spans="1:1" x14ac:dyDescent="0.25">
      <c r="A3113" t="str" cm="1">
        <f t="array" ref="A3113">IF(INDEX(CUEs!$A:$A,INT((ROW()-1)/7)*57+MOD(ROW()-1,7)+50)&lt;&gt;"","set "&amp;INDEX(CUEs!$A:$A,INT((ROW()-1)/7)*57+MOD(ROW()-1,7)+50)&amp;"=/ s "&amp;INDEX(CUEs!$B:$B,INT((ROW()-1)/7)*57+MOD(ROW()-1,7)+50),"")</f>
        <v/>
      </c>
    </row>
    <row r="3114" spans="1:1" x14ac:dyDescent="0.25">
      <c r="A3114" t="str" cm="1">
        <f t="array" ref="A3114">IF(INDEX(CUEs!$A:$A,INT((ROW()-1)/7)*57+MOD(ROW()-1,7)+50)&lt;&gt;"","set "&amp;INDEX(CUEs!$A:$A,INT((ROW()-1)/7)*57+MOD(ROW()-1,7)+50)&amp;"=/ s "&amp;INDEX(CUEs!$B:$B,INT((ROW()-1)/7)*57+MOD(ROW()-1,7)+50),"")</f>
        <v/>
      </c>
    </row>
    <row r="3115" spans="1:1" x14ac:dyDescent="0.25">
      <c r="A3115" t="str" cm="1">
        <f t="array" ref="A3115">IF(INDEX(CUEs!$A:$A,INT((ROW()-1)/7)*57+MOD(ROW()-1,7)+50)&lt;&gt;"","set "&amp;INDEX(CUEs!$A:$A,INT((ROW()-1)/7)*57+MOD(ROW()-1,7)+50)&amp;"=/ s "&amp;INDEX(CUEs!$B:$B,INT((ROW()-1)/7)*57+MOD(ROW()-1,7)+50),"")</f>
        <v/>
      </c>
    </row>
    <row r="3116" spans="1:1" x14ac:dyDescent="0.25">
      <c r="A3116" t="str" cm="1">
        <f t="array" ref="A3116">IF(INDEX(CUEs!$A:$A,INT((ROW()-1)/7)*57+MOD(ROW()-1,7)+50)&lt;&gt;"","set "&amp;INDEX(CUEs!$A:$A,INT((ROW()-1)/7)*57+MOD(ROW()-1,7)+50)&amp;"=/ s "&amp;INDEX(CUEs!$B:$B,INT((ROW()-1)/7)*57+MOD(ROW()-1,7)+50),"")</f>
        <v/>
      </c>
    </row>
    <row r="3117" spans="1:1" x14ac:dyDescent="0.25">
      <c r="A3117" t="str" cm="1">
        <f t="array" ref="A3117">IF(INDEX(CUEs!$A:$A,INT((ROW()-1)/7)*57+MOD(ROW()-1,7)+50)&lt;&gt;"","set "&amp;INDEX(CUEs!$A:$A,INT((ROW()-1)/7)*57+MOD(ROW()-1,7)+50)&amp;"=/ s "&amp;INDEX(CUEs!$B:$B,INT((ROW()-1)/7)*57+MOD(ROW()-1,7)+50),"")</f>
        <v/>
      </c>
    </row>
    <row r="3118" spans="1:1" x14ac:dyDescent="0.25">
      <c r="A3118" t="str" cm="1">
        <f t="array" ref="A3118">IF(INDEX(CUEs!$A:$A,INT((ROW()-1)/7)*57+MOD(ROW()-1,7)+50)&lt;&gt;"","set "&amp;INDEX(CUEs!$A:$A,INT((ROW()-1)/7)*57+MOD(ROW()-1,7)+50)&amp;"=/ s "&amp;INDEX(CUEs!$B:$B,INT((ROW()-1)/7)*57+MOD(ROW()-1,7)+50),"")</f>
        <v/>
      </c>
    </row>
    <row r="3119" spans="1:1" x14ac:dyDescent="0.25">
      <c r="A3119" t="str" cm="1">
        <f t="array" ref="A3119">IF(INDEX(CUEs!$A:$A,INT((ROW()-1)/7)*57+MOD(ROW()-1,7)+50)&lt;&gt;"","set "&amp;INDEX(CUEs!$A:$A,INT((ROW()-1)/7)*57+MOD(ROW()-1,7)+50)&amp;"=/ s "&amp;INDEX(CUEs!$B:$B,INT((ROW()-1)/7)*57+MOD(ROW()-1,7)+50),"")</f>
        <v/>
      </c>
    </row>
    <row r="3120" spans="1:1" x14ac:dyDescent="0.25">
      <c r="A3120" t="str" cm="1">
        <f t="array" ref="A3120">IF(INDEX(CUEs!$A:$A,INT((ROW()-1)/7)*57+MOD(ROW()-1,7)+50)&lt;&gt;"","set "&amp;INDEX(CUEs!$A:$A,INT((ROW()-1)/7)*57+MOD(ROW()-1,7)+50)&amp;"=/ s "&amp;INDEX(CUEs!$B:$B,INT((ROW()-1)/7)*57+MOD(ROW()-1,7)+50),"")</f>
        <v/>
      </c>
    </row>
    <row r="3121" spans="1:1" x14ac:dyDescent="0.25">
      <c r="A3121" t="str" cm="1">
        <f t="array" ref="A3121">IF(INDEX(CUEs!$A:$A,INT((ROW()-1)/7)*57+MOD(ROW()-1,7)+50)&lt;&gt;"","set "&amp;INDEX(CUEs!$A:$A,INT((ROW()-1)/7)*57+MOD(ROW()-1,7)+50)&amp;"=/ s "&amp;INDEX(CUEs!$B:$B,INT((ROW()-1)/7)*57+MOD(ROW()-1,7)+50),"")</f>
        <v/>
      </c>
    </row>
    <row r="3122" spans="1:1" x14ac:dyDescent="0.25">
      <c r="A3122" t="str" cm="1">
        <f t="array" ref="A3122">IF(INDEX(CUEs!$A:$A,INT((ROW()-1)/7)*57+MOD(ROW()-1,7)+50)&lt;&gt;"","set "&amp;INDEX(CUEs!$A:$A,INT((ROW()-1)/7)*57+MOD(ROW()-1,7)+50)&amp;"=/ s "&amp;INDEX(CUEs!$B:$B,INT((ROW()-1)/7)*57+MOD(ROW()-1,7)+50),"")</f>
        <v/>
      </c>
    </row>
    <row r="3123" spans="1:1" x14ac:dyDescent="0.25">
      <c r="A3123" t="str" cm="1">
        <f t="array" ref="A3123">IF(INDEX(CUEs!$A:$A,INT((ROW()-1)/7)*57+MOD(ROW()-1,7)+50)&lt;&gt;"","set "&amp;INDEX(CUEs!$A:$A,INT((ROW()-1)/7)*57+MOD(ROW()-1,7)+50)&amp;"=/ s "&amp;INDEX(CUEs!$B:$B,INT((ROW()-1)/7)*57+MOD(ROW()-1,7)+50),"")</f>
        <v/>
      </c>
    </row>
    <row r="3124" spans="1:1" x14ac:dyDescent="0.25">
      <c r="A3124" t="str" cm="1">
        <f t="array" ref="A3124">IF(INDEX(CUEs!$A:$A,INT((ROW()-1)/7)*57+MOD(ROW()-1,7)+50)&lt;&gt;"","set "&amp;INDEX(CUEs!$A:$A,INT((ROW()-1)/7)*57+MOD(ROW()-1,7)+50)&amp;"=/ s "&amp;INDEX(CUEs!$B:$B,INT((ROW()-1)/7)*57+MOD(ROW()-1,7)+50),"")</f>
        <v/>
      </c>
    </row>
    <row r="3125" spans="1:1" x14ac:dyDescent="0.25">
      <c r="A3125" t="str" cm="1">
        <f t="array" ref="A3125">IF(INDEX(CUEs!$A:$A,INT((ROW()-1)/7)*57+MOD(ROW()-1,7)+50)&lt;&gt;"","set "&amp;INDEX(CUEs!$A:$A,INT((ROW()-1)/7)*57+MOD(ROW()-1,7)+50)&amp;"=/ s "&amp;INDEX(CUEs!$B:$B,INT((ROW()-1)/7)*57+MOD(ROW()-1,7)+50),"")</f>
        <v/>
      </c>
    </row>
    <row r="3126" spans="1:1" x14ac:dyDescent="0.25">
      <c r="A3126" t="str" cm="1">
        <f t="array" ref="A3126">IF(INDEX(CUEs!$A:$A,INT((ROW()-1)/7)*57+MOD(ROW()-1,7)+50)&lt;&gt;"","set "&amp;INDEX(CUEs!$A:$A,INT((ROW()-1)/7)*57+MOD(ROW()-1,7)+50)&amp;"=/ s "&amp;INDEX(CUEs!$B:$B,INT((ROW()-1)/7)*57+MOD(ROW()-1,7)+50),"")</f>
        <v/>
      </c>
    </row>
    <row r="3127" spans="1:1" x14ac:dyDescent="0.25">
      <c r="A3127" t="str" cm="1">
        <f t="array" ref="A3127">IF(INDEX(CUEs!$A:$A,INT((ROW()-1)/7)*57+MOD(ROW()-1,7)+50)&lt;&gt;"","set "&amp;INDEX(CUEs!$A:$A,INT((ROW()-1)/7)*57+MOD(ROW()-1,7)+50)&amp;"=/ s "&amp;INDEX(CUEs!$B:$B,INT((ROW()-1)/7)*57+MOD(ROW()-1,7)+50),"")</f>
        <v/>
      </c>
    </row>
    <row r="3128" spans="1:1" x14ac:dyDescent="0.25">
      <c r="A3128" t="str" cm="1">
        <f t="array" ref="A3128">IF(INDEX(CUEs!$A:$A,INT((ROW()-1)/7)*57+MOD(ROW()-1,7)+50)&lt;&gt;"","set "&amp;INDEX(CUEs!$A:$A,INT((ROW()-1)/7)*57+MOD(ROW()-1,7)+50)&amp;"=/ s "&amp;INDEX(CUEs!$B:$B,INT((ROW()-1)/7)*57+MOD(ROW()-1,7)+50),"")</f>
        <v/>
      </c>
    </row>
    <row r="3129" spans="1:1" x14ac:dyDescent="0.25">
      <c r="A3129" t="str" cm="1">
        <f t="array" ref="A3129">IF(INDEX(CUEs!$A:$A,INT((ROW()-1)/7)*57+MOD(ROW()-1,7)+50)&lt;&gt;"","set "&amp;INDEX(CUEs!$A:$A,INT((ROW()-1)/7)*57+MOD(ROW()-1,7)+50)&amp;"=/ s "&amp;INDEX(CUEs!$B:$B,INT((ROW()-1)/7)*57+MOD(ROW()-1,7)+50),"")</f>
        <v/>
      </c>
    </row>
    <row r="3130" spans="1:1" x14ac:dyDescent="0.25">
      <c r="A3130" t="str" cm="1">
        <f t="array" ref="A3130">IF(INDEX(CUEs!$A:$A,INT((ROW()-1)/7)*57+MOD(ROW()-1,7)+50)&lt;&gt;"","set "&amp;INDEX(CUEs!$A:$A,INT((ROW()-1)/7)*57+MOD(ROW()-1,7)+50)&amp;"=/ s "&amp;INDEX(CUEs!$B:$B,INT((ROW()-1)/7)*57+MOD(ROW()-1,7)+50),"")</f>
        <v/>
      </c>
    </row>
    <row r="3131" spans="1:1" x14ac:dyDescent="0.25">
      <c r="A3131" t="str" cm="1">
        <f t="array" ref="A3131">IF(INDEX(CUEs!$A:$A,INT((ROW()-1)/7)*57+MOD(ROW()-1,7)+50)&lt;&gt;"","set "&amp;INDEX(CUEs!$A:$A,INT((ROW()-1)/7)*57+MOD(ROW()-1,7)+50)&amp;"=/ s "&amp;INDEX(CUEs!$B:$B,INT((ROW()-1)/7)*57+MOD(ROW()-1,7)+50),"")</f>
        <v/>
      </c>
    </row>
    <row r="3132" spans="1:1" x14ac:dyDescent="0.25">
      <c r="A3132" t="str" cm="1">
        <f t="array" ref="A3132">IF(INDEX(CUEs!$A:$A,INT((ROW()-1)/7)*57+MOD(ROW()-1,7)+50)&lt;&gt;"","set "&amp;INDEX(CUEs!$A:$A,INT((ROW()-1)/7)*57+MOD(ROW()-1,7)+50)&amp;"=/ s "&amp;INDEX(CUEs!$B:$B,INT((ROW()-1)/7)*57+MOD(ROW()-1,7)+50),"")</f>
        <v/>
      </c>
    </row>
    <row r="3133" spans="1:1" x14ac:dyDescent="0.25">
      <c r="A3133" t="str" cm="1">
        <f t="array" ref="A3133">IF(INDEX(CUEs!$A:$A,INT((ROW()-1)/7)*57+MOD(ROW()-1,7)+50)&lt;&gt;"","set "&amp;INDEX(CUEs!$A:$A,INT((ROW()-1)/7)*57+MOD(ROW()-1,7)+50)&amp;"=/ s "&amp;INDEX(CUEs!$B:$B,INT((ROW()-1)/7)*57+MOD(ROW()-1,7)+50),"")</f>
        <v/>
      </c>
    </row>
    <row r="3134" spans="1:1" x14ac:dyDescent="0.25">
      <c r="A3134" t="str" cm="1">
        <f t="array" ref="A3134">IF(INDEX(CUEs!$A:$A,INT((ROW()-1)/7)*57+MOD(ROW()-1,7)+50)&lt;&gt;"","set "&amp;INDEX(CUEs!$A:$A,INT((ROW()-1)/7)*57+MOD(ROW()-1,7)+50)&amp;"=/ s "&amp;INDEX(CUEs!$B:$B,INT((ROW()-1)/7)*57+MOD(ROW()-1,7)+50),"")</f>
        <v/>
      </c>
    </row>
    <row r="3135" spans="1:1" x14ac:dyDescent="0.25">
      <c r="A3135" t="str" cm="1">
        <f t="array" ref="A3135">IF(INDEX(CUEs!$A:$A,INT((ROW()-1)/7)*57+MOD(ROW()-1,7)+50)&lt;&gt;"","set "&amp;INDEX(CUEs!$A:$A,INT((ROW()-1)/7)*57+MOD(ROW()-1,7)+50)&amp;"=/ s "&amp;INDEX(CUEs!$B:$B,INT((ROW()-1)/7)*57+MOD(ROW()-1,7)+50),"")</f>
        <v/>
      </c>
    </row>
    <row r="3136" spans="1:1" x14ac:dyDescent="0.25">
      <c r="A3136" t="str" cm="1">
        <f t="array" ref="A3136">IF(INDEX(CUEs!$A:$A,INT((ROW()-1)/7)*57+MOD(ROW()-1,7)+50)&lt;&gt;"","set "&amp;INDEX(CUEs!$A:$A,INT((ROW()-1)/7)*57+MOD(ROW()-1,7)+50)&amp;"=/ s "&amp;INDEX(CUEs!$B:$B,INT((ROW()-1)/7)*57+MOD(ROW()-1,7)+50),"")</f>
        <v/>
      </c>
    </row>
    <row r="3137" spans="1:1" x14ac:dyDescent="0.25">
      <c r="A3137" t="str" cm="1">
        <f t="array" ref="A3137">IF(INDEX(CUEs!$A:$A,INT((ROW()-1)/7)*57+MOD(ROW()-1,7)+50)&lt;&gt;"","set "&amp;INDEX(CUEs!$A:$A,INT((ROW()-1)/7)*57+MOD(ROW()-1,7)+50)&amp;"=/ s "&amp;INDEX(CUEs!$B:$B,INT((ROW()-1)/7)*57+MOD(ROW()-1,7)+50),"")</f>
        <v/>
      </c>
    </row>
    <row r="3138" spans="1:1" x14ac:dyDescent="0.25">
      <c r="A3138" t="str" cm="1">
        <f t="array" ref="A3138">IF(INDEX(CUEs!$A:$A,INT((ROW()-1)/7)*57+MOD(ROW()-1,7)+50)&lt;&gt;"","set "&amp;INDEX(CUEs!$A:$A,INT((ROW()-1)/7)*57+MOD(ROW()-1,7)+50)&amp;"=/ s "&amp;INDEX(CUEs!$B:$B,INT((ROW()-1)/7)*57+MOD(ROW()-1,7)+50),"")</f>
        <v/>
      </c>
    </row>
    <row r="3139" spans="1:1" x14ac:dyDescent="0.25">
      <c r="A3139" t="str" cm="1">
        <f t="array" ref="A3139">IF(INDEX(CUEs!$A:$A,INT((ROW()-1)/7)*57+MOD(ROW()-1,7)+50)&lt;&gt;"","set "&amp;INDEX(CUEs!$A:$A,INT((ROW()-1)/7)*57+MOD(ROW()-1,7)+50)&amp;"=/ s "&amp;INDEX(CUEs!$B:$B,INT((ROW()-1)/7)*57+MOD(ROW()-1,7)+50),"")</f>
        <v/>
      </c>
    </row>
    <row r="3140" spans="1:1" x14ac:dyDescent="0.25">
      <c r="A3140" t="str" cm="1">
        <f t="array" ref="A3140">IF(INDEX(CUEs!$A:$A,INT((ROW()-1)/7)*57+MOD(ROW()-1,7)+50)&lt;&gt;"","set "&amp;INDEX(CUEs!$A:$A,INT((ROW()-1)/7)*57+MOD(ROW()-1,7)+50)&amp;"=/ s "&amp;INDEX(CUEs!$B:$B,INT((ROW()-1)/7)*57+MOD(ROW()-1,7)+50),"")</f>
        <v/>
      </c>
    </row>
    <row r="3141" spans="1:1" x14ac:dyDescent="0.25">
      <c r="A3141" t="str" cm="1">
        <f t="array" ref="A3141">IF(INDEX(CUEs!$A:$A,INT((ROW()-1)/7)*57+MOD(ROW()-1,7)+50)&lt;&gt;"","set "&amp;INDEX(CUEs!$A:$A,INT((ROW()-1)/7)*57+MOD(ROW()-1,7)+50)&amp;"=/ s "&amp;INDEX(CUEs!$B:$B,INT((ROW()-1)/7)*57+MOD(ROW()-1,7)+50),"")</f>
        <v/>
      </c>
    </row>
    <row r="3142" spans="1:1" x14ac:dyDescent="0.25">
      <c r="A3142" t="str" cm="1">
        <f t="array" ref="A3142">IF(INDEX(CUEs!$A:$A,INT((ROW()-1)/7)*57+MOD(ROW()-1,7)+50)&lt;&gt;"","set "&amp;INDEX(CUEs!$A:$A,INT((ROW()-1)/7)*57+MOD(ROW()-1,7)+50)&amp;"=/ s "&amp;INDEX(CUEs!$B:$B,INT((ROW()-1)/7)*57+MOD(ROW()-1,7)+50),"")</f>
        <v/>
      </c>
    </row>
    <row r="3143" spans="1:1" x14ac:dyDescent="0.25">
      <c r="A3143" t="str" cm="1">
        <f t="array" ref="A3143">IF(INDEX(CUEs!$A:$A,INT((ROW()-1)/7)*57+MOD(ROW()-1,7)+50)&lt;&gt;"","set "&amp;INDEX(CUEs!$A:$A,INT((ROW()-1)/7)*57+MOD(ROW()-1,7)+50)&amp;"=/ s "&amp;INDEX(CUEs!$B:$B,INT((ROW()-1)/7)*57+MOD(ROW()-1,7)+50),"")</f>
        <v/>
      </c>
    </row>
    <row r="3144" spans="1:1" x14ac:dyDescent="0.25">
      <c r="A3144" t="str" cm="1">
        <f t="array" ref="A3144">IF(INDEX(CUEs!$A:$A,INT((ROW()-1)/7)*57+MOD(ROW()-1,7)+50)&lt;&gt;"","set "&amp;INDEX(CUEs!$A:$A,INT((ROW()-1)/7)*57+MOD(ROW()-1,7)+50)&amp;"=/ s "&amp;INDEX(CUEs!$B:$B,INT((ROW()-1)/7)*57+MOD(ROW()-1,7)+50),"")</f>
        <v/>
      </c>
    </row>
    <row r="3145" spans="1:1" x14ac:dyDescent="0.25">
      <c r="A3145" t="str" cm="1">
        <f t="array" ref="A3145">IF(INDEX(CUEs!$A:$A,INT((ROW()-1)/7)*57+MOD(ROW()-1,7)+50)&lt;&gt;"","set "&amp;INDEX(CUEs!$A:$A,INT((ROW()-1)/7)*57+MOD(ROW()-1,7)+50)&amp;"=/ s "&amp;INDEX(CUEs!$B:$B,INT((ROW()-1)/7)*57+MOD(ROW()-1,7)+50),"")</f>
        <v/>
      </c>
    </row>
    <row r="3146" spans="1:1" x14ac:dyDescent="0.25">
      <c r="A3146" t="str" cm="1">
        <f t="array" ref="A3146">IF(INDEX(CUEs!$A:$A,INT((ROW()-1)/7)*57+MOD(ROW()-1,7)+50)&lt;&gt;"","set "&amp;INDEX(CUEs!$A:$A,INT((ROW()-1)/7)*57+MOD(ROW()-1,7)+50)&amp;"=/ s "&amp;INDEX(CUEs!$B:$B,INT((ROW()-1)/7)*57+MOD(ROW()-1,7)+50),"")</f>
        <v/>
      </c>
    </row>
    <row r="3147" spans="1:1" x14ac:dyDescent="0.25">
      <c r="A3147" t="str" cm="1">
        <f t="array" ref="A3147">IF(INDEX(CUEs!$A:$A,INT((ROW()-1)/7)*57+MOD(ROW()-1,7)+50)&lt;&gt;"","set "&amp;INDEX(CUEs!$A:$A,INT((ROW()-1)/7)*57+MOD(ROW()-1,7)+50)&amp;"=/ s "&amp;INDEX(CUEs!$B:$B,INT((ROW()-1)/7)*57+MOD(ROW()-1,7)+50),"")</f>
        <v/>
      </c>
    </row>
    <row r="3148" spans="1:1" x14ac:dyDescent="0.25">
      <c r="A3148" t="str" cm="1">
        <f t="array" ref="A3148">IF(INDEX(CUEs!$A:$A,INT((ROW()-1)/7)*57+MOD(ROW()-1,7)+50)&lt;&gt;"","set "&amp;INDEX(CUEs!$A:$A,INT((ROW()-1)/7)*57+MOD(ROW()-1,7)+50)&amp;"=/ s "&amp;INDEX(CUEs!$B:$B,INT((ROW()-1)/7)*57+MOD(ROW()-1,7)+50),"")</f>
        <v/>
      </c>
    </row>
    <row r="3149" spans="1:1" x14ac:dyDescent="0.25">
      <c r="A3149" t="str" cm="1">
        <f t="array" ref="A3149">IF(INDEX(CUEs!$A:$A,INT((ROW()-1)/7)*57+MOD(ROW()-1,7)+50)&lt;&gt;"","set "&amp;INDEX(CUEs!$A:$A,INT((ROW()-1)/7)*57+MOD(ROW()-1,7)+50)&amp;"=/ s "&amp;INDEX(CUEs!$B:$B,INT((ROW()-1)/7)*57+MOD(ROW()-1,7)+50),"")</f>
        <v/>
      </c>
    </row>
    <row r="3150" spans="1:1" x14ac:dyDescent="0.25">
      <c r="A3150" t="str" cm="1">
        <f t="array" ref="A3150">IF(INDEX(CUEs!$A:$A,INT((ROW()-1)/7)*57+MOD(ROW()-1,7)+50)&lt;&gt;"","set "&amp;INDEX(CUEs!$A:$A,INT((ROW()-1)/7)*57+MOD(ROW()-1,7)+50)&amp;"=/ s "&amp;INDEX(CUEs!$B:$B,INT((ROW()-1)/7)*57+MOD(ROW()-1,7)+50),"")</f>
        <v/>
      </c>
    </row>
    <row r="3151" spans="1:1" x14ac:dyDescent="0.25">
      <c r="A3151" t="str" cm="1">
        <f t="array" ref="A3151">IF(INDEX(CUEs!$A:$A,INT((ROW()-1)/7)*57+MOD(ROW()-1,7)+50)&lt;&gt;"","set "&amp;INDEX(CUEs!$A:$A,INT((ROW()-1)/7)*57+MOD(ROW()-1,7)+50)&amp;"=/ s "&amp;INDEX(CUEs!$B:$B,INT((ROW()-1)/7)*57+MOD(ROW()-1,7)+50),"")</f>
        <v/>
      </c>
    </row>
    <row r="3152" spans="1:1" x14ac:dyDescent="0.25">
      <c r="A3152" t="str" cm="1">
        <f t="array" ref="A3152">IF(INDEX(CUEs!$A:$A,INT((ROW()-1)/7)*57+MOD(ROW()-1,7)+50)&lt;&gt;"","set "&amp;INDEX(CUEs!$A:$A,INT((ROW()-1)/7)*57+MOD(ROW()-1,7)+50)&amp;"=/ s "&amp;INDEX(CUEs!$B:$B,INT((ROW()-1)/7)*57+MOD(ROW()-1,7)+50),"")</f>
        <v/>
      </c>
    </row>
    <row r="3153" spans="1:1" x14ac:dyDescent="0.25">
      <c r="A3153" t="str" cm="1">
        <f t="array" ref="A3153">IF(INDEX(CUEs!$A:$A,INT((ROW()-1)/7)*57+MOD(ROW()-1,7)+50)&lt;&gt;"","set "&amp;INDEX(CUEs!$A:$A,INT((ROW()-1)/7)*57+MOD(ROW()-1,7)+50)&amp;"=/ s "&amp;INDEX(CUEs!$B:$B,INT((ROW()-1)/7)*57+MOD(ROW()-1,7)+50),"")</f>
        <v/>
      </c>
    </row>
    <row r="3154" spans="1:1" x14ac:dyDescent="0.25">
      <c r="A3154" t="str" cm="1">
        <f t="array" ref="A3154">IF(INDEX(CUEs!$A:$A,INT((ROW()-1)/7)*57+MOD(ROW()-1,7)+50)&lt;&gt;"","set "&amp;INDEX(CUEs!$A:$A,INT((ROW()-1)/7)*57+MOD(ROW()-1,7)+50)&amp;"=/ s "&amp;INDEX(CUEs!$B:$B,INT((ROW()-1)/7)*57+MOD(ROW()-1,7)+50),"")</f>
        <v/>
      </c>
    </row>
    <row r="3155" spans="1:1" x14ac:dyDescent="0.25">
      <c r="A3155" t="str" cm="1">
        <f t="array" ref="A3155">IF(INDEX(CUEs!$A:$A,INT((ROW()-1)/7)*57+MOD(ROW()-1,7)+50)&lt;&gt;"","set "&amp;INDEX(CUEs!$A:$A,INT((ROW()-1)/7)*57+MOD(ROW()-1,7)+50)&amp;"=/ s "&amp;INDEX(CUEs!$B:$B,INT((ROW()-1)/7)*57+MOD(ROW()-1,7)+50),"")</f>
        <v/>
      </c>
    </row>
    <row r="3156" spans="1:1" x14ac:dyDescent="0.25">
      <c r="A3156" t="str" cm="1">
        <f t="array" ref="A3156">IF(INDEX(CUEs!$A:$A,INT((ROW()-1)/7)*57+MOD(ROW()-1,7)+50)&lt;&gt;"","set "&amp;INDEX(CUEs!$A:$A,INT((ROW()-1)/7)*57+MOD(ROW()-1,7)+50)&amp;"=/ s "&amp;INDEX(CUEs!$B:$B,INT((ROW()-1)/7)*57+MOD(ROW()-1,7)+50),"")</f>
        <v/>
      </c>
    </row>
    <row r="3157" spans="1:1" x14ac:dyDescent="0.25">
      <c r="A3157" t="str" cm="1">
        <f t="array" ref="A3157">IF(INDEX(CUEs!$A:$A,INT((ROW()-1)/7)*57+MOD(ROW()-1,7)+50)&lt;&gt;"","set "&amp;INDEX(CUEs!$A:$A,INT((ROW()-1)/7)*57+MOD(ROW()-1,7)+50)&amp;"=/ s "&amp;INDEX(CUEs!$B:$B,INT((ROW()-1)/7)*57+MOD(ROW()-1,7)+50),"")</f>
        <v/>
      </c>
    </row>
    <row r="3158" spans="1:1" x14ac:dyDescent="0.25">
      <c r="A3158" t="str" cm="1">
        <f t="array" ref="A3158">IF(INDEX(CUEs!$A:$A,INT((ROW()-1)/7)*57+MOD(ROW()-1,7)+50)&lt;&gt;"","set "&amp;INDEX(CUEs!$A:$A,INT((ROW()-1)/7)*57+MOD(ROW()-1,7)+50)&amp;"=/ s "&amp;INDEX(CUEs!$B:$B,INT((ROW()-1)/7)*57+MOD(ROW()-1,7)+50),"")</f>
        <v/>
      </c>
    </row>
    <row r="3159" spans="1:1" x14ac:dyDescent="0.25">
      <c r="A3159" t="str" cm="1">
        <f t="array" ref="A3159">IF(INDEX(CUEs!$A:$A,INT((ROW()-1)/7)*57+MOD(ROW()-1,7)+50)&lt;&gt;"","set "&amp;INDEX(CUEs!$A:$A,INT((ROW()-1)/7)*57+MOD(ROW()-1,7)+50)&amp;"=/ s "&amp;INDEX(CUEs!$B:$B,INT((ROW()-1)/7)*57+MOD(ROW()-1,7)+50),"")</f>
        <v/>
      </c>
    </row>
    <row r="3160" spans="1:1" x14ac:dyDescent="0.25">
      <c r="A3160" t="str" cm="1">
        <f t="array" ref="A3160">IF(INDEX(CUEs!$A:$A,INT((ROW()-1)/7)*57+MOD(ROW()-1,7)+50)&lt;&gt;"","set "&amp;INDEX(CUEs!$A:$A,INT((ROW()-1)/7)*57+MOD(ROW()-1,7)+50)&amp;"=/ s "&amp;INDEX(CUEs!$B:$B,INT((ROW()-1)/7)*57+MOD(ROW()-1,7)+50),"")</f>
        <v/>
      </c>
    </row>
    <row r="3161" spans="1:1" x14ac:dyDescent="0.25">
      <c r="A3161" t="str" cm="1">
        <f t="array" ref="A3161">IF(INDEX(CUEs!$A:$A,INT((ROW()-1)/7)*57+MOD(ROW()-1,7)+50)&lt;&gt;"","set "&amp;INDEX(CUEs!$A:$A,INT((ROW()-1)/7)*57+MOD(ROW()-1,7)+50)&amp;"=/ s "&amp;INDEX(CUEs!$B:$B,INT((ROW()-1)/7)*57+MOD(ROW()-1,7)+50),"")</f>
        <v/>
      </c>
    </row>
    <row r="3162" spans="1:1" x14ac:dyDescent="0.25">
      <c r="A3162" t="str" cm="1">
        <f t="array" ref="A3162">IF(INDEX(CUEs!$A:$A,INT((ROW()-1)/7)*57+MOD(ROW()-1,7)+50)&lt;&gt;"","set "&amp;INDEX(CUEs!$A:$A,INT((ROW()-1)/7)*57+MOD(ROW()-1,7)+50)&amp;"=/ s "&amp;INDEX(CUEs!$B:$B,INT((ROW()-1)/7)*57+MOD(ROW()-1,7)+50),"")</f>
        <v/>
      </c>
    </row>
    <row r="3163" spans="1:1" x14ac:dyDescent="0.25">
      <c r="A3163" t="str" cm="1">
        <f t="array" ref="A3163">IF(INDEX(CUEs!$A:$A,INT((ROW()-1)/7)*57+MOD(ROW()-1,7)+50)&lt;&gt;"","set "&amp;INDEX(CUEs!$A:$A,INT((ROW()-1)/7)*57+MOD(ROW()-1,7)+50)&amp;"=/ s "&amp;INDEX(CUEs!$B:$B,INT((ROW()-1)/7)*57+MOD(ROW()-1,7)+50),"")</f>
        <v/>
      </c>
    </row>
    <row r="3164" spans="1:1" x14ac:dyDescent="0.25">
      <c r="A3164" t="str" cm="1">
        <f t="array" ref="A3164">IF(INDEX(CUEs!$A:$A,INT((ROW()-1)/7)*57+MOD(ROW()-1,7)+50)&lt;&gt;"","set "&amp;INDEX(CUEs!$A:$A,INT((ROW()-1)/7)*57+MOD(ROW()-1,7)+50)&amp;"=/ s "&amp;INDEX(CUEs!$B:$B,INT((ROW()-1)/7)*57+MOD(ROW()-1,7)+50),"")</f>
        <v/>
      </c>
    </row>
    <row r="3165" spans="1:1" x14ac:dyDescent="0.25">
      <c r="A3165" t="str" cm="1">
        <f t="array" ref="A3165">IF(INDEX(CUEs!$A:$A,INT((ROW()-1)/7)*57+MOD(ROW()-1,7)+50)&lt;&gt;"","set "&amp;INDEX(CUEs!$A:$A,INT((ROW()-1)/7)*57+MOD(ROW()-1,7)+50)&amp;"=/ s "&amp;INDEX(CUEs!$B:$B,INT((ROW()-1)/7)*57+MOD(ROW()-1,7)+50),"")</f>
        <v/>
      </c>
    </row>
    <row r="3166" spans="1:1" x14ac:dyDescent="0.25">
      <c r="A3166" t="str" cm="1">
        <f t="array" ref="A3166">IF(INDEX(CUEs!$A:$A,INT((ROW()-1)/7)*57+MOD(ROW()-1,7)+50)&lt;&gt;"","set "&amp;INDEX(CUEs!$A:$A,INT((ROW()-1)/7)*57+MOD(ROW()-1,7)+50)&amp;"=/ s "&amp;INDEX(CUEs!$B:$B,INT((ROW()-1)/7)*57+MOD(ROW()-1,7)+50),"")</f>
        <v/>
      </c>
    </row>
    <row r="3167" spans="1:1" x14ac:dyDescent="0.25">
      <c r="A3167" t="str" cm="1">
        <f t="array" ref="A3167">IF(INDEX(CUEs!$A:$A,INT((ROW()-1)/7)*57+MOD(ROW()-1,7)+50)&lt;&gt;"","set "&amp;INDEX(CUEs!$A:$A,INT((ROW()-1)/7)*57+MOD(ROW()-1,7)+50)&amp;"=/ s "&amp;INDEX(CUEs!$B:$B,INT((ROW()-1)/7)*57+MOD(ROW()-1,7)+50),"")</f>
        <v/>
      </c>
    </row>
    <row r="3168" spans="1:1" x14ac:dyDescent="0.25">
      <c r="A3168" t="str" cm="1">
        <f t="array" ref="A3168">IF(INDEX(CUEs!$A:$A,INT((ROW()-1)/7)*57+MOD(ROW()-1,7)+50)&lt;&gt;"","set "&amp;INDEX(CUEs!$A:$A,INT((ROW()-1)/7)*57+MOD(ROW()-1,7)+50)&amp;"=/ s "&amp;INDEX(CUEs!$B:$B,INT((ROW()-1)/7)*57+MOD(ROW()-1,7)+50),"")</f>
        <v/>
      </c>
    </row>
    <row r="3169" spans="1:1" x14ac:dyDescent="0.25">
      <c r="A3169" t="str" cm="1">
        <f t="array" ref="A3169">IF(INDEX(CUEs!$A:$A,INT((ROW()-1)/7)*57+MOD(ROW()-1,7)+50)&lt;&gt;"","set "&amp;INDEX(CUEs!$A:$A,INT((ROW()-1)/7)*57+MOD(ROW()-1,7)+50)&amp;"=/ s "&amp;INDEX(CUEs!$B:$B,INT((ROW()-1)/7)*57+MOD(ROW()-1,7)+50),"")</f>
        <v/>
      </c>
    </row>
    <row r="3170" spans="1:1" x14ac:dyDescent="0.25">
      <c r="A3170" t="str" cm="1">
        <f t="array" ref="A3170">IF(INDEX(CUEs!$A:$A,INT((ROW()-1)/7)*57+MOD(ROW()-1,7)+50)&lt;&gt;"","set "&amp;INDEX(CUEs!$A:$A,INT((ROW()-1)/7)*57+MOD(ROW()-1,7)+50)&amp;"=/ s "&amp;INDEX(CUEs!$B:$B,INT((ROW()-1)/7)*57+MOD(ROW()-1,7)+50),"")</f>
        <v/>
      </c>
    </row>
    <row r="3171" spans="1:1" x14ac:dyDescent="0.25">
      <c r="A3171" t="str" cm="1">
        <f t="array" ref="A3171">IF(INDEX(CUEs!$A:$A,INT((ROW()-1)/7)*57+MOD(ROW()-1,7)+50)&lt;&gt;"","set "&amp;INDEX(CUEs!$A:$A,INT((ROW()-1)/7)*57+MOD(ROW()-1,7)+50)&amp;"=/ s "&amp;INDEX(CUEs!$B:$B,INT((ROW()-1)/7)*57+MOD(ROW()-1,7)+50),"")</f>
        <v/>
      </c>
    </row>
    <row r="3172" spans="1:1" x14ac:dyDescent="0.25">
      <c r="A3172" t="str" cm="1">
        <f t="array" ref="A3172">IF(INDEX(CUEs!$A:$A,INT((ROW()-1)/7)*57+MOD(ROW()-1,7)+50)&lt;&gt;"","set "&amp;INDEX(CUEs!$A:$A,INT((ROW()-1)/7)*57+MOD(ROW()-1,7)+50)&amp;"=/ s "&amp;INDEX(CUEs!$B:$B,INT((ROW()-1)/7)*57+MOD(ROW()-1,7)+50),"")</f>
        <v/>
      </c>
    </row>
    <row r="3173" spans="1:1" x14ac:dyDescent="0.25">
      <c r="A3173" t="str" cm="1">
        <f t="array" ref="A3173">IF(INDEX(CUEs!$A:$A,INT((ROW()-1)/7)*57+MOD(ROW()-1,7)+50)&lt;&gt;"","set "&amp;INDEX(CUEs!$A:$A,INT((ROW()-1)/7)*57+MOD(ROW()-1,7)+50)&amp;"=/ s "&amp;INDEX(CUEs!$B:$B,INT((ROW()-1)/7)*57+MOD(ROW()-1,7)+50),"")</f>
        <v/>
      </c>
    </row>
    <row r="3174" spans="1:1" x14ac:dyDescent="0.25">
      <c r="A3174" t="str" cm="1">
        <f t="array" ref="A3174">IF(INDEX(CUEs!$A:$A,INT((ROW()-1)/7)*57+MOD(ROW()-1,7)+50)&lt;&gt;"","set "&amp;INDEX(CUEs!$A:$A,INT((ROW()-1)/7)*57+MOD(ROW()-1,7)+50)&amp;"=/ s "&amp;INDEX(CUEs!$B:$B,INT((ROW()-1)/7)*57+MOD(ROW()-1,7)+50),"")</f>
        <v/>
      </c>
    </row>
    <row r="3175" spans="1:1" x14ac:dyDescent="0.25">
      <c r="A3175" t="str" cm="1">
        <f t="array" ref="A3175">IF(INDEX(CUEs!$A:$A,INT((ROW()-1)/7)*57+MOD(ROW()-1,7)+50)&lt;&gt;"","set "&amp;INDEX(CUEs!$A:$A,INT((ROW()-1)/7)*57+MOD(ROW()-1,7)+50)&amp;"=/ s "&amp;INDEX(CUEs!$B:$B,INT((ROW()-1)/7)*57+MOD(ROW()-1,7)+50),"")</f>
        <v/>
      </c>
    </row>
    <row r="3176" spans="1:1" x14ac:dyDescent="0.25">
      <c r="A3176" t="str" cm="1">
        <f t="array" ref="A3176">IF(INDEX(CUEs!$A:$A,INT((ROW()-1)/7)*57+MOD(ROW()-1,7)+50)&lt;&gt;"","set "&amp;INDEX(CUEs!$A:$A,INT((ROW()-1)/7)*57+MOD(ROW()-1,7)+50)&amp;"=/ s "&amp;INDEX(CUEs!$B:$B,INT((ROW()-1)/7)*57+MOD(ROW()-1,7)+50),"")</f>
        <v/>
      </c>
    </row>
    <row r="3177" spans="1:1" x14ac:dyDescent="0.25">
      <c r="A3177" t="str" cm="1">
        <f t="array" ref="A3177">IF(INDEX(CUEs!$A:$A,INT((ROW()-1)/7)*57+MOD(ROW()-1,7)+50)&lt;&gt;"","set "&amp;INDEX(CUEs!$A:$A,INT((ROW()-1)/7)*57+MOD(ROW()-1,7)+50)&amp;"=/ s "&amp;INDEX(CUEs!$B:$B,INT((ROW()-1)/7)*57+MOD(ROW()-1,7)+50),"")</f>
        <v/>
      </c>
    </row>
    <row r="3178" spans="1:1" x14ac:dyDescent="0.25">
      <c r="A3178" t="str" cm="1">
        <f t="array" ref="A3178">IF(INDEX(CUEs!$A:$A,INT((ROW()-1)/7)*57+MOD(ROW()-1,7)+50)&lt;&gt;"","set "&amp;INDEX(CUEs!$A:$A,INT((ROW()-1)/7)*57+MOD(ROW()-1,7)+50)&amp;"=/ s "&amp;INDEX(CUEs!$B:$B,INT((ROW()-1)/7)*57+MOD(ROW()-1,7)+50),"")</f>
        <v/>
      </c>
    </row>
    <row r="3179" spans="1:1" x14ac:dyDescent="0.25">
      <c r="A3179" t="str" cm="1">
        <f t="array" ref="A3179">IF(INDEX(CUEs!$A:$A,INT((ROW()-1)/7)*57+MOD(ROW()-1,7)+50)&lt;&gt;"","set "&amp;INDEX(CUEs!$A:$A,INT((ROW()-1)/7)*57+MOD(ROW()-1,7)+50)&amp;"=/ s "&amp;INDEX(CUEs!$B:$B,INT((ROW()-1)/7)*57+MOD(ROW()-1,7)+50),"")</f>
        <v/>
      </c>
    </row>
    <row r="3180" spans="1:1" x14ac:dyDescent="0.25">
      <c r="A3180" t="str" cm="1">
        <f t="array" ref="A3180">IF(INDEX(CUEs!$A:$A,INT((ROW()-1)/7)*57+MOD(ROW()-1,7)+50)&lt;&gt;"","set "&amp;INDEX(CUEs!$A:$A,INT((ROW()-1)/7)*57+MOD(ROW()-1,7)+50)&amp;"=/ s "&amp;INDEX(CUEs!$B:$B,INT((ROW()-1)/7)*57+MOD(ROW()-1,7)+50),"")</f>
        <v/>
      </c>
    </row>
    <row r="3181" spans="1:1" x14ac:dyDescent="0.25">
      <c r="A3181" t="str" cm="1">
        <f t="array" ref="A3181">IF(INDEX(CUEs!$A:$A,INT((ROW()-1)/7)*57+MOD(ROW()-1,7)+50)&lt;&gt;"","set "&amp;INDEX(CUEs!$A:$A,INT((ROW()-1)/7)*57+MOD(ROW()-1,7)+50)&amp;"=/ s "&amp;INDEX(CUEs!$B:$B,INT((ROW()-1)/7)*57+MOD(ROW()-1,7)+50),"")</f>
        <v/>
      </c>
    </row>
    <row r="3182" spans="1:1" x14ac:dyDescent="0.25">
      <c r="A3182" t="str" cm="1">
        <f t="array" ref="A3182">IF(INDEX(CUEs!$A:$A,INT((ROW()-1)/7)*57+MOD(ROW()-1,7)+50)&lt;&gt;"","set "&amp;INDEX(CUEs!$A:$A,INT((ROW()-1)/7)*57+MOD(ROW()-1,7)+50)&amp;"=/ s "&amp;INDEX(CUEs!$B:$B,INT((ROW()-1)/7)*57+MOD(ROW()-1,7)+50),"")</f>
        <v/>
      </c>
    </row>
    <row r="3183" spans="1:1" x14ac:dyDescent="0.25">
      <c r="A3183" t="str" cm="1">
        <f t="array" ref="A3183">IF(INDEX(CUEs!$A:$A,INT((ROW()-1)/7)*57+MOD(ROW()-1,7)+50)&lt;&gt;"","set "&amp;INDEX(CUEs!$A:$A,INT((ROW()-1)/7)*57+MOD(ROW()-1,7)+50)&amp;"=/ s "&amp;INDEX(CUEs!$B:$B,INT((ROW()-1)/7)*57+MOD(ROW()-1,7)+50),"")</f>
        <v/>
      </c>
    </row>
    <row r="3184" spans="1:1" x14ac:dyDescent="0.25">
      <c r="A3184" t="str" cm="1">
        <f t="array" ref="A3184">IF(INDEX(CUEs!$A:$A,INT((ROW()-1)/7)*57+MOD(ROW()-1,7)+50)&lt;&gt;"","set "&amp;INDEX(CUEs!$A:$A,INT((ROW()-1)/7)*57+MOD(ROW()-1,7)+50)&amp;"=/ s "&amp;INDEX(CUEs!$B:$B,INT((ROW()-1)/7)*57+MOD(ROW()-1,7)+50),"")</f>
        <v/>
      </c>
    </row>
    <row r="3185" spans="1:1" x14ac:dyDescent="0.25">
      <c r="A3185" t="str" cm="1">
        <f t="array" ref="A3185">IF(INDEX(CUEs!$A:$A,INT((ROW()-1)/7)*57+MOD(ROW()-1,7)+50)&lt;&gt;"","set "&amp;INDEX(CUEs!$A:$A,INT((ROW()-1)/7)*57+MOD(ROW()-1,7)+50)&amp;"=/ s "&amp;INDEX(CUEs!$B:$B,INT((ROW()-1)/7)*57+MOD(ROW()-1,7)+50),"")</f>
        <v/>
      </c>
    </row>
    <row r="3186" spans="1:1" x14ac:dyDescent="0.25">
      <c r="A3186" t="str" cm="1">
        <f t="array" ref="A3186">IF(INDEX(CUEs!$A:$A,INT((ROW()-1)/7)*57+MOD(ROW()-1,7)+50)&lt;&gt;"","set "&amp;INDEX(CUEs!$A:$A,INT((ROW()-1)/7)*57+MOD(ROW()-1,7)+50)&amp;"=/ s "&amp;INDEX(CUEs!$B:$B,INT((ROW()-1)/7)*57+MOD(ROW()-1,7)+50),"")</f>
        <v/>
      </c>
    </row>
    <row r="3187" spans="1:1" x14ac:dyDescent="0.25">
      <c r="A3187" t="str" cm="1">
        <f t="array" ref="A3187">IF(INDEX(CUEs!$A:$A,INT((ROW()-1)/7)*57+MOD(ROW()-1,7)+50)&lt;&gt;"","set "&amp;INDEX(CUEs!$A:$A,INT((ROW()-1)/7)*57+MOD(ROW()-1,7)+50)&amp;"=/ s "&amp;INDEX(CUEs!$B:$B,INT((ROW()-1)/7)*57+MOD(ROW()-1,7)+50),"")</f>
        <v/>
      </c>
    </row>
    <row r="3188" spans="1:1" x14ac:dyDescent="0.25">
      <c r="A3188" t="str" cm="1">
        <f t="array" ref="A3188">IF(INDEX(CUEs!$A:$A,INT((ROW()-1)/7)*57+MOD(ROW()-1,7)+50)&lt;&gt;"","set "&amp;INDEX(CUEs!$A:$A,INT((ROW()-1)/7)*57+MOD(ROW()-1,7)+50)&amp;"=/ s "&amp;INDEX(CUEs!$B:$B,INT((ROW()-1)/7)*57+MOD(ROW()-1,7)+50),"")</f>
        <v/>
      </c>
    </row>
    <row r="3189" spans="1:1" x14ac:dyDescent="0.25">
      <c r="A3189" t="str" cm="1">
        <f t="array" ref="A3189">IF(INDEX(CUEs!$A:$A,INT((ROW()-1)/7)*57+MOD(ROW()-1,7)+50)&lt;&gt;"","set "&amp;INDEX(CUEs!$A:$A,INT((ROW()-1)/7)*57+MOD(ROW()-1,7)+50)&amp;"=/ s "&amp;INDEX(CUEs!$B:$B,INT((ROW()-1)/7)*57+MOD(ROW()-1,7)+50),"")</f>
        <v/>
      </c>
    </row>
    <row r="3190" spans="1:1" x14ac:dyDescent="0.25">
      <c r="A3190" t="str" cm="1">
        <f t="array" ref="A3190">IF(INDEX(CUEs!$A:$A,INT((ROW()-1)/7)*57+MOD(ROW()-1,7)+50)&lt;&gt;"","set "&amp;INDEX(CUEs!$A:$A,INT((ROW()-1)/7)*57+MOD(ROW()-1,7)+50)&amp;"=/ s "&amp;INDEX(CUEs!$B:$B,INT((ROW()-1)/7)*57+MOD(ROW()-1,7)+50),"")</f>
        <v/>
      </c>
    </row>
    <row r="3191" spans="1:1" x14ac:dyDescent="0.25">
      <c r="A3191" t="str" cm="1">
        <f t="array" ref="A3191">IF(INDEX(CUEs!$A:$A,INT((ROW()-1)/7)*57+MOD(ROW()-1,7)+50)&lt;&gt;"","set "&amp;INDEX(CUEs!$A:$A,INT((ROW()-1)/7)*57+MOD(ROW()-1,7)+50)&amp;"=/ s "&amp;INDEX(CUEs!$B:$B,INT((ROW()-1)/7)*57+MOD(ROW()-1,7)+50),"")</f>
        <v/>
      </c>
    </row>
    <row r="3192" spans="1:1" x14ac:dyDescent="0.25">
      <c r="A3192" t="str" cm="1">
        <f t="array" ref="A3192">IF(INDEX(CUEs!$A:$A,INT((ROW()-1)/7)*57+MOD(ROW()-1,7)+50)&lt;&gt;"","set "&amp;INDEX(CUEs!$A:$A,INT((ROW()-1)/7)*57+MOD(ROW()-1,7)+50)&amp;"=/ s "&amp;INDEX(CUEs!$B:$B,INT((ROW()-1)/7)*57+MOD(ROW()-1,7)+50),"")</f>
        <v/>
      </c>
    </row>
    <row r="3193" spans="1:1" x14ac:dyDescent="0.25">
      <c r="A3193" t="str" cm="1">
        <f t="array" ref="A3193">IF(INDEX(CUEs!$A:$A,INT((ROW()-1)/7)*57+MOD(ROW()-1,7)+50)&lt;&gt;"","set "&amp;INDEX(CUEs!$A:$A,INT((ROW()-1)/7)*57+MOD(ROW()-1,7)+50)&amp;"=/ s "&amp;INDEX(CUEs!$B:$B,INT((ROW()-1)/7)*57+MOD(ROW()-1,7)+50),"")</f>
        <v/>
      </c>
    </row>
    <row r="3194" spans="1:1" x14ac:dyDescent="0.25">
      <c r="A3194" t="str" cm="1">
        <f t="array" ref="A3194">IF(INDEX(CUEs!$A:$A,INT((ROW()-1)/7)*57+MOD(ROW()-1,7)+50)&lt;&gt;"","set "&amp;INDEX(CUEs!$A:$A,INT((ROW()-1)/7)*57+MOD(ROW()-1,7)+50)&amp;"=/ s "&amp;INDEX(CUEs!$B:$B,INT((ROW()-1)/7)*57+MOD(ROW()-1,7)+50),"")</f>
        <v/>
      </c>
    </row>
    <row r="3195" spans="1:1" x14ac:dyDescent="0.25">
      <c r="A3195" t="str" cm="1">
        <f t="array" ref="A3195">IF(INDEX(CUEs!$A:$A,INT((ROW()-1)/7)*57+MOD(ROW()-1,7)+50)&lt;&gt;"","set "&amp;INDEX(CUEs!$A:$A,INT((ROW()-1)/7)*57+MOD(ROW()-1,7)+50)&amp;"=/ s "&amp;INDEX(CUEs!$B:$B,INT((ROW()-1)/7)*57+MOD(ROW()-1,7)+50),"")</f>
        <v/>
      </c>
    </row>
    <row r="3196" spans="1:1" x14ac:dyDescent="0.25">
      <c r="A3196" t="str" cm="1">
        <f t="array" ref="A3196">IF(INDEX(CUEs!$A:$A,INT((ROW()-1)/7)*57+MOD(ROW()-1,7)+50)&lt;&gt;"","set "&amp;INDEX(CUEs!$A:$A,INT((ROW()-1)/7)*57+MOD(ROW()-1,7)+50)&amp;"=/ s "&amp;INDEX(CUEs!$B:$B,INT((ROW()-1)/7)*57+MOD(ROW()-1,7)+50),"")</f>
        <v/>
      </c>
    </row>
    <row r="3197" spans="1:1" x14ac:dyDescent="0.25">
      <c r="A3197" t="str" cm="1">
        <f t="array" ref="A3197">IF(INDEX(CUEs!$A:$A,INT((ROW()-1)/7)*57+MOD(ROW()-1,7)+50)&lt;&gt;"","set "&amp;INDEX(CUEs!$A:$A,INT((ROW()-1)/7)*57+MOD(ROW()-1,7)+50)&amp;"=/ s "&amp;INDEX(CUEs!$B:$B,INT((ROW()-1)/7)*57+MOD(ROW()-1,7)+50),"")</f>
        <v/>
      </c>
    </row>
    <row r="3198" spans="1:1" x14ac:dyDescent="0.25">
      <c r="A3198" t="str" cm="1">
        <f t="array" ref="A3198">IF(INDEX(CUEs!$A:$A,INT((ROW()-1)/7)*57+MOD(ROW()-1,7)+50)&lt;&gt;"","set "&amp;INDEX(CUEs!$A:$A,INT((ROW()-1)/7)*57+MOD(ROW()-1,7)+50)&amp;"=/ s "&amp;INDEX(CUEs!$B:$B,INT((ROW()-1)/7)*57+MOD(ROW()-1,7)+50),"")</f>
        <v/>
      </c>
    </row>
    <row r="3199" spans="1:1" x14ac:dyDescent="0.25">
      <c r="A3199" t="str" cm="1">
        <f t="array" ref="A3199">IF(INDEX(CUEs!$A:$A,INT((ROW()-1)/7)*57+MOD(ROW()-1,7)+50)&lt;&gt;"","set "&amp;INDEX(CUEs!$A:$A,INT((ROW()-1)/7)*57+MOD(ROW()-1,7)+50)&amp;"=/ s "&amp;INDEX(CUEs!$B:$B,INT((ROW()-1)/7)*57+MOD(ROW()-1,7)+50),"")</f>
        <v/>
      </c>
    </row>
    <row r="3200" spans="1:1" x14ac:dyDescent="0.25">
      <c r="A3200" t="str" cm="1">
        <f t="array" ref="A3200">IF(INDEX(CUEs!$A:$A,INT((ROW()-1)/7)*57+MOD(ROW()-1,7)+50)&lt;&gt;"","set "&amp;INDEX(CUEs!$A:$A,INT((ROW()-1)/7)*57+MOD(ROW()-1,7)+50)&amp;"=/ s "&amp;INDEX(CUEs!$B:$B,INT((ROW()-1)/7)*57+MOD(ROW()-1,7)+50),"")</f>
        <v/>
      </c>
    </row>
    <row r="3201" spans="1:1" x14ac:dyDescent="0.25">
      <c r="A3201" t="str" cm="1">
        <f t="array" ref="A3201">IF(INDEX(CUEs!$A:$A,INT((ROW()-1)/7)*57+MOD(ROW()-1,7)+50)&lt;&gt;"","set "&amp;INDEX(CUEs!$A:$A,INT((ROW()-1)/7)*57+MOD(ROW()-1,7)+50)&amp;"=/ s "&amp;INDEX(CUEs!$B:$B,INT((ROW()-1)/7)*57+MOD(ROW()-1,7)+50),"")</f>
        <v/>
      </c>
    </row>
    <row r="3202" spans="1:1" x14ac:dyDescent="0.25">
      <c r="A3202" t="str" cm="1">
        <f t="array" ref="A3202">IF(INDEX(CUEs!$A:$A,INT((ROW()-1)/7)*57+MOD(ROW()-1,7)+50)&lt;&gt;"","set "&amp;INDEX(CUEs!$A:$A,INT((ROW()-1)/7)*57+MOD(ROW()-1,7)+50)&amp;"=/ s "&amp;INDEX(CUEs!$B:$B,INT((ROW()-1)/7)*57+MOD(ROW()-1,7)+50),"")</f>
        <v/>
      </c>
    </row>
    <row r="3203" spans="1:1" x14ac:dyDescent="0.25">
      <c r="A3203" t="str" cm="1">
        <f t="array" ref="A3203">IF(INDEX(CUEs!$A:$A,INT((ROW()-1)/7)*57+MOD(ROW()-1,7)+50)&lt;&gt;"","set "&amp;INDEX(CUEs!$A:$A,INT((ROW()-1)/7)*57+MOD(ROW()-1,7)+50)&amp;"=/ s "&amp;INDEX(CUEs!$B:$B,INT((ROW()-1)/7)*57+MOD(ROW()-1,7)+50),"")</f>
        <v/>
      </c>
    </row>
    <row r="3204" spans="1:1" x14ac:dyDescent="0.25">
      <c r="A3204" t="str" cm="1">
        <f t="array" ref="A3204">IF(INDEX(CUEs!$A:$A,INT((ROW()-1)/7)*57+MOD(ROW()-1,7)+50)&lt;&gt;"","set "&amp;INDEX(CUEs!$A:$A,INT((ROW()-1)/7)*57+MOD(ROW()-1,7)+50)&amp;"=/ s "&amp;INDEX(CUEs!$B:$B,INT((ROW()-1)/7)*57+MOD(ROW()-1,7)+50),"")</f>
        <v/>
      </c>
    </row>
    <row r="3205" spans="1:1" x14ac:dyDescent="0.25">
      <c r="A3205" t="str" cm="1">
        <f t="array" ref="A3205">IF(INDEX(CUEs!$A:$A,INT((ROW()-1)/7)*57+MOD(ROW()-1,7)+50)&lt;&gt;"","set "&amp;INDEX(CUEs!$A:$A,INT((ROW()-1)/7)*57+MOD(ROW()-1,7)+50)&amp;"=/ s "&amp;INDEX(CUEs!$B:$B,INT((ROW()-1)/7)*57+MOD(ROW()-1,7)+50),"")</f>
        <v/>
      </c>
    </row>
    <row r="3206" spans="1:1" x14ac:dyDescent="0.25">
      <c r="A3206" t="str" cm="1">
        <f t="array" ref="A3206">IF(INDEX(CUEs!$A:$A,INT((ROW()-1)/7)*57+MOD(ROW()-1,7)+50)&lt;&gt;"","set "&amp;INDEX(CUEs!$A:$A,INT((ROW()-1)/7)*57+MOD(ROW()-1,7)+50)&amp;"=/ s "&amp;INDEX(CUEs!$B:$B,INT((ROW()-1)/7)*57+MOD(ROW()-1,7)+50),"")</f>
        <v/>
      </c>
    </row>
    <row r="3207" spans="1:1" x14ac:dyDescent="0.25">
      <c r="A3207" t="str" cm="1">
        <f t="array" ref="A3207">IF(INDEX(CUEs!$A:$A,INT((ROW()-1)/7)*57+MOD(ROW()-1,7)+50)&lt;&gt;"","set "&amp;INDEX(CUEs!$A:$A,INT((ROW()-1)/7)*57+MOD(ROW()-1,7)+50)&amp;"=/ s "&amp;INDEX(CUEs!$B:$B,INT((ROW()-1)/7)*57+MOD(ROW()-1,7)+50),"")</f>
        <v/>
      </c>
    </row>
    <row r="3208" spans="1:1" x14ac:dyDescent="0.25">
      <c r="A3208" t="str" cm="1">
        <f t="array" ref="A3208">IF(INDEX(CUEs!$A:$A,INT((ROW()-1)/7)*57+MOD(ROW()-1,7)+50)&lt;&gt;"","set "&amp;INDEX(CUEs!$A:$A,INT((ROW()-1)/7)*57+MOD(ROW()-1,7)+50)&amp;"=/ s "&amp;INDEX(CUEs!$B:$B,INT((ROW()-1)/7)*57+MOD(ROW()-1,7)+50),"")</f>
        <v/>
      </c>
    </row>
    <row r="3209" spans="1:1" x14ac:dyDescent="0.25">
      <c r="A3209" t="str" cm="1">
        <f t="array" ref="A3209">IF(INDEX(CUEs!$A:$A,INT((ROW()-1)/7)*57+MOD(ROW()-1,7)+50)&lt;&gt;"","set "&amp;INDEX(CUEs!$A:$A,INT((ROW()-1)/7)*57+MOD(ROW()-1,7)+50)&amp;"=/ s "&amp;INDEX(CUEs!$B:$B,INT((ROW()-1)/7)*57+MOD(ROW()-1,7)+50),"")</f>
        <v/>
      </c>
    </row>
    <row r="3210" spans="1:1" x14ac:dyDescent="0.25">
      <c r="A3210" t="str" cm="1">
        <f t="array" ref="A3210">IF(INDEX(CUEs!$A:$A,INT((ROW()-1)/7)*57+MOD(ROW()-1,7)+50)&lt;&gt;"","set "&amp;INDEX(CUEs!$A:$A,INT((ROW()-1)/7)*57+MOD(ROW()-1,7)+50)&amp;"=/ s "&amp;INDEX(CUEs!$B:$B,INT((ROW()-1)/7)*57+MOD(ROW()-1,7)+50),"")</f>
        <v/>
      </c>
    </row>
    <row r="3211" spans="1:1" x14ac:dyDescent="0.25">
      <c r="A3211" t="str" cm="1">
        <f t="array" ref="A3211">IF(INDEX(CUEs!$A:$A,INT((ROW()-1)/7)*57+MOD(ROW()-1,7)+50)&lt;&gt;"","set "&amp;INDEX(CUEs!$A:$A,INT((ROW()-1)/7)*57+MOD(ROW()-1,7)+50)&amp;"=/ s "&amp;INDEX(CUEs!$B:$B,INT((ROW()-1)/7)*57+MOD(ROW()-1,7)+50),"")</f>
        <v/>
      </c>
    </row>
    <row r="3212" spans="1:1" x14ac:dyDescent="0.25">
      <c r="A3212" t="str" cm="1">
        <f t="array" ref="A3212">IF(INDEX(CUEs!$A:$A,INT((ROW()-1)/7)*57+MOD(ROW()-1,7)+50)&lt;&gt;"","set "&amp;INDEX(CUEs!$A:$A,INT((ROW()-1)/7)*57+MOD(ROW()-1,7)+50)&amp;"=/ s "&amp;INDEX(CUEs!$B:$B,INT((ROW()-1)/7)*57+MOD(ROW()-1,7)+50),"")</f>
        <v/>
      </c>
    </row>
    <row r="3213" spans="1:1" x14ac:dyDescent="0.25">
      <c r="A3213" t="str" cm="1">
        <f t="array" ref="A3213">IF(INDEX(CUEs!$A:$A,INT((ROW()-1)/7)*57+MOD(ROW()-1,7)+50)&lt;&gt;"","set "&amp;INDEX(CUEs!$A:$A,INT((ROW()-1)/7)*57+MOD(ROW()-1,7)+50)&amp;"=/ s "&amp;INDEX(CUEs!$B:$B,INT((ROW()-1)/7)*57+MOD(ROW()-1,7)+50),"")</f>
        <v/>
      </c>
    </row>
    <row r="3214" spans="1:1" x14ac:dyDescent="0.25">
      <c r="A3214" t="str" cm="1">
        <f t="array" ref="A3214">IF(INDEX(CUEs!$A:$A,INT((ROW()-1)/7)*57+MOD(ROW()-1,7)+50)&lt;&gt;"","set "&amp;INDEX(CUEs!$A:$A,INT((ROW()-1)/7)*57+MOD(ROW()-1,7)+50)&amp;"=/ s "&amp;INDEX(CUEs!$B:$B,INT((ROW()-1)/7)*57+MOD(ROW()-1,7)+50),"")</f>
        <v/>
      </c>
    </row>
    <row r="3215" spans="1:1" x14ac:dyDescent="0.25">
      <c r="A3215" t="str" cm="1">
        <f t="array" ref="A3215">IF(INDEX(CUEs!$A:$A,INT((ROW()-1)/7)*57+MOD(ROW()-1,7)+50)&lt;&gt;"","set "&amp;INDEX(CUEs!$A:$A,INT((ROW()-1)/7)*57+MOD(ROW()-1,7)+50)&amp;"=/ s "&amp;INDEX(CUEs!$B:$B,INT((ROW()-1)/7)*57+MOD(ROW()-1,7)+50),"")</f>
        <v/>
      </c>
    </row>
    <row r="3216" spans="1:1" x14ac:dyDescent="0.25">
      <c r="A3216" t="str" cm="1">
        <f t="array" ref="A3216">IF(INDEX(CUEs!$A:$A,INT((ROW()-1)/7)*57+MOD(ROW()-1,7)+50)&lt;&gt;"","set "&amp;INDEX(CUEs!$A:$A,INT((ROW()-1)/7)*57+MOD(ROW()-1,7)+50)&amp;"=/ s "&amp;INDEX(CUEs!$B:$B,INT((ROW()-1)/7)*57+MOD(ROW()-1,7)+50),"")</f>
        <v/>
      </c>
    </row>
    <row r="3217" spans="1:1" x14ac:dyDescent="0.25">
      <c r="A3217" t="str" cm="1">
        <f t="array" ref="A3217">IF(INDEX(CUEs!$A:$A,INT((ROW()-1)/7)*57+MOD(ROW()-1,7)+50)&lt;&gt;"","set "&amp;INDEX(CUEs!$A:$A,INT((ROW()-1)/7)*57+MOD(ROW()-1,7)+50)&amp;"=/ s "&amp;INDEX(CUEs!$B:$B,INT((ROW()-1)/7)*57+MOD(ROW()-1,7)+50),"")</f>
        <v/>
      </c>
    </row>
    <row r="3218" spans="1:1" x14ac:dyDescent="0.25">
      <c r="A3218" t="str" cm="1">
        <f t="array" ref="A3218">IF(INDEX(CUEs!$A:$A,INT((ROW()-1)/7)*57+MOD(ROW()-1,7)+50)&lt;&gt;"","set "&amp;INDEX(CUEs!$A:$A,INT((ROW()-1)/7)*57+MOD(ROW()-1,7)+50)&amp;"=/ s "&amp;INDEX(CUEs!$B:$B,INT((ROW()-1)/7)*57+MOD(ROW()-1,7)+50),"")</f>
        <v/>
      </c>
    </row>
    <row r="3219" spans="1:1" x14ac:dyDescent="0.25">
      <c r="A3219" t="str" cm="1">
        <f t="array" ref="A3219">IF(INDEX(CUEs!$A:$A,INT((ROW()-1)/7)*57+MOD(ROW()-1,7)+50)&lt;&gt;"","set "&amp;INDEX(CUEs!$A:$A,INT((ROW()-1)/7)*57+MOD(ROW()-1,7)+50)&amp;"=/ s "&amp;INDEX(CUEs!$B:$B,INT((ROW()-1)/7)*57+MOD(ROW()-1,7)+50),"")</f>
        <v/>
      </c>
    </row>
    <row r="3220" spans="1:1" x14ac:dyDescent="0.25">
      <c r="A3220" t="str" cm="1">
        <f t="array" ref="A3220">IF(INDEX(CUEs!$A:$A,INT((ROW()-1)/7)*57+MOD(ROW()-1,7)+50)&lt;&gt;"","set "&amp;INDEX(CUEs!$A:$A,INT((ROW()-1)/7)*57+MOD(ROW()-1,7)+50)&amp;"=/ s "&amp;INDEX(CUEs!$B:$B,INT((ROW()-1)/7)*57+MOD(ROW()-1,7)+50),"")</f>
        <v/>
      </c>
    </row>
    <row r="3221" spans="1:1" x14ac:dyDescent="0.25">
      <c r="A3221" t="str" cm="1">
        <f t="array" ref="A3221">IF(INDEX(CUEs!$A:$A,INT((ROW()-1)/7)*57+MOD(ROW()-1,7)+50)&lt;&gt;"","set "&amp;INDEX(CUEs!$A:$A,INT((ROW()-1)/7)*57+MOD(ROW()-1,7)+50)&amp;"=/ s "&amp;INDEX(CUEs!$B:$B,INT((ROW()-1)/7)*57+MOD(ROW()-1,7)+50),"")</f>
        <v/>
      </c>
    </row>
    <row r="3222" spans="1:1" x14ac:dyDescent="0.25">
      <c r="A3222" t="str" cm="1">
        <f t="array" ref="A3222">IF(INDEX(CUEs!$A:$A,INT((ROW()-1)/7)*57+MOD(ROW()-1,7)+50)&lt;&gt;"","set "&amp;INDEX(CUEs!$A:$A,INT((ROW()-1)/7)*57+MOD(ROW()-1,7)+50)&amp;"=/ s "&amp;INDEX(CUEs!$B:$B,INT((ROW()-1)/7)*57+MOD(ROW()-1,7)+50),"")</f>
        <v/>
      </c>
    </row>
    <row r="3223" spans="1:1" x14ac:dyDescent="0.25">
      <c r="A3223" t="str" cm="1">
        <f t="array" ref="A3223">IF(INDEX(CUEs!$A:$A,INT((ROW()-1)/7)*57+MOD(ROW()-1,7)+50)&lt;&gt;"","set "&amp;INDEX(CUEs!$A:$A,INT((ROW()-1)/7)*57+MOD(ROW()-1,7)+50)&amp;"=/ s "&amp;INDEX(CUEs!$B:$B,INT((ROW()-1)/7)*57+MOD(ROW()-1,7)+50),"")</f>
        <v/>
      </c>
    </row>
    <row r="3224" spans="1:1" x14ac:dyDescent="0.25">
      <c r="A3224" t="str" cm="1">
        <f t="array" ref="A3224">IF(INDEX(CUEs!$A:$A,INT((ROW()-1)/7)*57+MOD(ROW()-1,7)+50)&lt;&gt;"","set "&amp;INDEX(CUEs!$A:$A,INT((ROW()-1)/7)*57+MOD(ROW()-1,7)+50)&amp;"=/ s "&amp;INDEX(CUEs!$B:$B,INT((ROW()-1)/7)*57+MOD(ROW()-1,7)+50),"")</f>
        <v/>
      </c>
    </row>
    <row r="3225" spans="1:1" x14ac:dyDescent="0.25">
      <c r="A3225" t="str" cm="1">
        <f t="array" ref="A3225">IF(INDEX(CUEs!$A:$A,INT((ROW()-1)/7)*57+MOD(ROW()-1,7)+50)&lt;&gt;"","set "&amp;INDEX(CUEs!$A:$A,INT((ROW()-1)/7)*57+MOD(ROW()-1,7)+50)&amp;"=/ s "&amp;INDEX(CUEs!$B:$B,INT((ROW()-1)/7)*57+MOD(ROW()-1,7)+50),"")</f>
        <v/>
      </c>
    </row>
    <row r="3226" spans="1:1" x14ac:dyDescent="0.25">
      <c r="A3226" t="str" cm="1">
        <f t="array" ref="A3226">IF(INDEX(CUEs!$A:$A,INT((ROW()-1)/7)*57+MOD(ROW()-1,7)+50)&lt;&gt;"","set "&amp;INDEX(CUEs!$A:$A,INT((ROW()-1)/7)*57+MOD(ROW()-1,7)+50)&amp;"=/ s "&amp;INDEX(CUEs!$B:$B,INT((ROW()-1)/7)*57+MOD(ROW()-1,7)+50),"")</f>
        <v/>
      </c>
    </row>
    <row r="3227" spans="1:1" x14ac:dyDescent="0.25">
      <c r="A3227" t="str" cm="1">
        <f t="array" ref="A3227">IF(INDEX(CUEs!$A:$A,INT((ROW()-1)/7)*57+MOD(ROW()-1,7)+50)&lt;&gt;"","set "&amp;INDEX(CUEs!$A:$A,INT((ROW()-1)/7)*57+MOD(ROW()-1,7)+50)&amp;"=/ s "&amp;INDEX(CUEs!$B:$B,INT((ROW()-1)/7)*57+MOD(ROW()-1,7)+50),"")</f>
        <v/>
      </c>
    </row>
    <row r="3228" spans="1:1" x14ac:dyDescent="0.25">
      <c r="A3228" t="str" cm="1">
        <f t="array" ref="A3228">IF(INDEX(CUEs!$A:$A,INT((ROW()-1)/7)*57+MOD(ROW()-1,7)+50)&lt;&gt;"","set "&amp;INDEX(CUEs!$A:$A,INT((ROW()-1)/7)*57+MOD(ROW()-1,7)+50)&amp;"=/ s "&amp;INDEX(CUEs!$B:$B,INT((ROW()-1)/7)*57+MOD(ROW()-1,7)+50),"")</f>
        <v/>
      </c>
    </row>
    <row r="3229" spans="1:1" x14ac:dyDescent="0.25">
      <c r="A3229" t="str" cm="1">
        <f t="array" ref="A3229">IF(INDEX(CUEs!$A:$A,INT((ROW()-1)/7)*57+MOD(ROW()-1,7)+50)&lt;&gt;"","set "&amp;INDEX(CUEs!$A:$A,INT((ROW()-1)/7)*57+MOD(ROW()-1,7)+50)&amp;"=/ s "&amp;INDEX(CUEs!$B:$B,INT((ROW()-1)/7)*57+MOD(ROW()-1,7)+50),"")</f>
        <v/>
      </c>
    </row>
    <row r="3230" spans="1:1" x14ac:dyDescent="0.25">
      <c r="A3230" t="str" cm="1">
        <f t="array" ref="A3230">IF(INDEX(CUEs!$A:$A,INT((ROW()-1)/7)*57+MOD(ROW()-1,7)+50)&lt;&gt;"","set "&amp;INDEX(CUEs!$A:$A,INT((ROW()-1)/7)*57+MOD(ROW()-1,7)+50)&amp;"=/ s "&amp;INDEX(CUEs!$B:$B,INT((ROW()-1)/7)*57+MOD(ROW()-1,7)+50),"")</f>
        <v/>
      </c>
    </row>
    <row r="3231" spans="1:1" x14ac:dyDescent="0.25">
      <c r="A3231" t="str" cm="1">
        <f t="array" ref="A3231">IF(INDEX(CUEs!$A:$A,INT((ROW()-1)/7)*57+MOD(ROW()-1,7)+50)&lt;&gt;"","set "&amp;INDEX(CUEs!$A:$A,INT((ROW()-1)/7)*57+MOD(ROW()-1,7)+50)&amp;"=/ s "&amp;INDEX(CUEs!$B:$B,INT((ROW()-1)/7)*57+MOD(ROW()-1,7)+50),"")</f>
        <v/>
      </c>
    </row>
    <row r="3232" spans="1:1" x14ac:dyDescent="0.25">
      <c r="A3232" t="str" cm="1">
        <f t="array" ref="A3232">IF(INDEX(CUEs!$A:$A,INT((ROW()-1)/7)*57+MOD(ROW()-1,7)+50)&lt;&gt;"","set "&amp;INDEX(CUEs!$A:$A,INT((ROW()-1)/7)*57+MOD(ROW()-1,7)+50)&amp;"=/ s "&amp;INDEX(CUEs!$B:$B,INT((ROW()-1)/7)*57+MOD(ROW()-1,7)+50),"")</f>
        <v/>
      </c>
    </row>
    <row r="3233" spans="1:1" x14ac:dyDescent="0.25">
      <c r="A3233" t="str" cm="1">
        <f t="array" ref="A3233">IF(INDEX(CUEs!$A:$A,INT((ROW()-1)/7)*57+MOD(ROW()-1,7)+50)&lt;&gt;"","set "&amp;INDEX(CUEs!$A:$A,INT((ROW()-1)/7)*57+MOD(ROW()-1,7)+50)&amp;"=/ s "&amp;INDEX(CUEs!$B:$B,INT((ROW()-1)/7)*57+MOD(ROW()-1,7)+50),"")</f>
        <v/>
      </c>
    </row>
    <row r="3234" spans="1:1" x14ac:dyDescent="0.25">
      <c r="A3234" t="str" cm="1">
        <f t="array" ref="A3234">IF(INDEX(CUEs!$A:$A,INT((ROW()-1)/7)*57+MOD(ROW()-1,7)+50)&lt;&gt;"","set "&amp;INDEX(CUEs!$A:$A,INT((ROW()-1)/7)*57+MOD(ROW()-1,7)+50)&amp;"=/ s "&amp;INDEX(CUEs!$B:$B,INT((ROW()-1)/7)*57+MOD(ROW()-1,7)+50),"")</f>
        <v/>
      </c>
    </row>
    <row r="3235" spans="1:1" x14ac:dyDescent="0.25">
      <c r="A3235" t="str" cm="1">
        <f t="array" ref="A3235">IF(INDEX(CUEs!$A:$A,INT((ROW()-1)/7)*57+MOD(ROW()-1,7)+50)&lt;&gt;"","set "&amp;INDEX(CUEs!$A:$A,INT((ROW()-1)/7)*57+MOD(ROW()-1,7)+50)&amp;"=/ s "&amp;INDEX(CUEs!$B:$B,INT((ROW()-1)/7)*57+MOD(ROW()-1,7)+50),"")</f>
        <v/>
      </c>
    </row>
    <row r="3236" spans="1:1" x14ac:dyDescent="0.25">
      <c r="A3236" t="str" cm="1">
        <f t="array" ref="A3236">IF(INDEX(CUEs!$A:$A,INT((ROW()-1)/7)*57+MOD(ROW()-1,7)+50)&lt;&gt;"","set "&amp;INDEX(CUEs!$A:$A,INT((ROW()-1)/7)*57+MOD(ROW()-1,7)+50)&amp;"=/ s "&amp;INDEX(CUEs!$B:$B,INT((ROW()-1)/7)*57+MOD(ROW()-1,7)+50),"")</f>
        <v/>
      </c>
    </row>
    <row r="3237" spans="1:1" x14ac:dyDescent="0.25">
      <c r="A3237" t="str" cm="1">
        <f t="array" ref="A3237">IF(INDEX(CUEs!$A:$A,INT((ROW()-1)/7)*57+MOD(ROW()-1,7)+50)&lt;&gt;"","set "&amp;INDEX(CUEs!$A:$A,INT((ROW()-1)/7)*57+MOD(ROW()-1,7)+50)&amp;"=/ s "&amp;INDEX(CUEs!$B:$B,INT((ROW()-1)/7)*57+MOD(ROW()-1,7)+50),"")</f>
        <v/>
      </c>
    </row>
    <row r="3238" spans="1:1" x14ac:dyDescent="0.25">
      <c r="A3238" t="str" cm="1">
        <f t="array" ref="A3238">IF(INDEX(CUEs!$A:$A,INT((ROW()-1)/7)*57+MOD(ROW()-1,7)+50)&lt;&gt;"","set "&amp;INDEX(CUEs!$A:$A,INT((ROW()-1)/7)*57+MOD(ROW()-1,7)+50)&amp;"=/ s "&amp;INDEX(CUEs!$B:$B,INT((ROW()-1)/7)*57+MOD(ROW()-1,7)+50),"")</f>
        <v/>
      </c>
    </row>
    <row r="3239" spans="1:1" x14ac:dyDescent="0.25">
      <c r="A3239" t="str" cm="1">
        <f t="array" ref="A3239">IF(INDEX(CUEs!$A:$A,INT((ROW()-1)/7)*57+MOD(ROW()-1,7)+50)&lt;&gt;"","set "&amp;INDEX(CUEs!$A:$A,INT((ROW()-1)/7)*57+MOD(ROW()-1,7)+50)&amp;"=/ s "&amp;INDEX(CUEs!$B:$B,INT((ROW()-1)/7)*57+MOD(ROW()-1,7)+50),"")</f>
        <v/>
      </c>
    </row>
    <row r="3240" spans="1:1" x14ac:dyDescent="0.25">
      <c r="A3240" t="str" cm="1">
        <f t="array" ref="A3240">IF(INDEX(CUEs!$A:$A,INT((ROW()-1)/7)*57+MOD(ROW()-1,7)+50)&lt;&gt;"","set "&amp;INDEX(CUEs!$A:$A,INT((ROW()-1)/7)*57+MOD(ROW()-1,7)+50)&amp;"=/ s "&amp;INDEX(CUEs!$B:$B,INT((ROW()-1)/7)*57+MOD(ROW()-1,7)+50),"")</f>
        <v/>
      </c>
    </row>
    <row r="3241" spans="1:1" x14ac:dyDescent="0.25">
      <c r="A3241" t="str" cm="1">
        <f t="array" ref="A3241">IF(INDEX(CUEs!$A:$A,INT((ROW()-1)/7)*57+MOD(ROW()-1,7)+50)&lt;&gt;"","set "&amp;INDEX(CUEs!$A:$A,INT((ROW()-1)/7)*57+MOD(ROW()-1,7)+50)&amp;"=/ s "&amp;INDEX(CUEs!$B:$B,INT((ROW()-1)/7)*57+MOD(ROW()-1,7)+50),"")</f>
        <v/>
      </c>
    </row>
    <row r="3242" spans="1:1" x14ac:dyDescent="0.25">
      <c r="A3242" t="str" cm="1">
        <f t="array" ref="A3242">IF(INDEX(CUEs!$A:$A,INT((ROW()-1)/7)*57+MOD(ROW()-1,7)+50)&lt;&gt;"","set "&amp;INDEX(CUEs!$A:$A,INT((ROW()-1)/7)*57+MOD(ROW()-1,7)+50)&amp;"=/ s "&amp;INDEX(CUEs!$B:$B,INT((ROW()-1)/7)*57+MOD(ROW()-1,7)+50),"")</f>
        <v/>
      </c>
    </row>
    <row r="3243" spans="1:1" x14ac:dyDescent="0.25">
      <c r="A3243" t="str" cm="1">
        <f t="array" ref="A3243">IF(INDEX(CUEs!$A:$A,INT((ROW()-1)/7)*57+MOD(ROW()-1,7)+50)&lt;&gt;"","set "&amp;INDEX(CUEs!$A:$A,INT((ROW()-1)/7)*57+MOD(ROW()-1,7)+50)&amp;"=/ s "&amp;INDEX(CUEs!$B:$B,INT((ROW()-1)/7)*57+MOD(ROW()-1,7)+50),"")</f>
        <v/>
      </c>
    </row>
    <row r="3244" spans="1:1" x14ac:dyDescent="0.25">
      <c r="A3244" t="str" cm="1">
        <f t="array" ref="A3244">IF(INDEX(CUEs!$A:$A,INT((ROW()-1)/7)*57+MOD(ROW()-1,7)+50)&lt;&gt;"","set "&amp;INDEX(CUEs!$A:$A,INT((ROW()-1)/7)*57+MOD(ROW()-1,7)+50)&amp;"=/ s "&amp;INDEX(CUEs!$B:$B,INT((ROW()-1)/7)*57+MOD(ROW()-1,7)+50),"")</f>
        <v/>
      </c>
    </row>
    <row r="3245" spans="1:1" x14ac:dyDescent="0.25">
      <c r="A3245" t="str" cm="1">
        <f t="array" ref="A3245">IF(INDEX(CUEs!$A:$A,INT((ROW()-1)/7)*57+MOD(ROW()-1,7)+50)&lt;&gt;"","set "&amp;INDEX(CUEs!$A:$A,INT((ROW()-1)/7)*57+MOD(ROW()-1,7)+50)&amp;"=/ s "&amp;INDEX(CUEs!$B:$B,INT((ROW()-1)/7)*57+MOD(ROW()-1,7)+50),"")</f>
        <v/>
      </c>
    </row>
    <row r="3246" spans="1:1" x14ac:dyDescent="0.25">
      <c r="A3246" t="str" cm="1">
        <f t="array" ref="A3246">IF(INDEX(CUEs!$A:$A,INT((ROW()-1)/7)*57+MOD(ROW()-1,7)+50)&lt;&gt;"","set "&amp;INDEX(CUEs!$A:$A,INT((ROW()-1)/7)*57+MOD(ROW()-1,7)+50)&amp;"=/ s "&amp;INDEX(CUEs!$B:$B,INT((ROW()-1)/7)*57+MOD(ROW()-1,7)+50),"")</f>
        <v/>
      </c>
    </row>
    <row r="3247" spans="1:1" x14ac:dyDescent="0.25">
      <c r="A3247" t="str" cm="1">
        <f t="array" ref="A3247">IF(INDEX(CUEs!$A:$A,INT((ROW()-1)/7)*57+MOD(ROW()-1,7)+50)&lt;&gt;"","set "&amp;INDEX(CUEs!$A:$A,INT((ROW()-1)/7)*57+MOD(ROW()-1,7)+50)&amp;"=/ s "&amp;INDEX(CUEs!$B:$B,INT((ROW()-1)/7)*57+MOD(ROW()-1,7)+50),"")</f>
        <v/>
      </c>
    </row>
    <row r="3248" spans="1:1" x14ac:dyDescent="0.25">
      <c r="A3248" t="str" cm="1">
        <f t="array" ref="A3248">IF(INDEX(CUEs!$A:$A,INT((ROW()-1)/7)*57+MOD(ROW()-1,7)+50)&lt;&gt;"","set "&amp;INDEX(CUEs!$A:$A,INT((ROW()-1)/7)*57+MOD(ROW()-1,7)+50)&amp;"=/ s "&amp;INDEX(CUEs!$B:$B,INT((ROW()-1)/7)*57+MOD(ROW()-1,7)+50),"")</f>
        <v/>
      </c>
    </row>
    <row r="3249" spans="1:1" x14ac:dyDescent="0.25">
      <c r="A3249" t="str" cm="1">
        <f t="array" ref="A3249">IF(INDEX(CUEs!$A:$A,INT((ROW()-1)/7)*57+MOD(ROW()-1,7)+50)&lt;&gt;"","set "&amp;INDEX(CUEs!$A:$A,INT((ROW()-1)/7)*57+MOD(ROW()-1,7)+50)&amp;"=/ s "&amp;INDEX(CUEs!$B:$B,INT((ROW()-1)/7)*57+MOD(ROW()-1,7)+50),"")</f>
        <v/>
      </c>
    </row>
    <row r="3250" spans="1:1" x14ac:dyDescent="0.25">
      <c r="A3250" t="str" cm="1">
        <f t="array" ref="A3250">IF(INDEX(CUEs!$A:$A,INT((ROW()-1)/7)*57+MOD(ROW()-1,7)+50)&lt;&gt;"","set "&amp;INDEX(CUEs!$A:$A,INT((ROW()-1)/7)*57+MOD(ROW()-1,7)+50)&amp;"=/ s "&amp;INDEX(CUEs!$B:$B,INT((ROW()-1)/7)*57+MOD(ROW()-1,7)+50),"")</f>
        <v/>
      </c>
    </row>
    <row r="3251" spans="1:1" x14ac:dyDescent="0.25">
      <c r="A3251" t="str" cm="1">
        <f t="array" ref="A3251">IF(INDEX(CUEs!$A:$A,INT((ROW()-1)/7)*57+MOD(ROW()-1,7)+50)&lt;&gt;"","set "&amp;INDEX(CUEs!$A:$A,INT((ROW()-1)/7)*57+MOD(ROW()-1,7)+50)&amp;"=/ s "&amp;INDEX(CUEs!$B:$B,INT((ROW()-1)/7)*57+MOD(ROW()-1,7)+50),"")</f>
        <v/>
      </c>
    </row>
    <row r="3252" spans="1:1" x14ac:dyDescent="0.25">
      <c r="A3252" t="str" cm="1">
        <f t="array" ref="A3252">IF(INDEX(CUEs!$A:$A,INT((ROW()-1)/7)*57+MOD(ROW()-1,7)+50)&lt;&gt;"","set "&amp;INDEX(CUEs!$A:$A,INT((ROW()-1)/7)*57+MOD(ROW()-1,7)+50)&amp;"=/ s "&amp;INDEX(CUEs!$B:$B,INT((ROW()-1)/7)*57+MOD(ROW()-1,7)+50),"")</f>
        <v/>
      </c>
    </row>
    <row r="3253" spans="1:1" x14ac:dyDescent="0.25">
      <c r="A3253" t="str" cm="1">
        <f t="array" ref="A3253">IF(INDEX(CUEs!$A:$A,INT((ROW()-1)/7)*57+MOD(ROW()-1,7)+50)&lt;&gt;"","set "&amp;INDEX(CUEs!$A:$A,INT((ROW()-1)/7)*57+MOD(ROW()-1,7)+50)&amp;"=/ s "&amp;INDEX(CUEs!$B:$B,INT((ROW()-1)/7)*57+MOD(ROW()-1,7)+50),"")</f>
        <v/>
      </c>
    </row>
    <row r="3254" spans="1:1" x14ac:dyDescent="0.25">
      <c r="A3254" t="str" cm="1">
        <f t="array" ref="A3254">IF(INDEX(CUEs!$A:$A,INT((ROW()-1)/7)*57+MOD(ROW()-1,7)+50)&lt;&gt;"","set "&amp;INDEX(CUEs!$A:$A,INT((ROW()-1)/7)*57+MOD(ROW()-1,7)+50)&amp;"=/ s "&amp;INDEX(CUEs!$B:$B,INT((ROW()-1)/7)*57+MOD(ROW()-1,7)+50),"")</f>
        <v/>
      </c>
    </row>
    <row r="3255" spans="1:1" x14ac:dyDescent="0.25">
      <c r="A3255" t="str" cm="1">
        <f t="array" ref="A3255">IF(INDEX(CUEs!$A:$A,INT((ROW()-1)/7)*57+MOD(ROW()-1,7)+50)&lt;&gt;"","set "&amp;INDEX(CUEs!$A:$A,INT((ROW()-1)/7)*57+MOD(ROW()-1,7)+50)&amp;"=/ s "&amp;INDEX(CUEs!$B:$B,INT((ROW()-1)/7)*57+MOD(ROW()-1,7)+50),"")</f>
        <v/>
      </c>
    </row>
    <row r="3256" spans="1:1" x14ac:dyDescent="0.25">
      <c r="A3256" t="str" cm="1">
        <f t="array" ref="A3256">IF(INDEX(CUEs!$A:$A,INT((ROW()-1)/7)*57+MOD(ROW()-1,7)+50)&lt;&gt;"","set "&amp;INDEX(CUEs!$A:$A,INT((ROW()-1)/7)*57+MOD(ROW()-1,7)+50)&amp;"=/ s "&amp;INDEX(CUEs!$B:$B,INT((ROW()-1)/7)*57+MOD(ROW()-1,7)+50),"")</f>
        <v/>
      </c>
    </row>
    <row r="3257" spans="1:1" x14ac:dyDescent="0.25">
      <c r="A3257" t="str" cm="1">
        <f t="array" ref="A3257">IF(INDEX(CUEs!$A:$A,INT((ROW()-1)/7)*57+MOD(ROW()-1,7)+50)&lt;&gt;"","set "&amp;INDEX(CUEs!$A:$A,INT((ROW()-1)/7)*57+MOD(ROW()-1,7)+50)&amp;"=/ s "&amp;INDEX(CUEs!$B:$B,INT((ROW()-1)/7)*57+MOD(ROW()-1,7)+50),"")</f>
        <v/>
      </c>
    </row>
    <row r="3258" spans="1:1" x14ac:dyDescent="0.25">
      <c r="A3258" t="str" cm="1">
        <f t="array" ref="A3258">IF(INDEX(CUEs!$A:$A,INT((ROW()-1)/7)*57+MOD(ROW()-1,7)+50)&lt;&gt;"","set "&amp;INDEX(CUEs!$A:$A,INT((ROW()-1)/7)*57+MOD(ROW()-1,7)+50)&amp;"=/ s "&amp;INDEX(CUEs!$B:$B,INT((ROW()-1)/7)*57+MOD(ROW()-1,7)+50),"")</f>
        <v/>
      </c>
    </row>
    <row r="3259" spans="1:1" x14ac:dyDescent="0.25">
      <c r="A3259" t="str" cm="1">
        <f t="array" ref="A3259">IF(INDEX(CUEs!$A:$A,INT((ROW()-1)/7)*57+MOD(ROW()-1,7)+50)&lt;&gt;"","set "&amp;INDEX(CUEs!$A:$A,INT((ROW()-1)/7)*57+MOD(ROW()-1,7)+50)&amp;"=/ s "&amp;INDEX(CUEs!$B:$B,INT((ROW()-1)/7)*57+MOD(ROW()-1,7)+50),"")</f>
        <v/>
      </c>
    </row>
    <row r="3260" spans="1:1" x14ac:dyDescent="0.25">
      <c r="A3260" t="str" cm="1">
        <f t="array" ref="A3260">IF(INDEX(CUEs!$A:$A,INT((ROW()-1)/7)*57+MOD(ROW()-1,7)+50)&lt;&gt;"","set "&amp;INDEX(CUEs!$A:$A,INT((ROW()-1)/7)*57+MOD(ROW()-1,7)+50)&amp;"=/ s "&amp;INDEX(CUEs!$B:$B,INT((ROW()-1)/7)*57+MOD(ROW()-1,7)+50),"")</f>
        <v/>
      </c>
    </row>
    <row r="3261" spans="1:1" x14ac:dyDescent="0.25">
      <c r="A3261" t="str" cm="1">
        <f t="array" ref="A3261">IF(INDEX(CUEs!$A:$A,INT((ROW()-1)/7)*57+MOD(ROW()-1,7)+50)&lt;&gt;"","set "&amp;INDEX(CUEs!$A:$A,INT((ROW()-1)/7)*57+MOD(ROW()-1,7)+50)&amp;"=/ s "&amp;INDEX(CUEs!$B:$B,INT((ROW()-1)/7)*57+MOD(ROW()-1,7)+50),"")</f>
        <v/>
      </c>
    </row>
    <row r="3262" spans="1:1" x14ac:dyDescent="0.25">
      <c r="A3262" t="str" cm="1">
        <f t="array" ref="A3262">IF(INDEX(CUEs!$A:$A,INT((ROW()-1)/7)*57+MOD(ROW()-1,7)+50)&lt;&gt;"","set "&amp;INDEX(CUEs!$A:$A,INT((ROW()-1)/7)*57+MOD(ROW()-1,7)+50)&amp;"=/ s "&amp;INDEX(CUEs!$B:$B,INT((ROW()-1)/7)*57+MOD(ROW()-1,7)+50),"")</f>
        <v/>
      </c>
    </row>
    <row r="3263" spans="1:1" x14ac:dyDescent="0.25">
      <c r="A3263" t="str" cm="1">
        <f t="array" ref="A3263">IF(INDEX(CUEs!$A:$A,INT((ROW()-1)/7)*57+MOD(ROW()-1,7)+50)&lt;&gt;"","set "&amp;INDEX(CUEs!$A:$A,INT((ROW()-1)/7)*57+MOD(ROW()-1,7)+50)&amp;"=/ s "&amp;INDEX(CUEs!$B:$B,INT((ROW()-1)/7)*57+MOD(ROW()-1,7)+50),"")</f>
        <v/>
      </c>
    </row>
    <row r="3264" spans="1:1" x14ac:dyDescent="0.25">
      <c r="A3264" t="str" cm="1">
        <f t="array" ref="A3264">IF(INDEX(CUEs!$A:$A,INT((ROW()-1)/7)*57+MOD(ROW()-1,7)+50)&lt;&gt;"","set "&amp;INDEX(CUEs!$A:$A,INT((ROW()-1)/7)*57+MOD(ROW()-1,7)+50)&amp;"=/ s "&amp;INDEX(CUEs!$B:$B,INT((ROW()-1)/7)*57+MOD(ROW()-1,7)+50),"")</f>
        <v/>
      </c>
    </row>
    <row r="3265" spans="1:1" x14ac:dyDescent="0.25">
      <c r="A3265" t="str" cm="1">
        <f t="array" ref="A3265">IF(INDEX(CUEs!$A:$A,INT((ROW()-1)/7)*57+MOD(ROW()-1,7)+50)&lt;&gt;"","set "&amp;INDEX(CUEs!$A:$A,INT((ROW()-1)/7)*57+MOD(ROW()-1,7)+50)&amp;"=/ s "&amp;INDEX(CUEs!$B:$B,INT((ROW()-1)/7)*57+MOD(ROW()-1,7)+50),"")</f>
        <v/>
      </c>
    </row>
    <row r="3266" spans="1:1" x14ac:dyDescent="0.25">
      <c r="A3266" t="str" cm="1">
        <f t="array" ref="A3266">IF(INDEX(CUEs!$A:$A,INT((ROW()-1)/7)*57+MOD(ROW()-1,7)+50)&lt;&gt;"","set "&amp;INDEX(CUEs!$A:$A,INT((ROW()-1)/7)*57+MOD(ROW()-1,7)+50)&amp;"=/ s "&amp;INDEX(CUEs!$B:$B,INT((ROW()-1)/7)*57+MOD(ROW()-1,7)+50),"")</f>
        <v/>
      </c>
    </row>
    <row r="3267" spans="1:1" x14ac:dyDescent="0.25">
      <c r="A3267" t="str" cm="1">
        <f t="array" ref="A3267">IF(INDEX(CUEs!$A:$A,INT((ROW()-1)/7)*57+MOD(ROW()-1,7)+50)&lt;&gt;"","set "&amp;INDEX(CUEs!$A:$A,INT((ROW()-1)/7)*57+MOD(ROW()-1,7)+50)&amp;"=/ s "&amp;INDEX(CUEs!$B:$B,INT((ROW()-1)/7)*57+MOD(ROW()-1,7)+50),"")</f>
        <v/>
      </c>
    </row>
    <row r="3268" spans="1:1" x14ac:dyDescent="0.25">
      <c r="A3268" t="str" cm="1">
        <f t="array" ref="A3268">IF(INDEX(CUEs!$A:$A,INT((ROW()-1)/7)*57+MOD(ROW()-1,7)+50)&lt;&gt;"","set "&amp;INDEX(CUEs!$A:$A,INT((ROW()-1)/7)*57+MOD(ROW()-1,7)+50)&amp;"=/ s "&amp;INDEX(CUEs!$B:$B,INT((ROW()-1)/7)*57+MOD(ROW()-1,7)+50),"")</f>
        <v/>
      </c>
    </row>
    <row r="3269" spans="1:1" x14ac:dyDescent="0.25">
      <c r="A3269" t="str" cm="1">
        <f t="array" ref="A3269">IF(INDEX(CUEs!$A:$A,INT((ROW()-1)/7)*57+MOD(ROW()-1,7)+50)&lt;&gt;"","set "&amp;INDEX(CUEs!$A:$A,INT((ROW()-1)/7)*57+MOD(ROW()-1,7)+50)&amp;"=/ s "&amp;INDEX(CUEs!$B:$B,INT((ROW()-1)/7)*57+MOD(ROW()-1,7)+50),"")</f>
        <v/>
      </c>
    </row>
    <row r="3270" spans="1:1" x14ac:dyDescent="0.25">
      <c r="A3270" t="str" cm="1">
        <f t="array" ref="A3270">IF(INDEX(CUEs!$A:$A,INT((ROW()-1)/7)*57+MOD(ROW()-1,7)+50)&lt;&gt;"","set "&amp;INDEX(CUEs!$A:$A,INT((ROW()-1)/7)*57+MOD(ROW()-1,7)+50)&amp;"=/ s "&amp;INDEX(CUEs!$B:$B,INT((ROW()-1)/7)*57+MOD(ROW()-1,7)+50),"")</f>
        <v/>
      </c>
    </row>
    <row r="3271" spans="1:1" x14ac:dyDescent="0.25">
      <c r="A3271" t="str" cm="1">
        <f t="array" ref="A3271">IF(INDEX(CUEs!$A:$A,INT((ROW()-1)/7)*57+MOD(ROW()-1,7)+50)&lt;&gt;"","set "&amp;INDEX(CUEs!$A:$A,INT((ROW()-1)/7)*57+MOD(ROW()-1,7)+50)&amp;"=/ s "&amp;INDEX(CUEs!$B:$B,INT((ROW()-1)/7)*57+MOD(ROW()-1,7)+50),"")</f>
        <v/>
      </c>
    </row>
    <row r="3272" spans="1:1" x14ac:dyDescent="0.25">
      <c r="A3272" t="str" cm="1">
        <f t="array" ref="A3272">IF(INDEX(CUEs!$A:$A,INT((ROW()-1)/7)*57+MOD(ROW()-1,7)+50)&lt;&gt;"","set "&amp;INDEX(CUEs!$A:$A,INT((ROW()-1)/7)*57+MOD(ROW()-1,7)+50)&amp;"=/ s "&amp;INDEX(CUEs!$B:$B,INT((ROW()-1)/7)*57+MOD(ROW()-1,7)+50),"")</f>
        <v/>
      </c>
    </row>
    <row r="3273" spans="1:1" x14ac:dyDescent="0.25">
      <c r="A3273" t="str" cm="1">
        <f t="array" ref="A3273">IF(INDEX(CUEs!$A:$A,INT((ROW()-1)/7)*57+MOD(ROW()-1,7)+50)&lt;&gt;"","set "&amp;INDEX(CUEs!$A:$A,INT((ROW()-1)/7)*57+MOD(ROW()-1,7)+50)&amp;"=/ s "&amp;INDEX(CUEs!$B:$B,INT((ROW()-1)/7)*57+MOD(ROW()-1,7)+50),"")</f>
        <v/>
      </c>
    </row>
    <row r="3274" spans="1:1" x14ac:dyDescent="0.25">
      <c r="A3274" t="str" cm="1">
        <f t="array" ref="A3274">IF(INDEX(CUEs!$A:$A,INT((ROW()-1)/7)*57+MOD(ROW()-1,7)+50)&lt;&gt;"","set "&amp;INDEX(CUEs!$A:$A,INT((ROW()-1)/7)*57+MOD(ROW()-1,7)+50)&amp;"=/ s "&amp;INDEX(CUEs!$B:$B,INT((ROW()-1)/7)*57+MOD(ROW()-1,7)+50),"")</f>
        <v/>
      </c>
    </row>
    <row r="3275" spans="1:1" x14ac:dyDescent="0.25">
      <c r="A3275" t="str" cm="1">
        <f t="array" ref="A3275">IF(INDEX(CUEs!$A:$A,INT((ROW()-1)/7)*57+MOD(ROW()-1,7)+50)&lt;&gt;"","set "&amp;INDEX(CUEs!$A:$A,INT((ROW()-1)/7)*57+MOD(ROW()-1,7)+50)&amp;"=/ s "&amp;INDEX(CUEs!$B:$B,INT((ROW()-1)/7)*57+MOD(ROW()-1,7)+50),"")</f>
        <v/>
      </c>
    </row>
    <row r="3276" spans="1:1" x14ac:dyDescent="0.25">
      <c r="A3276" t="str" cm="1">
        <f t="array" ref="A3276">IF(INDEX(CUEs!$A:$A,INT((ROW()-1)/7)*57+MOD(ROW()-1,7)+50)&lt;&gt;"","set "&amp;INDEX(CUEs!$A:$A,INT((ROW()-1)/7)*57+MOD(ROW()-1,7)+50)&amp;"=/ s "&amp;INDEX(CUEs!$B:$B,INT((ROW()-1)/7)*57+MOD(ROW()-1,7)+50),"")</f>
        <v/>
      </c>
    </row>
    <row r="3277" spans="1:1" x14ac:dyDescent="0.25">
      <c r="A3277" t="str" cm="1">
        <f t="array" ref="A3277">IF(INDEX(CUEs!$A:$A,INT((ROW()-1)/7)*57+MOD(ROW()-1,7)+50)&lt;&gt;"","set "&amp;INDEX(CUEs!$A:$A,INT((ROW()-1)/7)*57+MOD(ROW()-1,7)+50)&amp;"=/ s "&amp;INDEX(CUEs!$B:$B,INT((ROW()-1)/7)*57+MOD(ROW()-1,7)+50),"")</f>
        <v/>
      </c>
    </row>
    <row r="3278" spans="1:1" x14ac:dyDescent="0.25">
      <c r="A3278" t="str" cm="1">
        <f t="array" ref="A3278">IF(INDEX(CUEs!$A:$A,INT((ROW()-1)/7)*57+MOD(ROW()-1,7)+50)&lt;&gt;"","set "&amp;INDEX(CUEs!$A:$A,INT((ROW()-1)/7)*57+MOD(ROW()-1,7)+50)&amp;"=/ s "&amp;INDEX(CUEs!$B:$B,INT((ROW()-1)/7)*57+MOD(ROW()-1,7)+50),"")</f>
        <v/>
      </c>
    </row>
    <row r="3279" spans="1:1" x14ac:dyDescent="0.25">
      <c r="A3279" t="str" cm="1">
        <f t="array" ref="A3279">IF(INDEX(CUEs!$A:$A,INT((ROW()-1)/7)*57+MOD(ROW()-1,7)+50)&lt;&gt;"","set "&amp;INDEX(CUEs!$A:$A,INT((ROW()-1)/7)*57+MOD(ROW()-1,7)+50)&amp;"=/ s "&amp;INDEX(CUEs!$B:$B,INT((ROW()-1)/7)*57+MOD(ROW()-1,7)+50),"")</f>
        <v/>
      </c>
    </row>
    <row r="3280" spans="1:1" x14ac:dyDescent="0.25">
      <c r="A3280" t="str" cm="1">
        <f t="array" ref="A3280">IF(INDEX(CUEs!$A:$A,INT((ROW()-1)/7)*57+MOD(ROW()-1,7)+50)&lt;&gt;"","set "&amp;INDEX(CUEs!$A:$A,INT((ROW()-1)/7)*57+MOD(ROW()-1,7)+50)&amp;"=/ s "&amp;INDEX(CUEs!$B:$B,INT((ROW()-1)/7)*57+MOD(ROW()-1,7)+50),"")</f>
        <v/>
      </c>
    </row>
    <row r="3281" spans="1:1" x14ac:dyDescent="0.25">
      <c r="A3281" t="str" cm="1">
        <f t="array" ref="A3281">IF(INDEX(CUEs!$A:$A,INT((ROW()-1)/7)*57+MOD(ROW()-1,7)+50)&lt;&gt;"","set "&amp;INDEX(CUEs!$A:$A,INT((ROW()-1)/7)*57+MOD(ROW()-1,7)+50)&amp;"=/ s "&amp;INDEX(CUEs!$B:$B,INT((ROW()-1)/7)*57+MOD(ROW()-1,7)+50),"")</f>
        <v/>
      </c>
    </row>
    <row r="3282" spans="1:1" x14ac:dyDescent="0.25">
      <c r="A3282" t="str" cm="1">
        <f t="array" ref="A3282">IF(INDEX(CUEs!$A:$A,INT((ROW()-1)/7)*57+MOD(ROW()-1,7)+50)&lt;&gt;"","set "&amp;INDEX(CUEs!$A:$A,INT((ROW()-1)/7)*57+MOD(ROW()-1,7)+50)&amp;"=/ s "&amp;INDEX(CUEs!$B:$B,INT((ROW()-1)/7)*57+MOD(ROW()-1,7)+50),"")</f>
        <v/>
      </c>
    </row>
    <row r="3283" spans="1:1" x14ac:dyDescent="0.25">
      <c r="A3283" t="str" cm="1">
        <f t="array" ref="A3283">IF(INDEX(CUEs!$A:$A,INT((ROW()-1)/7)*57+MOD(ROW()-1,7)+50)&lt;&gt;"","set "&amp;INDEX(CUEs!$A:$A,INT((ROW()-1)/7)*57+MOD(ROW()-1,7)+50)&amp;"=/ s "&amp;INDEX(CUEs!$B:$B,INT((ROW()-1)/7)*57+MOD(ROW()-1,7)+50),"")</f>
        <v/>
      </c>
    </row>
    <row r="3284" spans="1:1" x14ac:dyDescent="0.25">
      <c r="A3284" t="str" cm="1">
        <f t="array" ref="A3284">IF(INDEX(CUEs!$A:$A,INT((ROW()-1)/7)*57+MOD(ROW()-1,7)+50)&lt;&gt;"","set "&amp;INDEX(CUEs!$A:$A,INT((ROW()-1)/7)*57+MOD(ROW()-1,7)+50)&amp;"=/ s "&amp;INDEX(CUEs!$B:$B,INT((ROW()-1)/7)*57+MOD(ROW()-1,7)+50),"")</f>
        <v/>
      </c>
    </row>
    <row r="3285" spans="1:1" x14ac:dyDescent="0.25">
      <c r="A3285" t="str" cm="1">
        <f t="array" ref="A3285">IF(INDEX(CUEs!$A:$A,INT((ROW()-1)/7)*57+MOD(ROW()-1,7)+50)&lt;&gt;"","set "&amp;INDEX(CUEs!$A:$A,INT((ROW()-1)/7)*57+MOD(ROW()-1,7)+50)&amp;"=/ s "&amp;INDEX(CUEs!$B:$B,INT((ROW()-1)/7)*57+MOD(ROW()-1,7)+50),"")</f>
        <v/>
      </c>
    </row>
    <row r="3286" spans="1:1" x14ac:dyDescent="0.25">
      <c r="A3286" t="str" cm="1">
        <f t="array" ref="A3286">IF(INDEX(CUEs!$A:$A,INT((ROW()-1)/7)*57+MOD(ROW()-1,7)+50)&lt;&gt;"","set "&amp;INDEX(CUEs!$A:$A,INT((ROW()-1)/7)*57+MOD(ROW()-1,7)+50)&amp;"=/ s "&amp;INDEX(CUEs!$B:$B,INT((ROW()-1)/7)*57+MOD(ROW()-1,7)+50),"")</f>
        <v/>
      </c>
    </row>
    <row r="3287" spans="1:1" x14ac:dyDescent="0.25">
      <c r="A3287" t="str" cm="1">
        <f t="array" ref="A3287">IF(INDEX(CUEs!$A:$A,INT((ROW()-1)/7)*57+MOD(ROW()-1,7)+50)&lt;&gt;"","set "&amp;INDEX(CUEs!$A:$A,INT((ROW()-1)/7)*57+MOD(ROW()-1,7)+50)&amp;"=/ s "&amp;INDEX(CUEs!$B:$B,INT((ROW()-1)/7)*57+MOD(ROW()-1,7)+50),"")</f>
        <v/>
      </c>
    </row>
    <row r="3288" spans="1:1" x14ac:dyDescent="0.25">
      <c r="A3288" t="str" cm="1">
        <f t="array" ref="A3288">IF(INDEX(CUEs!$A:$A,INT((ROW()-1)/7)*57+MOD(ROW()-1,7)+50)&lt;&gt;"","set "&amp;INDEX(CUEs!$A:$A,INT((ROW()-1)/7)*57+MOD(ROW()-1,7)+50)&amp;"=/ s "&amp;INDEX(CUEs!$B:$B,INT((ROW()-1)/7)*57+MOD(ROW()-1,7)+50),"")</f>
        <v/>
      </c>
    </row>
    <row r="3289" spans="1:1" x14ac:dyDescent="0.25">
      <c r="A3289" t="str" cm="1">
        <f t="array" ref="A3289">IF(INDEX(CUEs!$A:$A,INT((ROW()-1)/7)*57+MOD(ROW()-1,7)+50)&lt;&gt;"","set "&amp;INDEX(CUEs!$A:$A,INT((ROW()-1)/7)*57+MOD(ROW()-1,7)+50)&amp;"=/ s "&amp;INDEX(CUEs!$B:$B,INT((ROW()-1)/7)*57+MOD(ROW()-1,7)+50),"")</f>
        <v/>
      </c>
    </row>
    <row r="3290" spans="1:1" x14ac:dyDescent="0.25">
      <c r="A3290" t="str" cm="1">
        <f t="array" ref="A3290">IF(INDEX(CUEs!$A:$A,INT((ROW()-1)/7)*57+MOD(ROW()-1,7)+50)&lt;&gt;"","set "&amp;INDEX(CUEs!$A:$A,INT((ROW()-1)/7)*57+MOD(ROW()-1,7)+50)&amp;"=/ s "&amp;INDEX(CUEs!$B:$B,INT((ROW()-1)/7)*57+MOD(ROW()-1,7)+50),"")</f>
        <v/>
      </c>
    </row>
    <row r="3291" spans="1:1" x14ac:dyDescent="0.25">
      <c r="A3291" t="str" cm="1">
        <f t="array" ref="A3291">IF(INDEX(CUEs!$A:$A,INT((ROW()-1)/7)*57+MOD(ROW()-1,7)+50)&lt;&gt;"","set "&amp;INDEX(CUEs!$A:$A,INT((ROW()-1)/7)*57+MOD(ROW()-1,7)+50)&amp;"=/ s "&amp;INDEX(CUEs!$B:$B,INT((ROW()-1)/7)*57+MOD(ROW()-1,7)+50),"")</f>
        <v/>
      </c>
    </row>
    <row r="3292" spans="1:1" x14ac:dyDescent="0.25">
      <c r="A3292" t="str" cm="1">
        <f t="array" ref="A3292">IF(INDEX(CUEs!$A:$A,INT((ROW()-1)/7)*57+MOD(ROW()-1,7)+50)&lt;&gt;"","set "&amp;INDEX(CUEs!$A:$A,INT((ROW()-1)/7)*57+MOD(ROW()-1,7)+50)&amp;"=/ s "&amp;INDEX(CUEs!$B:$B,INT((ROW()-1)/7)*57+MOD(ROW()-1,7)+50),"")</f>
        <v/>
      </c>
    </row>
    <row r="3293" spans="1:1" x14ac:dyDescent="0.25">
      <c r="A3293" t="str" cm="1">
        <f t="array" ref="A3293">IF(INDEX(CUEs!$A:$A,INT((ROW()-1)/7)*57+MOD(ROW()-1,7)+50)&lt;&gt;"","set "&amp;INDEX(CUEs!$A:$A,INT((ROW()-1)/7)*57+MOD(ROW()-1,7)+50)&amp;"=/ s "&amp;INDEX(CUEs!$B:$B,INT((ROW()-1)/7)*57+MOD(ROW()-1,7)+50),"")</f>
        <v/>
      </c>
    </row>
    <row r="3294" spans="1:1" x14ac:dyDescent="0.25">
      <c r="A3294" t="str" cm="1">
        <f t="array" ref="A3294">IF(INDEX(CUEs!$A:$A,INT((ROW()-1)/7)*57+MOD(ROW()-1,7)+50)&lt;&gt;"","set "&amp;INDEX(CUEs!$A:$A,INT((ROW()-1)/7)*57+MOD(ROW()-1,7)+50)&amp;"=/ s "&amp;INDEX(CUEs!$B:$B,INT((ROW()-1)/7)*57+MOD(ROW()-1,7)+50),"")</f>
        <v/>
      </c>
    </row>
    <row r="3295" spans="1:1" x14ac:dyDescent="0.25">
      <c r="A3295" t="str" cm="1">
        <f t="array" ref="A3295">IF(INDEX(CUEs!$A:$A,INT((ROW()-1)/7)*57+MOD(ROW()-1,7)+50)&lt;&gt;"","set "&amp;INDEX(CUEs!$A:$A,INT((ROW()-1)/7)*57+MOD(ROW()-1,7)+50)&amp;"=/ s "&amp;INDEX(CUEs!$B:$B,INT((ROW()-1)/7)*57+MOD(ROW()-1,7)+50),"")</f>
        <v/>
      </c>
    </row>
    <row r="3296" spans="1:1" x14ac:dyDescent="0.25">
      <c r="A3296" t="str" cm="1">
        <f t="array" ref="A3296">IF(INDEX(CUEs!$A:$A,INT((ROW()-1)/7)*57+MOD(ROW()-1,7)+50)&lt;&gt;"","set "&amp;INDEX(CUEs!$A:$A,INT((ROW()-1)/7)*57+MOD(ROW()-1,7)+50)&amp;"=/ s "&amp;INDEX(CUEs!$B:$B,INT((ROW()-1)/7)*57+MOD(ROW()-1,7)+50),"")</f>
        <v/>
      </c>
    </row>
    <row r="3297" spans="1:1" x14ac:dyDescent="0.25">
      <c r="A3297" t="str" cm="1">
        <f t="array" ref="A3297">IF(INDEX(CUEs!$A:$A,INT((ROW()-1)/7)*57+MOD(ROW()-1,7)+50)&lt;&gt;"","set "&amp;INDEX(CUEs!$A:$A,INT((ROW()-1)/7)*57+MOD(ROW()-1,7)+50)&amp;"=/ s "&amp;INDEX(CUEs!$B:$B,INT((ROW()-1)/7)*57+MOD(ROW()-1,7)+50),"")</f>
        <v/>
      </c>
    </row>
    <row r="3298" spans="1:1" x14ac:dyDescent="0.25">
      <c r="A3298" t="str" cm="1">
        <f t="array" ref="A3298">IF(INDEX(CUEs!$A:$A,INT((ROW()-1)/7)*57+MOD(ROW()-1,7)+50)&lt;&gt;"","set "&amp;INDEX(CUEs!$A:$A,INT((ROW()-1)/7)*57+MOD(ROW()-1,7)+50)&amp;"=/ s "&amp;INDEX(CUEs!$B:$B,INT((ROW()-1)/7)*57+MOD(ROW()-1,7)+50),"")</f>
        <v/>
      </c>
    </row>
    <row r="3299" spans="1:1" x14ac:dyDescent="0.25">
      <c r="A3299" t="str" cm="1">
        <f t="array" ref="A3299">IF(INDEX(CUEs!$A:$A,INT((ROW()-1)/7)*57+MOD(ROW()-1,7)+50)&lt;&gt;"","set "&amp;INDEX(CUEs!$A:$A,INT((ROW()-1)/7)*57+MOD(ROW()-1,7)+50)&amp;"=/ s "&amp;INDEX(CUEs!$B:$B,INT((ROW()-1)/7)*57+MOD(ROW()-1,7)+50),"")</f>
        <v/>
      </c>
    </row>
    <row r="3300" spans="1:1" x14ac:dyDescent="0.25">
      <c r="A3300" t="str" cm="1">
        <f t="array" ref="A3300">IF(INDEX(CUEs!$A:$A,INT((ROW()-1)/7)*57+MOD(ROW()-1,7)+50)&lt;&gt;"","set "&amp;INDEX(CUEs!$A:$A,INT((ROW()-1)/7)*57+MOD(ROW()-1,7)+50)&amp;"=/ s "&amp;INDEX(CUEs!$B:$B,INT((ROW()-1)/7)*57+MOD(ROW()-1,7)+50),"")</f>
        <v/>
      </c>
    </row>
    <row r="3301" spans="1:1" x14ac:dyDescent="0.25">
      <c r="A3301" t="str" cm="1">
        <f t="array" ref="A3301">IF(INDEX(CUEs!$A:$A,INT((ROW()-1)/7)*57+MOD(ROW()-1,7)+50)&lt;&gt;"","set "&amp;INDEX(CUEs!$A:$A,INT((ROW()-1)/7)*57+MOD(ROW()-1,7)+50)&amp;"=/ s "&amp;INDEX(CUEs!$B:$B,INT((ROW()-1)/7)*57+MOD(ROW()-1,7)+50),"")</f>
        <v/>
      </c>
    </row>
    <row r="3302" spans="1:1" x14ac:dyDescent="0.25">
      <c r="A3302" t="str" cm="1">
        <f t="array" ref="A3302">IF(INDEX(CUEs!$A:$A,INT((ROW()-1)/7)*57+MOD(ROW()-1,7)+50)&lt;&gt;"","set "&amp;INDEX(CUEs!$A:$A,INT((ROW()-1)/7)*57+MOD(ROW()-1,7)+50)&amp;"=/ s "&amp;INDEX(CUEs!$B:$B,INT((ROW()-1)/7)*57+MOD(ROW()-1,7)+50),"")</f>
        <v/>
      </c>
    </row>
    <row r="3303" spans="1:1" x14ac:dyDescent="0.25">
      <c r="A3303" t="str" cm="1">
        <f t="array" ref="A3303">IF(INDEX(CUEs!$A:$A,INT((ROW()-1)/7)*57+MOD(ROW()-1,7)+50)&lt;&gt;"","set "&amp;INDEX(CUEs!$A:$A,INT((ROW()-1)/7)*57+MOD(ROW()-1,7)+50)&amp;"=/ s "&amp;INDEX(CUEs!$B:$B,INT((ROW()-1)/7)*57+MOD(ROW()-1,7)+50),"")</f>
        <v/>
      </c>
    </row>
    <row r="3304" spans="1:1" x14ac:dyDescent="0.25">
      <c r="A3304" t="str" cm="1">
        <f t="array" ref="A3304">IF(INDEX(CUEs!$A:$A,INT((ROW()-1)/7)*57+MOD(ROW()-1,7)+50)&lt;&gt;"","set "&amp;INDEX(CUEs!$A:$A,INT((ROW()-1)/7)*57+MOD(ROW()-1,7)+50)&amp;"=/ s "&amp;INDEX(CUEs!$B:$B,INT((ROW()-1)/7)*57+MOD(ROW()-1,7)+50),"")</f>
        <v/>
      </c>
    </row>
    <row r="3305" spans="1:1" x14ac:dyDescent="0.25">
      <c r="A3305" t="str" cm="1">
        <f t="array" ref="A3305">IF(INDEX(CUEs!$A:$A,INT((ROW()-1)/7)*57+MOD(ROW()-1,7)+50)&lt;&gt;"","set "&amp;INDEX(CUEs!$A:$A,INT((ROW()-1)/7)*57+MOD(ROW()-1,7)+50)&amp;"=/ s "&amp;INDEX(CUEs!$B:$B,INT((ROW()-1)/7)*57+MOD(ROW()-1,7)+50),"")</f>
        <v/>
      </c>
    </row>
    <row r="3306" spans="1:1" x14ac:dyDescent="0.25">
      <c r="A3306" t="str" cm="1">
        <f t="array" ref="A3306">IF(INDEX(CUEs!$A:$A,INT((ROW()-1)/7)*57+MOD(ROW()-1,7)+50)&lt;&gt;"","set "&amp;INDEX(CUEs!$A:$A,INT((ROW()-1)/7)*57+MOD(ROW()-1,7)+50)&amp;"=/ s "&amp;INDEX(CUEs!$B:$B,INT((ROW()-1)/7)*57+MOD(ROW()-1,7)+50),"")</f>
        <v/>
      </c>
    </row>
    <row r="3307" spans="1:1" x14ac:dyDescent="0.25">
      <c r="A3307" t="str" cm="1">
        <f t="array" ref="A3307">IF(INDEX(CUEs!$A:$A,INT((ROW()-1)/7)*57+MOD(ROW()-1,7)+50)&lt;&gt;"","set "&amp;INDEX(CUEs!$A:$A,INT((ROW()-1)/7)*57+MOD(ROW()-1,7)+50)&amp;"=/ s "&amp;INDEX(CUEs!$B:$B,INT((ROW()-1)/7)*57+MOD(ROW()-1,7)+50),"")</f>
        <v/>
      </c>
    </row>
    <row r="3308" spans="1:1" x14ac:dyDescent="0.25">
      <c r="A3308" t="str" cm="1">
        <f t="array" ref="A3308">IF(INDEX(CUEs!$A:$A,INT((ROW()-1)/7)*57+MOD(ROW()-1,7)+50)&lt;&gt;"","set "&amp;INDEX(CUEs!$A:$A,INT((ROW()-1)/7)*57+MOD(ROW()-1,7)+50)&amp;"=/ s "&amp;INDEX(CUEs!$B:$B,INT((ROW()-1)/7)*57+MOD(ROW()-1,7)+50),"")</f>
        <v/>
      </c>
    </row>
    <row r="3309" spans="1:1" x14ac:dyDescent="0.25">
      <c r="A3309" t="str" cm="1">
        <f t="array" ref="A3309">IF(INDEX(CUEs!$A:$A,INT((ROW()-1)/7)*57+MOD(ROW()-1,7)+50)&lt;&gt;"","set "&amp;INDEX(CUEs!$A:$A,INT((ROW()-1)/7)*57+MOD(ROW()-1,7)+50)&amp;"=/ s "&amp;INDEX(CUEs!$B:$B,INT((ROW()-1)/7)*57+MOD(ROW()-1,7)+50),"")</f>
        <v/>
      </c>
    </row>
    <row r="3310" spans="1:1" x14ac:dyDescent="0.25">
      <c r="A3310" t="str" cm="1">
        <f t="array" ref="A3310">IF(INDEX(CUEs!$A:$A,INT((ROW()-1)/7)*57+MOD(ROW()-1,7)+50)&lt;&gt;"","set "&amp;INDEX(CUEs!$A:$A,INT((ROW()-1)/7)*57+MOD(ROW()-1,7)+50)&amp;"=/ s "&amp;INDEX(CUEs!$B:$B,INT((ROW()-1)/7)*57+MOD(ROW()-1,7)+50),"")</f>
        <v/>
      </c>
    </row>
    <row r="3311" spans="1:1" x14ac:dyDescent="0.25">
      <c r="A3311" t="str" cm="1">
        <f t="array" ref="A3311">IF(INDEX(CUEs!$A:$A,INT((ROW()-1)/7)*57+MOD(ROW()-1,7)+50)&lt;&gt;"","set "&amp;INDEX(CUEs!$A:$A,INT((ROW()-1)/7)*57+MOD(ROW()-1,7)+50)&amp;"=/ s "&amp;INDEX(CUEs!$B:$B,INT((ROW()-1)/7)*57+MOD(ROW()-1,7)+50),"")</f>
        <v/>
      </c>
    </row>
    <row r="3312" spans="1:1" x14ac:dyDescent="0.25">
      <c r="A3312" t="str" cm="1">
        <f t="array" ref="A3312">IF(INDEX(CUEs!$A:$A,INT((ROW()-1)/7)*57+MOD(ROW()-1,7)+50)&lt;&gt;"","set "&amp;INDEX(CUEs!$A:$A,INT((ROW()-1)/7)*57+MOD(ROW()-1,7)+50)&amp;"=/ s "&amp;INDEX(CUEs!$B:$B,INT((ROW()-1)/7)*57+MOD(ROW()-1,7)+50),"")</f>
        <v/>
      </c>
    </row>
    <row r="3313" spans="1:1" x14ac:dyDescent="0.25">
      <c r="A3313" t="str" cm="1">
        <f t="array" ref="A3313">IF(INDEX(CUEs!$A:$A,INT((ROW()-1)/7)*57+MOD(ROW()-1,7)+50)&lt;&gt;"","set "&amp;INDEX(CUEs!$A:$A,INT((ROW()-1)/7)*57+MOD(ROW()-1,7)+50)&amp;"=/ s "&amp;INDEX(CUEs!$B:$B,INT((ROW()-1)/7)*57+MOD(ROW()-1,7)+50),"")</f>
        <v/>
      </c>
    </row>
    <row r="3314" spans="1:1" x14ac:dyDescent="0.25">
      <c r="A3314" t="str" cm="1">
        <f t="array" ref="A3314">IF(INDEX(CUEs!$A:$A,INT((ROW()-1)/7)*57+MOD(ROW()-1,7)+50)&lt;&gt;"","set "&amp;INDEX(CUEs!$A:$A,INT((ROW()-1)/7)*57+MOD(ROW()-1,7)+50)&amp;"=/ s "&amp;INDEX(CUEs!$B:$B,INT((ROW()-1)/7)*57+MOD(ROW()-1,7)+50),"")</f>
        <v/>
      </c>
    </row>
    <row r="3315" spans="1:1" x14ac:dyDescent="0.25">
      <c r="A3315" t="str" cm="1">
        <f t="array" ref="A3315">IF(INDEX(CUEs!$A:$A,INT((ROW()-1)/7)*57+MOD(ROW()-1,7)+50)&lt;&gt;"","set "&amp;INDEX(CUEs!$A:$A,INT((ROW()-1)/7)*57+MOD(ROW()-1,7)+50)&amp;"=/ s "&amp;INDEX(CUEs!$B:$B,INT((ROW()-1)/7)*57+MOD(ROW()-1,7)+50),"")</f>
        <v/>
      </c>
    </row>
    <row r="3316" spans="1:1" x14ac:dyDescent="0.25">
      <c r="A3316" t="str" cm="1">
        <f t="array" ref="A3316">IF(INDEX(CUEs!$A:$A,INT((ROW()-1)/7)*57+MOD(ROW()-1,7)+50)&lt;&gt;"","set "&amp;INDEX(CUEs!$A:$A,INT((ROW()-1)/7)*57+MOD(ROW()-1,7)+50)&amp;"=/ s "&amp;INDEX(CUEs!$B:$B,INT((ROW()-1)/7)*57+MOD(ROW()-1,7)+50),"")</f>
        <v/>
      </c>
    </row>
    <row r="3317" spans="1:1" x14ac:dyDescent="0.25">
      <c r="A3317" t="str" cm="1">
        <f t="array" ref="A3317">IF(INDEX(CUEs!$A:$A,INT((ROW()-1)/7)*57+MOD(ROW()-1,7)+50)&lt;&gt;"","set "&amp;INDEX(CUEs!$A:$A,INT((ROW()-1)/7)*57+MOD(ROW()-1,7)+50)&amp;"=/ s "&amp;INDEX(CUEs!$B:$B,INT((ROW()-1)/7)*57+MOD(ROW()-1,7)+50),"")</f>
        <v/>
      </c>
    </row>
    <row r="3318" spans="1:1" x14ac:dyDescent="0.25">
      <c r="A3318" t="str" cm="1">
        <f t="array" ref="A3318">IF(INDEX(CUEs!$A:$A,INT((ROW()-1)/7)*57+MOD(ROW()-1,7)+50)&lt;&gt;"","set "&amp;INDEX(CUEs!$A:$A,INT((ROW()-1)/7)*57+MOD(ROW()-1,7)+50)&amp;"=/ s "&amp;INDEX(CUEs!$B:$B,INT((ROW()-1)/7)*57+MOD(ROW()-1,7)+50),"")</f>
        <v/>
      </c>
    </row>
    <row r="3319" spans="1:1" x14ac:dyDescent="0.25">
      <c r="A3319" t="str" cm="1">
        <f t="array" ref="A3319">IF(INDEX(CUEs!$A:$A,INT((ROW()-1)/7)*57+MOD(ROW()-1,7)+50)&lt;&gt;"","set "&amp;INDEX(CUEs!$A:$A,INT((ROW()-1)/7)*57+MOD(ROW()-1,7)+50)&amp;"=/ s "&amp;INDEX(CUEs!$B:$B,INT((ROW()-1)/7)*57+MOD(ROW()-1,7)+50),"")</f>
        <v/>
      </c>
    </row>
    <row r="3320" spans="1:1" x14ac:dyDescent="0.25">
      <c r="A3320" t="str" cm="1">
        <f t="array" ref="A3320">IF(INDEX(CUEs!$A:$A,INT((ROW()-1)/7)*57+MOD(ROW()-1,7)+50)&lt;&gt;"","set "&amp;INDEX(CUEs!$A:$A,INT((ROW()-1)/7)*57+MOD(ROW()-1,7)+50)&amp;"=/ s "&amp;INDEX(CUEs!$B:$B,INT((ROW()-1)/7)*57+MOD(ROW()-1,7)+50),"")</f>
        <v/>
      </c>
    </row>
    <row r="3321" spans="1:1" x14ac:dyDescent="0.25">
      <c r="A3321" t="str" cm="1">
        <f t="array" ref="A3321">IF(INDEX(CUEs!$A:$A,INT((ROW()-1)/7)*57+MOD(ROW()-1,7)+50)&lt;&gt;"","set "&amp;INDEX(CUEs!$A:$A,INT((ROW()-1)/7)*57+MOD(ROW()-1,7)+50)&amp;"=/ s "&amp;INDEX(CUEs!$B:$B,INT((ROW()-1)/7)*57+MOD(ROW()-1,7)+50),"")</f>
        <v/>
      </c>
    </row>
    <row r="3322" spans="1:1" x14ac:dyDescent="0.25">
      <c r="A3322" t="str" cm="1">
        <f t="array" ref="A3322">IF(INDEX(CUEs!$A:$A,INT((ROW()-1)/7)*57+MOD(ROW()-1,7)+50)&lt;&gt;"","set "&amp;INDEX(CUEs!$A:$A,INT((ROW()-1)/7)*57+MOD(ROW()-1,7)+50)&amp;"=/ s "&amp;INDEX(CUEs!$B:$B,INT((ROW()-1)/7)*57+MOD(ROW()-1,7)+50),"")</f>
        <v/>
      </c>
    </row>
    <row r="3323" spans="1:1" x14ac:dyDescent="0.25">
      <c r="A3323" t="str" cm="1">
        <f t="array" ref="A3323">IF(INDEX(CUEs!$A:$A,INT((ROW()-1)/7)*57+MOD(ROW()-1,7)+50)&lt;&gt;"","set "&amp;INDEX(CUEs!$A:$A,INT((ROW()-1)/7)*57+MOD(ROW()-1,7)+50)&amp;"=/ s "&amp;INDEX(CUEs!$B:$B,INT((ROW()-1)/7)*57+MOD(ROW()-1,7)+50),"")</f>
        <v/>
      </c>
    </row>
    <row r="3324" spans="1:1" x14ac:dyDescent="0.25">
      <c r="A3324" t="str" cm="1">
        <f t="array" ref="A3324">IF(INDEX(CUEs!$A:$A,INT((ROW()-1)/7)*57+MOD(ROW()-1,7)+50)&lt;&gt;"","set "&amp;INDEX(CUEs!$A:$A,INT((ROW()-1)/7)*57+MOD(ROW()-1,7)+50)&amp;"=/ s "&amp;INDEX(CUEs!$B:$B,INT((ROW()-1)/7)*57+MOD(ROW()-1,7)+50),"")</f>
        <v/>
      </c>
    </row>
    <row r="3325" spans="1:1" x14ac:dyDescent="0.25">
      <c r="A3325" t="str" cm="1">
        <f t="array" ref="A3325">IF(INDEX(CUEs!$A:$A,INT((ROW()-1)/7)*57+MOD(ROW()-1,7)+50)&lt;&gt;"","set "&amp;INDEX(CUEs!$A:$A,INT((ROW()-1)/7)*57+MOD(ROW()-1,7)+50)&amp;"=/ s "&amp;INDEX(CUEs!$B:$B,INT((ROW()-1)/7)*57+MOD(ROW()-1,7)+50),"")</f>
        <v/>
      </c>
    </row>
    <row r="3326" spans="1:1" x14ac:dyDescent="0.25">
      <c r="A3326" t="str" cm="1">
        <f t="array" ref="A3326">IF(INDEX(CUEs!$A:$A,INT((ROW()-1)/7)*57+MOD(ROW()-1,7)+50)&lt;&gt;"","set "&amp;INDEX(CUEs!$A:$A,INT((ROW()-1)/7)*57+MOD(ROW()-1,7)+50)&amp;"=/ s "&amp;INDEX(CUEs!$B:$B,INT((ROW()-1)/7)*57+MOD(ROW()-1,7)+50),"")</f>
        <v/>
      </c>
    </row>
    <row r="3327" spans="1:1" x14ac:dyDescent="0.25">
      <c r="A3327" t="str" cm="1">
        <f t="array" ref="A3327">IF(INDEX(CUEs!$A:$A,INT((ROW()-1)/7)*57+MOD(ROW()-1,7)+50)&lt;&gt;"","set "&amp;INDEX(CUEs!$A:$A,INT((ROW()-1)/7)*57+MOD(ROW()-1,7)+50)&amp;"=/ s "&amp;INDEX(CUEs!$B:$B,INT((ROW()-1)/7)*57+MOD(ROW()-1,7)+50),"")</f>
        <v/>
      </c>
    </row>
    <row r="3328" spans="1:1" x14ac:dyDescent="0.25">
      <c r="A3328" t="str" cm="1">
        <f t="array" ref="A3328">IF(INDEX(CUEs!$A:$A,INT((ROW()-1)/7)*57+MOD(ROW()-1,7)+50)&lt;&gt;"","set "&amp;INDEX(CUEs!$A:$A,INT((ROW()-1)/7)*57+MOD(ROW()-1,7)+50)&amp;"=/ s "&amp;INDEX(CUEs!$B:$B,INT((ROW()-1)/7)*57+MOD(ROW()-1,7)+50),"")</f>
        <v/>
      </c>
    </row>
    <row r="3329" spans="1:1" x14ac:dyDescent="0.25">
      <c r="A3329" t="str" cm="1">
        <f t="array" ref="A3329">IF(INDEX(CUEs!$A:$A,INT((ROW()-1)/7)*57+MOD(ROW()-1,7)+50)&lt;&gt;"","set "&amp;INDEX(CUEs!$A:$A,INT((ROW()-1)/7)*57+MOD(ROW()-1,7)+50)&amp;"=/ s "&amp;INDEX(CUEs!$B:$B,INT((ROW()-1)/7)*57+MOD(ROW()-1,7)+50),"")</f>
        <v/>
      </c>
    </row>
    <row r="3330" spans="1:1" x14ac:dyDescent="0.25">
      <c r="A3330" t="str" cm="1">
        <f t="array" ref="A3330">IF(INDEX(CUEs!$A:$A,INT((ROW()-1)/7)*57+MOD(ROW()-1,7)+50)&lt;&gt;"","set "&amp;INDEX(CUEs!$A:$A,INT((ROW()-1)/7)*57+MOD(ROW()-1,7)+50)&amp;"=/ s "&amp;INDEX(CUEs!$B:$B,INT((ROW()-1)/7)*57+MOD(ROW()-1,7)+50),"")</f>
        <v/>
      </c>
    </row>
    <row r="3331" spans="1:1" x14ac:dyDescent="0.25">
      <c r="A3331" t="str" cm="1">
        <f t="array" ref="A3331">IF(INDEX(CUEs!$A:$A,INT((ROW()-1)/7)*57+MOD(ROW()-1,7)+50)&lt;&gt;"","set "&amp;INDEX(CUEs!$A:$A,INT((ROW()-1)/7)*57+MOD(ROW()-1,7)+50)&amp;"=/ s "&amp;INDEX(CUEs!$B:$B,INT((ROW()-1)/7)*57+MOD(ROW()-1,7)+50),"")</f>
        <v/>
      </c>
    </row>
    <row r="3332" spans="1:1" x14ac:dyDescent="0.25">
      <c r="A3332" t="str" cm="1">
        <f t="array" ref="A3332">IF(INDEX(CUEs!$A:$A,INT((ROW()-1)/7)*57+MOD(ROW()-1,7)+50)&lt;&gt;"","set "&amp;INDEX(CUEs!$A:$A,INT((ROW()-1)/7)*57+MOD(ROW()-1,7)+50)&amp;"=/ s "&amp;INDEX(CUEs!$B:$B,INT((ROW()-1)/7)*57+MOD(ROW()-1,7)+50),"")</f>
        <v/>
      </c>
    </row>
    <row r="3333" spans="1:1" x14ac:dyDescent="0.25">
      <c r="A3333" t="str" cm="1">
        <f t="array" ref="A3333">IF(INDEX(CUEs!$A:$A,INT((ROW()-1)/7)*57+MOD(ROW()-1,7)+50)&lt;&gt;"","set "&amp;INDEX(CUEs!$A:$A,INT((ROW()-1)/7)*57+MOD(ROW()-1,7)+50)&amp;"=/ s "&amp;INDEX(CUEs!$B:$B,INT((ROW()-1)/7)*57+MOD(ROW()-1,7)+50),"")</f>
        <v/>
      </c>
    </row>
    <row r="3334" spans="1:1" x14ac:dyDescent="0.25">
      <c r="A3334" t="str" cm="1">
        <f t="array" ref="A3334">IF(INDEX(CUEs!$A:$A,INT((ROW()-1)/7)*57+MOD(ROW()-1,7)+50)&lt;&gt;"","set "&amp;INDEX(CUEs!$A:$A,INT((ROW()-1)/7)*57+MOD(ROW()-1,7)+50)&amp;"=/ s "&amp;INDEX(CUEs!$B:$B,INT((ROW()-1)/7)*57+MOD(ROW()-1,7)+50),"")</f>
        <v/>
      </c>
    </row>
    <row r="3335" spans="1:1" x14ac:dyDescent="0.25">
      <c r="A3335" t="str" cm="1">
        <f t="array" ref="A3335">IF(INDEX(CUEs!$A:$A,INT((ROW()-1)/7)*57+MOD(ROW()-1,7)+50)&lt;&gt;"","set "&amp;INDEX(CUEs!$A:$A,INT((ROW()-1)/7)*57+MOD(ROW()-1,7)+50)&amp;"=/ s "&amp;INDEX(CUEs!$B:$B,INT((ROW()-1)/7)*57+MOD(ROW()-1,7)+50),"")</f>
        <v/>
      </c>
    </row>
    <row r="3336" spans="1:1" x14ac:dyDescent="0.25">
      <c r="A3336" t="str" cm="1">
        <f t="array" ref="A3336">IF(INDEX(CUEs!$A:$A,INT((ROW()-1)/7)*57+MOD(ROW()-1,7)+50)&lt;&gt;"","set "&amp;INDEX(CUEs!$A:$A,INT((ROW()-1)/7)*57+MOD(ROW()-1,7)+50)&amp;"=/ s "&amp;INDEX(CUEs!$B:$B,INT((ROW()-1)/7)*57+MOD(ROW()-1,7)+50),"")</f>
        <v/>
      </c>
    </row>
    <row r="3337" spans="1:1" x14ac:dyDescent="0.25">
      <c r="A3337" t="str" cm="1">
        <f t="array" ref="A3337">IF(INDEX(CUEs!$A:$A,INT((ROW()-1)/7)*57+MOD(ROW()-1,7)+50)&lt;&gt;"","set "&amp;INDEX(CUEs!$A:$A,INT((ROW()-1)/7)*57+MOD(ROW()-1,7)+50)&amp;"=/ s "&amp;INDEX(CUEs!$B:$B,INT((ROW()-1)/7)*57+MOD(ROW()-1,7)+50),"")</f>
        <v/>
      </c>
    </row>
    <row r="3338" spans="1:1" x14ac:dyDescent="0.25">
      <c r="A3338" t="str" cm="1">
        <f t="array" ref="A3338">IF(INDEX(CUEs!$A:$A,INT((ROW()-1)/7)*57+MOD(ROW()-1,7)+50)&lt;&gt;"","set "&amp;INDEX(CUEs!$A:$A,INT((ROW()-1)/7)*57+MOD(ROW()-1,7)+50)&amp;"=/ s "&amp;INDEX(CUEs!$B:$B,INT((ROW()-1)/7)*57+MOD(ROW()-1,7)+50),"")</f>
        <v/>
      </c>
    </row>
    <row r="3339" spans="1:1" x14ac:dyDescent="0.25">
      <c r="A3339" t="str" cm="1">
        <f t="array" ref="A3339">IF(INDEX(CUEs!$A:$A,INT((ROW()-1)/7)*57+MOD(ROW()-1,7)+50)&lt;&gt;"","set "&amp;INDEX(CUEs!$A:$A,INT((ROW()-1)/7)*57+MOD(ROW()-1,7)+50)&amp;"=/ s "&amp;INDEX(CUEs!$B:$B,INT((ROW()-1)/7)*57+MOD(ROW()-1,7)+50),"")</f>
        <v/>
      </c>
    </row>
    <row r="3340" spans="1:1" x14ac:dyDescent="0.25">
      <c r="A3340" t="str" cm="1">
        <f t="array" ref="A3340">IF(INDEX(CUEs!$A:$A,INT((ROW()-1)/7)*57+MOD(ROW()-1,7)+50)&lt;&gt;"","set "&amp;INDEX(CUEs!$A:$A,INT((ROW()-1)/7)*57+MOD(ROW()-1,7)+50)&amp;"=/ s "&amp;INDEX(CUEs!$B:$B,INT((ROW()-1)/7)*57+MOD(ROW()-1,7)+50),"")</f>
        <v/>
      </c>
    </row>
    <row r="3341" spans="1:1" x14ac:dyDescent="0.25">
      <c r="A3341" t="str" cm="1">
        <f t="array" ref="A3341">IF(INDEX(CUEs!$A:$A,INT((ROW()-1)/7)*57+MOD(ROW()-1,7)+50)&lt;&gt;"","set "&amp;INDEX(CUEs!$A:$A,INT((ROW()-1)/7)*57+MOD(ROW()-1,7)+50)&amp;"=/ s "&amp;INDEX(CUEs!$B:$B,INT((ROW()-1)/7)*57+MOD(ROW()-1,7)+50),"")</f>
        <v/>
      </c>
    </row>
    <row r="3342" spans="1:1" x14ac:dyDescent="0.25">
      <c r="A3342" t="str" cm="1">
        <f t="array" ref="A3342">IF(INDEX(CUEs!$A:$A,INT((ROW()-1)/7)*57+MOD(ROW()-1,7)+50)&lt;&gt;"","set "&amp;INDEX(CUEs!$A:$A,INT((ROW()-1)/7)*57+MOD(ROW()-1,7)+50)&amp;"=/ s "&amp;INDEX(CUEs!$B:$B,INT((ROW()-1)/7)*57+MOD(ROW()-1,7)+50),"")</f>
        <v/>
      </c>
    </row>
    <row r="3343" spans="1:1" x14ac:dyDescent="0.25">
      <c r="A3343" t="str" cm="1">
        <f t="array" ref="A3343">IF(INDEX(CUEs!$A:$A,INT((ROW()-1)/7)*57+MOD(ROW()-1,7)+50)&lt;&gt;"","set "&amp;INDEX(CUEs!$A:$A,INT((ROW()-1)/7)*57+MOD(ROW()-1,7)+50)&amp;"=/ s "&amp;INDEX(CUEs!$B:$B,INT((ROW()-1)/7)*57+MOD(ROW()-1,7)+50),"")</f>
        <v/>
      </c>
    </row>
    <row r="3344" spans="1:1" x14ac:dyDescent="0.25">
      <c r="A3344" t="str" cm="1">
        <f t="array" ref="A3344">IF(INDEX(CUEs!$A:$A,INT((ROW()-1)/7)*57+MOD(ROW()-1,7)+50)&lt;&gt;"","set "&amp;INDEX(CUEs!$A:$A,INT((ROW()-1)/7)*57+MOD(ROW()-1,7)+50)&amp;"=/ s "&amp;INDEX(CUEs!$B:$B,INT((ROW()-1)/7)*57+MOD(ROW()-1,7)+50),"")</f>
        <v/>
      </c>
    </row>
    <row r="3345" spans="1:1" x14ac:dyDescent="0.25">
      <c r="A3345" t="str" cm="1">
        <f t="array" ref="A3345">IF(INDEX(CUEs!$A:$A,INT((ROW()-1)/7)*57+MOD(ROW()-1,7)+50)&lt;&gt;"","set "&amp;INDEX(CUEs!$A:$A,INT((ROW()-1)/7)*57+MOD(ROW()-1,7)+50)&amp;"=/ s "&amp;INDEX(CUEs!$B:$B,INT((ROW()-1)/7)*57+MOD(ROW()-1,7)+50),"")</f>
        <v/>
      </c>
    </row>
    <row r="3346" spans="1:1" x14ac:dyDescent="0.25">
      <c r="A3346" t="str" cm="1">
        <f t="array" ref="A3346">IF(INDEX(CUEs!$A:$A,INT((ROW()-1)/7)*57+MOD(ROW()-1,7)+50)&lt;&gt;"","set "&amp;INDEX(CUEs!$A:$A,INT((ROW()-1)/7)*57+MOD(ROW()-1,7)+50)&amp;"=/ s "&amp;INDEX(CUEs!$B:$B,INT((ROW()-1)/7)*57+MOD(ROW()-1,7)+50),"")</f>
        <v/>
      </c>
    </row>
    <row r="3347" spans="1:1" x14ac:dyDescent="0.25">
      <c r="A3347" t="str" cm="1">
        <f t="array" ref="A3347">IF(INDEX(CUEs!$A:$A,INT((ROW()-1)/7)*57+MOD(ROW()-1,7)+50)&lt;&gt;"","set "&amp;INDEX(CUEs!$A:$A,INT((ROW()-1)/7)*57+MOD(ROW()-1,7)+50)&amp;"=/ s "&amp;INDEX(CUEs!$B:$B,INT((ROW()-1)/7)*57+MOD(ROW()-1,7)+50),"")</f>
        <v/>
      </c>
    </row>
    <row r="3348" spans="1:1" x14ac:dyDescent="0.25">
      <c r="A3348" t="str" cm="1">
        <f t="array" ref="A3348">IF(INDEX(CUEs!$A:$A,INT((ROW()-1)/7)*57+MOD(ROW()-1,7)+50)&lt;&gt;"","set "&amp;INDEX(CUEs!$A:$A,INT((ROW()-1)/7)*57+MOD(ROW()-1,7)+50)&amp;"=/ s "&amp;INDEX(CUEs!$B:$B,INT((ROW()-1)/7)*57+MOD(ROW()-1,7)+50),"")</f>
        <v/>
      </c>
    </row>
    <row r="3349" spans="1:1" x14ac:dyDescent="0.25">
      <c r="A3349" t="str" cm="1">
        <f t="array" ref="A3349">IF(INDEX(CUEs!$A:$A,INT((ROW()-1)/7)*57+MOD(ROW()-1,7)+50)&lt;&gt;"","set "&amp;INDEX(CUEs!$A:$A,INT((ROW()-1)/7)*57+MOD(ROW()-1,7)+50)&amp;"=/ s "&amp;INDEX(CUEs!$B:$B,INT((ROW()-1)/7)*57+MOD(ROW()-1,7)+50),"")</f>
        <v/>
      </c>
    </row>
    <row r="3350" spans="1:1" x14ac:dyDescent="0.25">
      <c r="A3350" t="str" cm="1">
        <f t="array" ref="A3350">IF(INDEX(CUEs!$A:$A,INT((ROW()-1)/7)*57+MOD(ROW()-1,7)+50)&lt;&gt;"","set "&amp;INDEX(CUEs!$A:$A,INT((ROW()-1)/7)*57+MOD(ROW()-1,7)+50)&amp;"=/ s "&amp;INDEX(CUEs!$B:$B,INT((ROW()-1)/7)*57+MOD(ROW()-1,7)+50),"")</f>
        <v/>
      </c>
    </row>
    <row r="3351" spans="1:1" x14ac:dyDescent="0.25">
      <c r="A3351" t="str" cm="1">
        <f t="array" ref="A3351">IF(INDEX(CUEs!$A:$A,INT((ROW()-1)/7)*57+MOD(ROW()-1,7)+50)&lt;&gt;"","set "&amp;INDEX(CUEs!$A:$A,INT((ROW()-1)/7)*57+MOD(ROW()-1,7)+50)&amp;"=/ s "&amp;INDEX(CUEs!$B:$B,INT((ROW()-1)/7)*57+MOD(ROW()-1,7)+50),"")</f>
        <v/>
      </c>
    </row>
    <row r="3352" spans="1:1" x14ac:dyDescent="0.25">
      <c r="A3352" t="str" cm="1">
        <f t="array" ref="A3352">IF(INDEX(CUEs!$A:$A,INT((ROW()-1)/7)*57+MOD(ROW()-1,7)+50)&lt;&gt;"","set "&amp;INDEX(CUEs!$A:$A,INT((ROW()-1)/7)*57+MOD(ROW()-1,7)+50)&amp;"=/ s "&amp;INDEX(CUEs!$B:$B,INT((ROW()-1)/7)*57+MOD(ROW()-1,7)+50),"")</f>
        <v/>
      </c>
    </row>
    <row r="3353" spans="1:1" x14ac:dyDescent="0.25">
      <c r="A3353" t="str" cm="1">
        <f t="array" ref="A3353">IF(INDEX(CUEs!$A:$A,INT((ROW()-1)/7)*57+MOD(ROW()-1,7)+50)&lt;&gt;"","set "&amp;INDEX(CUEs!$A:$A,INT((ROW()-1)/7)*57+MOD(ROW()-1,7)+50)&amp;"=/ s "&amp;INDEX(CUEs!$B:$B,INT((ROW()-1)/7)*57+MOD(ROW()-1,7)+50),"")</f>
        <v/>
      </c>
    </row>
    <row r="3354" spans="1:1" x14ac:dyDescent="0.25">
      <c r="A3354" t="str" cm="1">
        <f t="array" ref="A3354">IF(INDEX(CUEs!$A:$A,INT((ROW()-1)/7)*57+MOD(ROW()-1,7)+50)&lt;&gt;"","set "&amp;INDEX(CUEs!$A:$A,INT((ROW()-1)/7)*57+MOD(ROW()-1,7)+50)&amp;"=/ s "&amp;INDEX(CUEs!$B:$B,INT((ROW()-1)/7)*57+MOD(ROW()-1,7)+50),"")</f>
        <v/>
      </c>
    </row>
    <row r="3355" spans="1:1" x14ac:dyDescent="0.25">
      <c r="A3355" t="str" cm="1">
        <f t="array" ref="A3355">IF(INDEX(CUEs!$A:$A,INT((ROW()-1)/7)*57+MOD(ROW()-1,7)+50)&lt;&gt;"","set "&amp;INDEX(CUEs!$A:$A,INT((ROW()-1)/7)*57+MOD(ROW()-1,7)+50)&amp;"=/ s "&amp;INDEX(CUEs!$B:$B,INT((ROW()-1)/7)*57+MOD(ROW()-1,7)+50),"")</f>
        <v/>
      </c>
    </row>
    <row r="3356" spans="1:1" x14ac:dyDescent="0.25">
      <c r="A3356" t="str" cm="1">
        <f t="array" ref="A3356">IF(INDEX(CUEs!$A:$A,INT((ROW()-1)/7)*57+MOD(ROW()-1,7)+50)&lt;&gt;"","set "&amp;INDEX(CUEs!$A:$A,INT((ROW()-1)/7)*57+MOD(ROW()-1,7)+50)&amp;"=/ s "&amp;INDEX(CUEs!$B:$B,INT((ROW()-1)/7)*57+MOD(ROW()-1,7)+50),"")</f>
        <v/>
      </c>
    </row>
    <row r="3357" spans="1:1" x14ac:dyDescent="0.25">
      <c r="A3357" t="str" cm="1">
        <f t="array" ref="A3357">IF(INDEX(CUEs!$A:$A,INT((ROW()-1)/7)*57+MOD(ROW()-1,7)+50)&lt;&gt;"","set "&amp;INDEX(CUEs!$A:$A,INT((ROW()-1)/7)*57+MOD(ROW()-1,7)+50)&amp;"=/ s "&amp;INDEX(CUEs!$B:$B,INT((ROW()-1)/7)*57+MOD(ROW()-1,7)+50),"")</f>
        <v/>
      </c>
    </row>
    <row r="3358" spans="1:1" x14ac:dyDescent="0.25">
      <c r="A3358" t="str" cm="1">
        <f t="array" ref="A3358">IF(INDEX(CUEs!$A:$A,INT((ROW()-1)/7)*57+MOD(ROW()-1,7)+50)&lt;&gt;"","set "&amp;INDEX(CUEs!$A:$A,INT((ROW()-1)/7)*57+MOD(ROW()-1,7)+50)&amp;"=/ s "&amp;INDEX(CUEs!$B:$B,INT((ROW()-1)/7)*57+MOD(ROW()-1,7)+50),"")</f>
        <v/>
      </c>
    </row>
    <row r="3359" spans="1:1" x14ac:dyDescent="0.25">
      <c r="A3359" t="str" cm="1">
        <f t="array" ref="A3359">IF(INDEX(CUEs!$A:$A,INT((ROW()-1)/7)*57+MOD(ROW()-1,7)+50)&lt;&gt;"","set "&amp;INDEX(CUEs!$A:$A,INT((ROW()-1)/7)*57+MOD(ROW()-1,7)+50)&amp;"=/ s "&amp;INDEX(CUEs!$B:$B,INT((ROW()-1)/7)*57+MOD(ROW()-1,7)+50),"")</f>
        <v/>
      </c>
    </row>
    <row r="3360" spans="1:1" x14ac:dyDescent="0.25">
      <c r="A3360" t="str" cm="1">
        <f t="array" ref="A3360">IF(INDEX(CUEs!$A:$A,INT((ROW()-1)/7)*57+MOD(ROW()-1,7)+50)&lt;&gt;"","set "&amp;INDEX(CUEs!$A:$A,INT((ROW()-1)/7)*57+MOD(ROW()-1,7)+50)&amp;"=/ s "&amp;INDEX(CUEs!$B:$B,INT((ROW()-1)/7)*57+MOD(ROW()-1,7)+50),"")</f>
        <v/>
      </c>
    </row>
    <row r="3361" spans="1:1" x14ac:dyDescent="0.25">
      <c r="A3361" t="str" cm="1">
        <f t="array" ref="A3361">IF(INDEX(CUEs!$A:$A,INT((ROW()-1)/7)*57+MOD(ROW()-1,7)+50)&lt;&gt;"","set "&amp;INDEX(CUEs!$A:$A,INT((ROW()-1)/7)*57+MOD(ROW()-1,7)+50)&amp;"=/ s "&amp;INDEX(CUEs!$B:$B,INT((ROW()-1)/7)*57+MOD(ROW()-1,7)+50),"")</f>
        <v/>
      </c>
    </row>
    <row r="3362" spans="1:1" x14ac:dyDescent="0.25">
      <c r="A3362" t="str" cm="1">
        <f t="array" ref="A3362">IF(INDEX(CUEs!$A:$A,INT((ROW()-1)/7)*57+MOD(ROW()-1,7)+50)&lt;&gt;"","set "&amp;INDEX(CUEs!$A:$A,INT((ROW()-1)/7)*57+MOD(ROW()-1,7)+50)&amp;"=/ s "&amp;INDEX(CUEs!$B:$B,INT((ROW()-1)/7)*57+MOD(ROW()-1,7)+50),"")</f>
        <v/>
      </c>
    </row>
    <row r="3363" spans="1:1" x14ac:dyDescent="0.25">
      <c r="A3363" t="str" cm="1">
        <f t="array" ref="A3363">IF(INDEX(CUEs!$A:$A,INT((ROW()-1)/7)*57+MOD(ROW()-1,7)+50)&lt;&gt;"","set "&amp;INDEX(CUEs!$A:$A,INT((ROW()-1)/7)*57+MOD(ROW()-1,7)+50)&amp;"=/ s "&amp;INDEX(CUEs!$B:$B,INT((ROW()-1)/7)*57+MOD(ROW()-1,7)+50),"")</f>
        <v/>
      </c>
    </row>
    <row r="3364" spans="1:1" x14ac:dyDescent="0.25">
      <c r="A3364" t="str" cm="1">
        <f t="array" ref="A3364">IF(INDEX(CUEs!$A:$A,INT((ROW()-1)/7)*57+MOD(ROW()-1,7)+50)&lt;&gt;"","set "&amp;INDEX(CUEs!$A:$A,INT((ROW()-1)/7)*57+MOD(ROW()-1,7)+50)&amp;"=/ s "&amp;INDEX(CUEs!$B:$B,INT((ROW()-1)/7)*57+MOD(ROW()-1,7)+50),"")</f>
        <v/>
      </c>
    </row>
    <row r="3365" spans="1:1" x14ac:dyDescent="0.25">
      <c r="A3365" t="str" cm="1">
        <f t="array" ref="A3365">IF(INDEX(CUEs!$A:$A,INT((ROW()-1)/7)*57+MOD(ROW()-1,7)+50)&lt;&gt;"","set "&amp;INDEX(CUEs!$A:$A,INT((ROW()-1)/7)*57+MOD(ROW()-1,7)+50)&amp;"=/ s "&amp;INDEX(CUEs!$B:$B,INT((ROW()-1)/7)*57+MOD(ROW()-1,7)+50),"")</f>
        <v/>
      </c>
    </row>
    <row r="3366" spans="1:1" x14ac:dyDescent="0.25">
      <c r="A3366" t="str" cm="1">
        <f t="array" ref="A3366">IF(INDEX(CUEs!$A:$A,INT((ROW()-1)/7)*57+MOD(ROW()-1,7)+50)&lt;&gt;"","set "&amp;INDEX(CUEs!$A:$A,INT((ROW()-1)/7)*57+MOD(ROW()-1,7)+50)&amp;"=/ s "&amp;INDEX(CUEs!$B:$B,INT((ROW()-1)/7)*57+MOD(ROW()-1,7)+50),"")</f>
        <v/>
      </c>
    </row>
    <row r="3367" spans="1:1" x14ac:dyDescent="0.25">
      <c r="A3367" t="str" cm="1">
        <f t="array" ref="A3367">IF(INDEX(CUEs!$A:$A,INT((ROW()-1)/7)*57+MOD(ROW()-1,7)+50)&lt;&gt;"","set "&amp;INDEX(CUEs!$A:$A,INT((ROW()-1)/7)*57+MOD(ROW()-1,7)+50)&amp;"=/ s "&amp;INDEX(CUEs!$B:$B,INT((ROW()-1)/7)*57+MOD(ROW()-1,7)+50),"")</f>
        <v/>
      </c>
    </row>
    <row r="3368" spans="1:1" x14ac:dyDescent="0.25">
      <c r="A3368" t="str" cm="1">
        <f t="array" ref="A3368">IF(INDEX(CUEs!$A:$A,INT((ROW()-1)/7)*57+MOD(ROW()-1,7)+50)&lt;&gt;"","set "&amp;INDEX(CUEs!$A:$A,INT((ROW()-1)/7)*57+MOD(ROW()-1,7)+50)&amp;"=/ s "&amp;INDEX(CUEs!$B:$B,INT((ROW()-1)/7)*57+MOD(ROW()-1,7)+50),"")</f>
        <v/>
      </c>
    </row>
    <row r="3369" spans="1:1" x14ac:dyDescent="0.25">
      <c r="A3369" t="str" cm="1">
        <f t="array" ref="A3369">IF(INDEX(CUEs!$A:$A,INT((ROW()-1)/7)*57+MOD(ROW()-1,7)+50)&lt;&gt;"","set "&amp;INDEX(CUEs!$A:$A,INT((ROW()-1)/7)*57+MOD(ROW()-1,7)+50)&amp;"=/ s "&amp;INDEX(CUEs!$B:$B,INT((ROW()-1)/7)*57+MOD(ROW()-1,7)+50),"")</f>
        <v/>
      </c>
    </row>
    <row r="3370" spans="1:1" x14ac:dyDescent="0.25">
      <c r="A3370" t="str" cm="1">
        <f t="array" ref="A3370">IF(INDEX(CUEs!$A:$A,INT((ROW()-1)/7)*57+MOD(ROW()-1,7)+50)&lt;&gt;"","set "&amp;INDEX(CUEs!$A:$A,INT((ROW()-1)/7)*57+MOD(ROW()-1,7)+50)&amp;"=/ s "&amp;INDEX(CUEs!$B:$B,INT((ROW()-1)/7)*57+MOD(ROW()-1,7)+50),"")</f>
        <v/>
      </c>
    </row>
    <row r="3371" spans="1:1" x14ac:dyDescent="0.25">
      <c r="A3371" t="str" cm="1">
        <f t="array" ref="A3371">IF(INDEX(CUEs!$A:$A,INT((ROW()-1)/7)*57+MOD(ROW()-1,7)+50)&lt;&gt;"","set "&amp;INDEX(CUEs!$A:$A,INT((ROW()-1)/7)*57+MOD(ROW()-1,7)+50)&amp;"=/ s "&amp;INDEX(CUEs!$B:$B,INT((ROW()-1)/7)*57+MOD(ROW()-1,7)+50),"")</f>
        <v/>
      </c>
    </row>
    <row r="3372" spans="1:1" x14ac:dyDescent="0.25">
      <c r="A3372" t="str" cm="1">
        <f t="array" ref="A3372">IF(INDEX(CUEs!$A:$A,INT((ROW()-1)/7)*57+MOD(ROW()-1,7)+50)&lt;&gt;"","set "&amp;INDEX(CUEs!$A:$A,INT((ROW()-1)/7)*57+MOD(ROW()-1,7)+50)&amp;"=/ s "&amp;INDEX(CUEs!$B:$B,INT((ROW()-1)/7)*57+MOD(ROW()-1,7)+50),"")</f>
        <v/>
      </c>
    </row>
    <row r="3373" spans="1:1" x14ac:dyDescent="0.25">
      <c r="A3373" t="str" cm="1">
        <f t="array" ref="A3373">IF(INDEX(CUEs!$A:$A,INT((ROW()-1)/7)*57+MOD(ROW()-1,7)+50)&lt;&gt;"","set "&amp;INDEX(CUEs!$A:$A,INT((ROW()-1)/7)*57+MOD(ROW()-1,7)+50)&amp;"=/ s "&amp;INDEX(CUEs!$B:$B,INT((ROW()-1)/7)*57+MOD(ROW()-1,7)+50),"")</f>
        <v/>
      </c>
    </row>
    <row r="3374" spans="1:1" x14ac:dyDescent="0.25">
      <c r="A3374" t="str" cm="1">
        <f t="array" ref="A3374">IF(INDEX(CUEs!$A:$A,INT((ROW()-1)/7)*57+MOD(ROW()-1,7)+50)&lt;&gt;"","set "&amp;INDEX(CUEs!$A:$A,INT((ROW()-1)/7)*57+MOD(ROW()-1,7)+50)&amp;"=/ s "&amp;INDEX(CUEs!$B:$B,INT((ROW()-1)/7)*57+MOD(ROW()-1,7)+50),"")</f>
        <v/>
      </c>
    </row>
    <row r="3375" spans="1:1" x14ac:dyDescent="0.25">
      <c r="A3375" t="str" cm="1">
        <f t="array" ref="A3375">IF(INDEX(CUEs!$A:$A,INT((ROW()-1)/7)*57+MOD(ROW()-1,7)+50)&lt;&gt;"","set "&amp;INDEX(CUEs!$A:$A,INT((ROW()-1)/7)*57+MOD(ROW()-1,7)+50)&amp;"=/ s "&amp;INDEX(CUEs!$B:$B,INT((ROW()-1)/7)*57+MOD(ROW()-1,7)+50),"")</f>
        <v/>
      </c>
    </row>
    <row r="3376" spans="1:1" x14ac:dyDescent="0.25">
      <c r="A3376" t="str" cm="1">
        <f t="array" ref="A3376">IF(INDEX(CUEs!$A:$A,INT((ROW()-1)/7)*57+MOD(ROW()-1,7)+50)&lt;&gt;"","set "&amp;INDEX(CUEs!$A:$A,INT((ROW()-1)/7)*57+MOD(ROW()-1,7)+50)&amp;"=/ s "&amp;INDEX(CUEs!$B:$B,INT((ROW()-1)/7)*57+MOD(ROW()-1,7)+50),"")</f>
        <v/>
      </c>
    </row>
    <row r="3377" spans="1:1" x14ac:dyDescent="0.25">
      <c r="A3377" t="str" cm="1">
        <f t="array" ref="A3377">IF(INDEX(CUEs!$A:$A,INT((ROW()-1)/7)*57+MOD(ROW()-1,7)+50)&lt;&gt;"","set "&amp;INDEX(CUEs!$A:$A,INT((ROW()-1)/7)*57+MOD(ROW()-1,7)+50)&amp;"=/ s "&amp;INDEX(CUEs!$B:$B,INT((ROW()-1)/7)*57+MOD(ROW()-1,7)+50),"")</f>
        <v/>
      </c>
    </row>
    <row r="3378" spans="1:1" x14ac:dyDescent="0.25">
      <c r="A3378" t="str" cm="1">
        <f t="array" ref="A3378">IF(INDEX(CUEs!$A:$A,INT((ROW()-1)/7)*57+MOD(ROW()-1,7)+50)&lt;&gt;"","set "&amp;INDEX(CUEs!$A:$A,INT((ROW()-1)/7)*57+MOD(ROW()-1,7)+50)&amp;"=/ s "&amp;INDEX(CUEs!$B:$B,INT((ROW()-1)/7)*57+MOD(ROW()-1,7)+50),"")</f>
        <v/>
      </c>
    </row>
    <row r="3379" spans="1:1" x14ac:dyDescent="0.25">
      <c r="A3379" t="str" cm="1">
        <f t="array" ref="A3379">IF(INDEX(CUEs!$A:$A,INT((ROW()-1)/7)*57+MOD(ROW()-1,7)+50)&lt;&gt;"","set "&amp;INDEX(CUEs!$A:$A,INT((ROW()-1)/7)*57+MOD(ROW()-1,7)+50)&amp;"=/ s "&amp;INDEX(CUEs!$B:$B,INT((ROW()-1)/7)*57+MOD(ROW()-1,7)+50),"")</f>
        <v/>
      </c>
    </row>
    <row r="3380" spans="1:1" x14ac:dyDescent="0.25">
      <c r="A3380" t="str" cm="1">
        <f t="array" ref="A3380">IF(INDEX(CUEs!$A:$A,INT((ROW()-1)/7)*57+MOD(ROW()-1,7)+50)&lt;&gt;"","set "&amp;INDEX(CUEs!$A:$A,INT((ROW()-1)/7)*57+MOD(ROW()-1,7)+50)&amp;"=/ s "&amp;INDEX(CUEs!$B:$B,INT((ROW()-1)/7)*57+MOD(ROW()-1,7)+50),"")</f>
        <v/>
      </c>
    </row>
    <row r="3381" spans="1:1" x14ac:dyDescent="0.25">
      <c r="A3381" t="str" cm="1">
        <f t="array" ref="A3381">IF(INDEX(CUEs!$A:$A,INT((ROW()-1)/7)*57+MOD(ROW()-1,7)+50)&lt;&gt;"","set "&amp;INDEX(CUEs!$A:$A,INT((ROW()-1)/7)*57+MOD(ROW()-1,7)+50)&amp;"=/ s "&amp;INDEX(CUEs!$B:$B,INT((ROW()-1)/7)*57+MOD(ROW()-1,7)+50),"")</f>
        <v/>
      </c>
    </row>
    <row r="3382" spans="1:1" x14ac:dyDescent="0.25">
      <c r="A3382" t="str" cm="1">
        <f t="array" ref="A3382">IF(INDEX(CUEs!$A:$A,INT((ROW()-1)/7)*57+MOD(ROW()-1,7)+50)&lt;&gt;"","set "&amp;INDEX(CUEs!$A:$A,INT((ROW()-1)/7)*57+MOD(ROW()-1,7)+50)&amp;"=/ s "&amp;INDEX(CUEs!$B:$B,INT((ROW()-1)/7)*57+MOD(ROW()-1,7)+50),"")</f>
        <v/>
      </c>
    </row>
    <row r="3383" spans="1:1" x14ac:dyDescent="0.25">
      <c r="A3383" t="str" cm="1">
        <f t="array" ref="A3383">IF(INDEX(CUEs!$A:$A,INT((ROW()-1)/7)*57+MOD(ROW()-1,7)+50)&lt;&gt;"","set "&amp;INDEX(CUEs!$A:$A,INT((ROW()-1)/7)*57+MOD(ROW()-1,7)+50)&amp;"=/ s "&amp;INDEX(CUEs!$B:$B,INT((ROW()-1)/7)*57+MOD(ROW()-1,7)+50),"")</f>
        <v/>
      </c>
    </row>
    <row r="3384" spans="1:1" x14ac:dyDescent="0.25">
      <c r="A3384" t="str" cm="1">
        <f t="array" ref="A3384">IF(INDEX(CUEs!$A:$A,INT((ROW()-1)/7)*57+MOD(ROW()-1,7)+50)&lt;&gt;"","set "&amp;INDEX(CUEs!$A:$A,INT((ROW()-1)/7)*57+MOD(ROW()-1,7)+50)&amp;"=/ s "&amp;INDEX(CUEs!$B:$B,INT((ROW()-1)/7)*57+MOD(ROW()-1,7)+50),"")</f>
        <v/>
      </c>
    </row>
    <row r="3385" spans="1:1" x14ac:dyDescent="0.25">
      <c r="A3385" t="str" cm="1">
        <f t="array" ref="A3385">IF(INDEX(CUEs!$A:$A,INT((ROW()-1)/7)*57+MOD(ROW()-1,7)+50)&lt;&gt;"","set "&amp;INDEX(CUEs!$A:$A,INT((ROW()-1)/7)*57+MOD(ROW()-1,7)+50)&amp;"=/ s "&amp;INDEX(CUEs!$B:$B,INT((ROW()-1)/7)*57+MOD(ROW()-1,7)+50),"")</f>
        <v/>
      </c>
    </row>
    <row r="3386" spans="1:1" x14ac:dyDescent="0.25">
      <c r="A3386" t="str" cm="1">
        <f t="array" ref="A3386">IF(INDEX(CUEs!$A:$A,INT((ROW()-1)/7)*57+MOD(ROW()-1,7)+50)&lt;&gt;"","set "&amp;INDEX(CUEs!$A:$A,INT((ROW()-1)/7)*57+MOD(ROW()-1,7)+50)&amp;"=/ s "&amp;INDEX(CUEs!$B:$B,INT((ROW()-1)/7)*57+MOD(ROW()-1,7)+50),"")</f>
        <v/>
      </c>
    </row>
    <row r="3387" spans="1:1" x14ac:dyDescent="0.25">
      <c r="A3387" t="str" cm="1">
        <f t="array" ref="A3387">IF(INDEX(CUEs!$A:$A,INT((ROW()-1)/7)*57+MOD(ROW()-1,7)+50)&lt;&gt;"","set "&amp;INDEX(CUEs!$A:$A,INT((ROW()-1)/7)*57+MOD(ROW()-1,7)+50)&amp;"=/ s "&amp;INDEX(CUEs!$B:$B,INT((ROW()-1)/7)*57+MOD(ROW()-1,7)+50),"")</f>
        <v/>
      </c>
    </row>
    <row r="3388" spans="1:1" x14ac:dyDescent="0.25">
      <c r="A3388" t="str" cm="1">
        <f t="array" ref="A3388">IF(INDEX(CUEs!$A:$A,INT((ROW()-1)/7)*57+MOD(ROW()-1,7)+50)&lt;&gt;"","set "&amp;INDEX(CUEs!$A:$A,INT((ROW()-1)/7)*57+MOD(ROW()-1,7)+50)&amp;"=/ s "&amp;INDEX(CUEs!$B:$B,INT((ROW()-1)/7)*57+MOD(ROW()-1,7)+50),"")</f>
        <v/>
      </c>
    </row>
    <row r="3389" spans="1:1" x14ac:dyDescent="0.25">
      <c r="A3389" t="str" cm="1">
        <f t="array" ref="A3389">IF(INDEX(CUEs!$A:$A,INT((ROW()-1)/7)*57+MOD(ROW()-1,7)+50)&lt;&gt;"","set "&amp;INDEX(CUEs!$A:$A,INT((ROW()-1)/7)*57+MOD(ROW()-1,7)+50)&amp;"=/ s "&amp;INDEX(CUEs!$B:$B,INT((ROW()-1)/7)*57+MOD(ROW()-1,7)+50),"")</f>
        <v/>
      </c>
    </row>
    <row r="3390" spans="1:1" x14ac:dyDescent="0.25">
      <c r="A3390" t="str" cm="1">
        <f t="array" ref="A3390">IF(INDEX(CUEs!$A:$A,INT((ROW()-1)/7)*57+MOD(ROW()-1,7)+50)&lt;&gt;"","set "&amp;INDEX(CUEs!$A:$A,INT((ROW()-1)/7)*57+MOD(ROW()-1,7)+50)&amp;"=/ s "&amp;INDEX(CUEs!$B:$B,INT((ROW()-1)/7)*57+MOD(ROW()-1,7)+50),"")</f>
        <v/>
      </c>
    </row>
    <row r="3391" spans="1:1" x14ac:dyDescent="0.25">
      <c r="A3391" t="str" cm="1">
        <f t="array" ref="A3391">IF(INDEX(CUEs!$A:$A,INT((ROW()-1)/7)*57+MOD(ROW()-1,7)+50)&lt;&gt;"","set "&amp;INDEX(CUEs!$A:$A,INT((ROW()-1)/7)*57+MOD(ROW()-1,7)+50)&amp;"=/ s "&amp;INDEX(CUEs!$B:$B,INT((ROW()-1)/7)*57+MOD(ROW()-1,7)+50),"")</f>
        <v/>
      </c>
    </row>
    <row r="3392" spans="1:1" x14ac:dyDescent="0.25">
      <c r="A3392" t="str" cm="1">
        <f t="array" ref="A3392">IF(INDEX(CUEs!$A:$A,INT((ROW()-1)/7)*57+MOD(ROW()-1,7)+50)&lt;&gt;"","set "&amp;INDEX(CUEs!$A:$A,INT((ROW()-1)/7)*57+MOD(ROW()-1,7)+50)&amp;"=/ s "&amp;INDEX(CUEs!$B:$B,INT((ROW()-1)/7)*57+MOD(ROW()-1,7)+50),"")</f>
        <v/>
      </c>
    </row>
    <row r="3393" spans="1:1" x14ac:dyDescent="0.25">
      <c r="A3393" t="str" cm="1">
        <f t="array" ref="A3393">IF(INDEX(CUEs!$A:$A,INT((ROW()-1)/7)*57+MOD(ROW()-1,7)+50)&lt;&gt;"","set "&amp;INDEX(CUEs!$A:$A,INT((ROW()-1)/7)*57+MOD(ROW()-1,7)+50)&amp;"=/ s "&amp;INDEX(CUEs!$B:$B,INT((ROW()-1)/7)*57+MOD(ROW()-1,7)+50),"")</f>
        <v/>
      </c>
    </row>
    <row r="3394" spans="1:1" x14ac:dyDescent="0.25">
      <c r="A3394" t="str" cm="1">
        <f t="array" ref="A3394">IF(INDEX(CUEs!$A:$A,INT((ROW()-1)/7)*57+MOD(ROW()-1,7)+50)&lt;&gt;"","set "&amp;INDEX(CUEs!$A:$A,INT((ROW()-1)/7)*57+MOD(ROW()-1,7)+50)&amp;"=/ s "&amp;INDEX(CUEs!$B:$B,INT((ROW()-1)/7)*57+MOD(ROW()-1,7)+50),"")</f>
        <v/>
      </c>
    </row>
    <row r="3395" spans="1:1" x14ac:dyDescent="0.25">
      <c r="A3395" t="str" cm="1">
        <f t="array" ref="A3395">IF(INDEX(CUEs!$A:$A,INT((ROW()-1)/7)*57+MOD(ROW()-1,7)+50)&lt;&gt;"","set "&amp;INDEX(CUEs!$A:$A,INT((ROW()-1)/7)*57+MOD(ROW()-1,7)+50)&amp;"=/ s "&amp;INDEX(CUEs!$B:$B,INT((ROW()-1)/7)*57+MOD(ROW()-1,7)+50),"")</f>
        <v/>
      </c>
    </row>
    <row r="3396" spans="1:1" x14ac:dyDescent="0.25">
      <c r="A3396" t="str" cm="1">
        <f t="array" ref="A3396">IF(INDEX(CUEs!$A:$A,INT((ROW()-1)/7)*57+MOD(ROW()-1,7)+50)&lt;&gt;"","set "&amp;INDEX(CUEs!$A:$A,INT((ROW()-1)/7)*57+MOD(ROW()-1,7)+50)&amp;"=/ s "&amp;INDEX(CUEs!$B:$B,INT((ROW()-1)/7)*57+MOD(ROW()-1,7)+50),"")</f>
        <v/>
      </c>
    </row>
    <row r="3397" spans="1:1" x14ac:dyDescent="0.25">
      <c r="A3397" t="str" cm="1">
        <f t="array" ref="A3397">IF(INDEX(CUEs!$A:$A,INT((ROW()-1)/7)*57+MOD(ROW()-1,7)+50)&lt;&gt;"","set "&amp;INDEX(CUEs!$A:$A,INT((ROW()-1)/7)*57+MOD(ROW()-1,7)+50)&amp;"=/ s "&amp;INDEX(CUEs!$B:$B,INT((ROW()-1)/7)*57+MOD(ROW()-1,7)+50),"")</f>
        <v/>
      </c>
    </row>
    <row r="3398" spans="1:1" x14ac:dyDescent="0.25">
      <c r="A3398" t="str" cm="1">
        <f t="array" ref="A3398">IF(INDEX(CUEs!$A:$A,INT((ROW()-1)/7)*57+MOD(ROW()-1,7)+50)&lt;&gt;"","set "&amp;INDEX(CUEs!$A:$A,INT((ROW()-1)/7)*57+MOD(ROW()-1,7)+50)&amp;"=/ s "&amp;INDEX(CUEs!$B:$B,INT((ROW()-1)/7)*57+MOD(ROW()-1,7)+50),"")</f>
        <v/>
      </c>
    </row>
    <row r="3399" spans="1:1" x14ac:dyDescent="0.25">
      <c r="A3399" t="str" cm="1">
        <f t="array" ref="A3399">IF(INDEX(CUEs!$A:$A,INT((ROW()-1)/7)*57+MOD(ROW()-1,7)+50)&lt;&gt;"","set "&amp;INDEX(CUEs!$A:$A,INT((ROW()-1)/7)*57+MOD(ROW()-1,7)+50)&amp;"=/ s "&amp;INDEX(CUEs!$B:$B,INT((ROW()-1)/7)*57+MOD(ROW()-1,7)+50),"")</f>
        <v/>
      </c>
    </row>
    <row r="3400" spans="1:1" x14ac:dyDescent="0.25">
      <c r="A3400" t="str" cm="1">
        <f t="array" ref="A3400">IF(INDEX(CUEs!$A:$A,INT((ROW()-1)/7)*57+MOD(ROW()-1,7)+50)&lt;&gt;"","set "&amp;INDEX(CUEs!$A:$A,INT((ROW()-1)/7)*57+MOD(ROW()-1,7)+50)&amp;"=/ s "&amp;INDEX(CUEs!$B:$B,INT((ROW()-1)/7)*57+MOD(ROW()-1,7)+50),"")</f>
        <v/>
      </c>
    </row>
    <row r="3401" spans="1:1" x14ac:dyDescent="0.25">
      <c r="A3401" t="str" cm="1">
        <f t="array" ref="A3401">IF(INDEX(CUEs!$A:$A,INT((ROW()-1)/7)*57+MOD(ROW()-1,7)+50)&lt;&gt;"","set "&amp;INDEX(CUEs!$A:$A,INT((ROW()-1)/7)*57+MOD(ROW()-1,7)+50)&amp;"=/ s "&amp;INDEX(CUEs!$B:$B,INT((ROW()-1)/7)*57+MOD(ROW()-1,7)+50),"")</f>
        <v/>
      </c>
    </row>
    <row r="3402" spans="1:1" x14ac:dyDescent="0.25">
      <c r="A3402" t="str" cm="1">
        <f t="array" ref="A3402">IF(INDEX(CUEs!$A:$A,INT((ROW()-1)/7)*57+MOD(ROW()-1,7)+50)&lt;&gt;"","set "&amp;INDEX(CUEs!$A:$A,INT((ROW()-1)/7)*57+MOD(ROW()-1,7)+50)&amp;"=/ s "&amp;INDEX(CUEs!$B:$B,INT((ROW()-1)/7)*57+MOD(ROW()-1,7)+50),"")</f>
        <v/>
      </c>
    </row>
    <row r="3403" spans="1:1" x14ac:dyDescent="0.25">
      <c r="A3403" t="str" cm="1">
        <f t="array" ref="A3403">IF(INDEX(CUEs!$A:$A,INT((ROW()-1)/7)*57+MOD(ROW()-1,7)+50)&lt;&gt;"","set "&amp;INDEX(CUEs!$A:$A,INT((ROW()-1)/7)*57+MOD(ROW()-1,7)+50)&amp;"=/ s "&amp;INDEX(CUEs!$B:$B,INT((ROW()-1)/7)*57+MOD(ROW()-1,7)+50),"")</f>
        <v/>
      </c>
    </row>
    <row r="3404" spans="1:1" x14ac:dyDescent="0.25">
      <c r="A3404" t="str" cm="1">
        <f t="array" ref="A3404">IF(INDEX(CUEs!$A:$A,INT((ROW()-1)/7)*57+MOD(ROW()-1,7)+50)&lt;&gt;"","set "&amp;INDEX(CUEs!$A:$A,INT((ROW()-1)/7)*57+MOD(ROW()-1,7)+50)&amp;"=/ s "&amp;INDEX(CUEs!$B:$B,INT((ROW()-1)/7)*57+MOD(ROW()-1,7)+50),"")</f>
        <v/>
      </c>
    </row>
    <row r="3405" spans="1:1" x14ac:dyDescent="0.25">
      <c r="A3405" t="str" cm="1">
        <f t="array" ref="A3405">IF(INDEX(CUEs!$A:$A,INT((ROW()-1)/7)*57+MOD(ROW()-1,7)+50)&lt;&gt;"","set "&amp;INDEX(CUEs!$A:$A,INT((ROW()-1)/7)*57+MOD(ROW()-1,7)+50)&amp;"=/ s "&amp;INDEX(CUEs!$B:$B,INT((ROW()-1)/7)*57+MOD(ROW()-1,7)+50),"")</f>
        <v/>
      </c>
    </row>
    <row r="3406" spans="1:1" x14ac:dyDescent="0.25">
      <c r="A3406" t="str" cm="1">
        <f t="array" ref="A3406">IF(INDEX(CUEs!$A:$A,INT((ROW()-1)/7)*57+MOD(ROW()-1,7)+50)&lt;&gt;"","set "&amp;INDEX(CUEs!$A:$A,INT((ROW()-1)/7)*57+MOD(ROW()-1,7)+50)&amp;"=/ s "&amp;INDEX(CUEs!$B:$B,INT((ROW()-1)/7)*57+MOD(ROW()-1,7)+50),"")</f>
        <v/>
      </c>
    </row>
    <row r="3407" spans="1:1" x14ac:dyDescent="0.25">
      <c r="A3407" t="str" cm="1">
        <f t="array" ref="A3407">IF(INDEX(CUEs!$A:$A,INT((ROW()-1)/7)*57+MOD(ROW()-1,7)+50)&lt;&gt;"","set "&amp;INDEX(CUEs!$A:$A,INT((ROW()-1)/7)*57+MOD(ROW()-1,7)+50)&amp;"=/ s "&amp;INDEX(CUEs!$B:$B,INT((ROW()-1)/7)*57+MOD(ROW()-1,7)+50),"")</f>
        <v/>
      </c>
    </row>
    <row r="3408" spans="1:1" x14ac:dyDescent="0.25">
      <c r="A3408" t="str" cm="1">
        <f t="array" ref="A3408">IF(INDEX(CUEs!$A:$A,INT((ROW()-1)/7)*57+MOD(ROW()-1,7)+50)&lt;&gt;"","set "&amp;INDEX(CUEs!$A:$A,INT((ROW()-1)/7)*57+MOD(ROW()-1,7)+50)&amp;"=/ s "&amp;INDEX(CUEs!$B:$B,INT((ROW()-1)/7)*57+MOD(ROW()-1,7)+50),"")</f>
        <v/>
      </c>
    </row>
    <row r="3409" spans="1:1" x14ac:dyDescent="0.25">
      <c r="A3409" t="str" cm="1">
        <f t="array" ref="A3409">IF(INDEX(CUEs!$A:$A,INT((ROW()-1)/7)*57+MOD(ROW()-1,7)+50)&lt;&gt;"","set "&amp;INDEX(CUEs!$A:$A,INT((ROW()-1)/7)*57+MOD(ROW()-1,7)+50)&amp;"=/ s "&amp;INDEX(CUEs!$B:$B,INT((ROW()-1)/7)*57+MOD(ROW()-1,7)+50),"")</f>
        <v/>
      </c>
    </row>
    <row r="3410" spans="1:1" x14ac:dyDescent="0.25">
      <c r="A3410" t="str" cm="1">
        <f t="array" ref="A3410">IF(INDEX(CUEs!$A:$A,INT((ROW()-1)/7)*57+MOD(ROW()-1,7)+50)&lt;&gt;"","set "&amp;INDEX(CUEs!$A:$A,INT((ROW()-1)/7)*57+MOD(ROW()-1,7)+50)&amp;"=/ s "&amp;INDEX(CUEs!$B:$B,INT((ROW()-1)/7)*57+MOD(ROW()-1,7)+50),"")</f>
        <v/>
      </c>
    </row>
    <row r="3411" spans="1:1" x14ac:dyDescent="0.25">
      <c r="A3411" t="str" cm="1">
        <f t="array" ref="A3411">IF(INDEX(CUEs!$A:$A,INT((ROW()-1)/7)*57+MOD(ROW()-1,7)+50)&lt;&gt;"","set "&amp;INDEX(CUEs!$A:$A,INT((ROW()-1)/7)*57+MOD(ROW()-1,7)+50)&amp;"=/ s "&amp;INDEX(CUEs!$B:$B,INT((ROW()-1)/7)*57+MOD(ROW()-1,7)+50),"")</f>
        <v/>
      </c>
    </row>
    <row r="3412" spans="1:1" x14ac:dyDescent="0.25">
      <c r="A3412" t="str" cm="1">
        <f t="array" ref="A3412">IF(INDEX(CUEs!$A:$A,INT((ROW()-1)/7)*57+MOD(ROW()-1,7)+50)&lt;&gt;"","set "&amp;INDEX(CUEs!$A:$A,INT((ROW()-1)/7)*57+MOD(ROW()-1,7)+50)&amp;"=/ s "&amp;INDEX(CUEs!$B:$B,INT((ROW()-1)/7)*57+MOD(ROW()-1,7)+50),"")</f>
        <v/>
      </c>
    </row>
    <row r="3413" spans="1:1" x14ac:dyDescent="0.25">
      <c r="A3413" t="str" cm="1">
        <f t="array" ref="A3413">IF(INDEX(CUEs!$A:$A,INT((ROW()-1)/7)*57+MOD(ROW()-1,7)+50)&lt;&gt;"","set "&amp;INDEX(CUEs!$A:$A,INT((ROW()-1)/7)*57+MOD(ROW()-1,7)+50)&amp;"=/ s "&amp;INDEX(CUEs!$B:$B,INT((ROW()-1)/7)*57+MOD(ROW()-1,7)+50),"")</f>
        <v/>
      </c>
    </row>
    <row r="3414" spans="1:1" x14ac:dyDescent="0.25">
      <c r="A3414" t="str" cm="1">
        <f t="array" ref="A3414">IF(INDEX(CUEs!$A:$A,INT((ROW()-1)/7)*57+MOD(ROW()-1,7)+50)&lt;&gt;"","set "&amp;INDEX(CUEs!$A:$A,INT((ROW()-1)/7)*57+MOD(ROW()-1,7)+50)&amp;"=/ s "&amp;INDEX(CUEs!$B:$B,INT((ROW()-1)/7)*57+MOD(ROW()-1,7)+50),"")</f>
        <v/>
      </c>
    </row>
    <row r="3415" spans="1:1" x14ac:dyDescent="0.25">
      <c r="A3415" t="str" cm="1">
        <f t="array" ref="A3415">IF(INDEX(CUEs!$A:$A,INT((ROW()-1)/7)*57+MOD(ROW()-1,7)+50)&lt;&gt;"","set "&amp;INDEX(CUEs!$A:$A,INT((ROW()-1)/7)*57+MOD(ROW()-1,7)+50)&amp;"=/ s "&amp;INDEX(CUEs!$B:$B,INT((ROW()-1)/7)*57+MOD(ROW()-1,7)+50),"")</f>
        <v/>
      </c>
    </row>
    <row r="3416" spans="1:1" x14ac:dyDescent="0.25">
      <c r="A3416" t="str" cm="1">
        <f t="array" ref="A3416">IF(INDEX(CUEs!$A:$A,INT((ROW()-1)/7)*57+MOD(ROW()-1,7)+50)&lt;&gt;"","set "&amp;INDEX(CUEs!$A:$A,INT((ROW()-1)/7)*57+MOD(ROW()-1,7)+50)&amp;"=/ s "&amp;INDEX(CUEs!$B:$B,INT((ROW()-1)/7)*57+MOD(ROW()-1,7)+50),"")</f>
        <v/>
      </c>
    </row>
    <row r="3417" spans="1:1" x14ac:dyDescent="0.25">
      <c r="A3417" t="str" cm="1">
        <f t="array" ref="A3417">IF(INDEX(CUEs!$A:$A,INT((ROW()-1)/7)*57+MOD(ROW()-1,7)+50)&lt;&gt;"","set "&amp;INDEX(CUEs!$A:$A,INT((ROW()-1)/7)*57+MOD(ROW()-1,7)+50)&amp;"=/ s "&amp;INDEX(CUEs!$B:$B,INT((ROW()-1)/7)*57+MOD(ROW()-1,7)+50),"")</f>
        <v/>
      </c>
    </row>
    <row r="3418" spans="1:1" x14ac:dyDescent="0.25">
      <c r="A3418" t="str" cm="1">
        <f t="array" ref="A3418">IF(INDEX(CUEs!$A:$A,INT((ROW()-1)/7)*57+MOD(ROW()-1,7)+50)&lt;&gt;"","set "&amp;INDEX(CUEs!$A:$A,INT((ROW()-1)/7)*57+MOD(ROW()-1,7)+50)&amp;"=/ s "&amp;INDEX(CUEs!$B:$B,INT((ROW()-1)/7)*57+MOD(ROW()-1,7)+50),"")</f>
        <v/>
      </c>
    </row>
    <row r="3419" spans="1:1" x14ac:dyDescent="0.25">
      <c r="A3419" t="str" cm="1">
        <f t="array" ref="A3419">IF(INDEX(CUEs!$A:$A,INT((ROW()-1)/7)*57+MOD(ROW()-1,7)+50)&lt;&gt;"","set "&amp;INDEX(CUEs!$A:$A,INT((ROW()-1)/7)*57+MOD(ROW()-1,7)+50)&amp;"=/ s "&amp;INDEX(CUEs!$B:$B,INT((ROW()-1)/7)*57+MOD(ROW()-1,7)+50),"")</f>
        <v/>
      </c>
    </row>
    <row r="3420" spans="1:1" x14ac:dyDescent="0.25">
      <c r="A3420" t="str" cm="1">
        <f t="array" ref="A3420">IF(INDEX(CUEs!$A:$A,INT((ROW()-1)/7)*57+MOD(ROW()-1,7)+50)&lt;&gt;"","set "&amp;INDEX(CUEs!$A:$A,INT((ROW()-1)/7)*57+MOD(ROW()-1,7)+50)&amp;"=/ s "&amp;INDEX(CUEs!$B:$B,INT((ROW()-1)/7)*57+MOD(ROW()-1,7)+50),"")</f>
        <v/>
      </c>
    </row>
    <row r="3421" spans="1:1" x14ac:dyDescent="0.25">
      <c r="A3421" t="str" cm="1">
        <f t="array" ref="A3421">IF(INDEX(CUEs!$A:$A,INT((ROW()-1)/7)*57+MOD(ROW()-1,7)+50)&lt;&gt;"","set "&amp;INDEX(CUEs!$A:$A,INT((ROW()-1)/7)*57+MOD(ROW()-1,7)+50)&amp;"=/ s "&amp;INDEX(CUEs!$B:$B,INT((ROW()-1)/7)*57+MOD(ROW()-1,7)+50),"")</f>
        <v/>
      </c>
    </row>
    <row r="3422" spans="1:1" x14ac:dyDescent="0.25">
      <c r="A3422" t="str" cm="1">
        <f t="array" ref="A3422">IF(INDEX(CUEs!$A:$A,INT((ROW()-1)/7)*57+MOD(ROW()-1,7)+50)&lt;&gt;"","set "&amp;INDEX(CUEs!$A:$A,INT((ROW()-1)/7)*57+MOD(ROW()-1,7)+50)&amp;"=/ s "&amp;INDEX(CUEs!$B:$B,INT((ROW()-1)/7)*57+MOD(ROW()-1,7)+50),"")</f>
        <v/>
      </c>
    </row>
    <row r="3423" spans="1:1" x14ac:dyDescent="0.25">
      <c r="A3423" t="str" cm="1">
        <f t="array" ref="A3423">IF(INDEX(CUEs!$A:$A,INT((ROW()-1)/7)*57+MOD(ROW()-1,7)+50)&lt;&gt;"","set "&amp;INDEX(CUEs!$A:$A,INT((ROW()-1)/7)*57+MOD(ROW()-1,7)+50)&amp;"=/ s "&amp;INDEX(CUEs!$B:$B,INT((ROW()-1)/7)*57+MOD(ROW()-1,7)+50),"")</f>
        <v/>
      </c>
    </row>
    <row r="3424" spans="1:1" x14ac:dyDescent="0.25">
      <c r="A3424" t="str" cm="1">
        <f t="array" ref="A3424">IF(INDEX(CUEs!$A:$A,INT((ROW()-1)/7)*57+MOD(ROW()-1,7)+50)&lt;&gt;"","set "&amp;INDEX(CUEs!$A:$A,INT((ROW()-1)/7)*57+MOD(ROW()-1,7)+50)&amp;"=/ s "&amp;INDEX(CUEs!$B:$B,INT((ROW()-1)/7)*57+MOD(ROW()-1,7)+50),"")</f>
        <v/>
      </c>
    </row>
    <row r="3425" spans="1:1" x14ac:dyDescent="0.25">
      <c r="A3425" t="str" cm="1">
        <f t="array" ref="A3425">IF(INDEX(CUEs!$A:$A,INT((ROW()-1)/7)*57+MOD(ROW()-1,7)+50)&lt;&gt;"","set "&amp;INDEX(CUEs!$A:$A,INT((ROW()-1)/7)*57+MOD(ROW()-1,7)+50)&amp;"=/ s "&amp;INDEX(CUEs!$B:$B,INT((ROW()-1)/7)*57+MOD(ROW()-1,7)+50),"")</f>
        <v/>
      </c>
    </row>
    <row r="3426" spans="1:1" x14ac:dyDescent="0.25">
      <c r="A3426" t="str" cm="1">
        <f t="array" ref="A3426">IF(INDEX(CUEs!$A:$A,INT((ROW()-1)/7)*57+MOD(ROW()-1,7)+50)&lt;&gt;"","set "&amp;INDEX(CUEs!$A:$A,INT((ROW()-1)/7)*57+MOD(ROW()-1,7)+50)&amp;"=/ s "&amp;INDEX(CUEs!$B:$B,INT((ROW()-1)/7)*57+MOD(ROW()-1,7)+50),"")</f>
        <v/>
      </c>
    </row>
    <row r="3427" spans="1:1" x14ac:dyDescent="0.25">
      <c r="A3427" t="str" cm="1">
        <f t="array" ref="A3427">IF(INDEX(CUEs!$A:$A,INT((ROW()-1)/7)*57+MOD(ROW()-1,7)+50)&lt;&gt;"","set "&amp;INDEX(CUEs!$A:$A,INT((ROW()-1)/7)*57+MOD(ROW()-1,7)+50)&amp;"=/ s "&amp;INDEX(CUEs!$B:$B,INT((ROW()-1)/7)*57+MOD(ROW()-1,7)+50),"")</f>
        <v/>
      </c>
    </row>
    <row r="3428" spans="1:1" x14ac:dyDescent="0.25">
      <c r="A3428" t="str" cm="1">
        <f t="array" ref="A3428">IF(INDEX(CUEs!$A:$A,INT((ROW()-1)/7)*57+MOD(ROW()-1,7)+50)&lt;&gt;"","set "&amp;INDEX(CUEs!$A:$A,INT((ROW()-1)/7)*57+MOD(ROW()-1,7)+50)&amp;"=/ s "&amp;INDEX(CUEs!$B:$B,INT((ROW()-1)/7)*57+MOD(ROW()-1,7)+50),"")</f>
        <v/>
      </c>
    </row>
    <row r="3429" spans="1:1" x14ac:dyDescent="0.25">
      <c r="A3429" t="str" cm="1">
        <f t="array" ref="A3429">IF(INDEX(CUEs!$A:$A,INT((ROW()-1)/7)*57+MOD(ROW()-1,7)+50)&lt;&gt;"","set "&amp;INDEX(CUEs!$A:$A,INT((ROW()-1)/7)*57+MOD(ROW()-1,7)+50)&amp;"=/ s "&amp;INDEX(CUEs!$B:$B,INT((ROW()-1)/7)*57+MOD(ROW()-1,7)+50),"")</f>
        <v/>
      </c>
    </row>
    <row r="3430" spans="1:1" x14ac:dyDescent="0.25">
      <c r="A3430" t="str" cm="1">
        <f t="array" ref="A3430">IF(INDEX(CUEs!$A:$A,INT((ROW()-1)/7)*57+MOD(ROW()-1,7)+50)&lt;&gt;"","set "&amp;INDEX(CUEs!$A:$A,INT((ROW()-1)/7)*57+MOD(ROW()-1,7)+50)&amp;"=/ s "&amp;INDEX(CUEs!$B:$B,INT((ROW()-1)/7)*57+MOD(ROW()-1,7)+50),"")</f>
        <v/>
      </c>
    </row>
    <row r="3431" spans="1:1" x14ac:dyDescent="0.25">
      <c r="A3431" t="str" cm="1">
        <f t="array" ref="A3431">IF(INDEX(CUEs!$A:$A,INT((ROW()-1)/7)*57+MOD(ROW()-1,7)+50)&lt;&gt;"","set "&amp;INDEX(CUEs!$A:$A,INT((ROW()-1)/7)*57+MOD(ROW()-1,7)+50)&amp;"=/ s "&amp;INDEX(CUEs!$B:$B,INT((ROW()-1)/7)*57+MOD(ROW()-1,7)+50),"")</f>
        <v/>
      </c>
    </row>
    <row r="3432" spans="1:1" x14ac:dyDescent="0.25">
      <c r="A3432" t="str" cm="1">
        <f t="array" ref="A3432">IF(INDEX(CUEs!$A:$A,INT((ROW()-1)/7)*57+MOD(ROW()-1,7)+50)&lt;&gt;"","set "&amp;INDEX(CUEs!$A:$A,INT((ROW()-1)/7)*57+MOD(ROW()-1,7)+50)&amp;"=/ s "&amp;INDEX(CUEs!$B:$B,INT((ROW()-1)/7)*57+MOD(ROW()-1,7)+50),"")</f>
        <v/>
      </c>
    </row>
    <row r="3433" spans="1:1" x14ac:dyDescent="0.25">
      <c r="A3433" t="str" cm="1">
        <f t="array" ref="A3433">IF(INDEX(CUEs!$A:$A,INT((ROW()-1)/7)*57+MOD(ROW()-1,7)+50)&lt;&gt;"","set "&amp;INDEX(CUEs!$A:$A,INT((ROW()-1)/7)*57+MOD(ROW()-1,7)+50)&amp;"=/ s "&amp;INDEX(CUEs!$B:$B,INT((ROW()-1)/7)*57+MOD(ROW()-1,7)+50),"")</f>
        <v/>
      </c>
    </row>
    <row r="3434" spans="1:1" x14ac:dyDescent="0.25">
      <c r="A3434" t="str" cm="1">
        <f t="array" ref="A3434">IF(INDEX(CUEs!$A:$A,INT((ROW()-1)/7)*57+MOD(ROW()-1,7)+50)&lt;&gt;"","set "&amp;INDEX(CUEs!$A:$A,INT((ROW()-1)/7)*57+MOD(ROW()-1,7)+50)&amp;"=/ s "&amp;INDEX(CUEs!$B:$B,INT((ROW()-1)/7)*57+MOD(ROW()-1,7)+50),"")</f>
        <v/>
      </c>
    </row>
    <row r="3435" spans="1:1" x14ac:dyDescent="0.25">
      <c r="A3435" t="str" cm="1">
        <f t="array" ref="A3435">IF(INDEX(CUEs!$A:$A,INT((ROW()-1)/7)*57+MOD(ROW()-1,7)+50)&lt;&gt;"","set "&amp;INDEX(CUEs!$A:$A,INT((ROW()-1)/7)*57+MOD(ROW()-1,7)+50)&amp;"=/ s "&amp;INDEX(CUEs!$B:$B,INT((ROW()-1)/7)*57+MOD(ROW()-1,7)+50),"")</f>
        <v/>
      </c>
    </row>
    <row r="3436" spans="1:1" x14ac:dyDescent="0.25">
      <c r="A3436" t="str" cm="1">
        <f t="array" ref="A3436">IF(INDEX(CUEs!$A:$A,INT((ROW()-1)/7)*57+MOD(ROW()-1,7)+50)&lt;&gt;"","set "&amp;INDEX(CUEs!$A:$A,INT((ROW()-1)/7)*57+MOD(ROW()-1,7)+50)&amp;"=/ s "&amp;INDEX(CUEs!$B:$B,INT((ROW()-1)/7)*57+MOD(ROW()-1,7)+50),"")</f>
        <v/>
      </c>
    </row>
    <row r="3437" spans="1:1" x14ac:dyDescent="0.25">
      <c r="A3437" t="str" cm="1">
        <f t="array" ref="A3437">IF(INDEX(CUEs!$A:$A,INT((ROW()-1)/7)*57+MOD(ROW()-1,7)+50)&lt;&gt;"","set "&amp;INDEX(CUEs!$A:$A,INT((ROW()-1)/7)*57+MOD(ROW()-1,7)+50)&amp;"=/ s "&amp;INDEX(CUEs!$B:$B,INT((ROW()-1)/7)*57+MOD(ROW()-1,7)+50),"")</f>
        <v/>
      </c>
    </row>
    <row r="3438" spans="1:1" x14ac:dyDescent="0.25">
      <c r="A3438" t="str" cm="1">
        <f t="array" ref="A3438">IF(INDEX(CUEs!$A:$A,INT((ROW()-1)/7)*57+MOD(ROW()-1,7)+50)&lt;&gt;"","set "&amp;INDEX(CUEs!$A:$A,INT((ROW()-1)/7)*57+MOD(ROW()-1,7)+50)&amp;"=/ s "&amp;INDEX(CUEs!$B:$B,INT((ROW()-1)/7)*57+MOD(ROW()-1,7)+50),"")</f>
        <v/>
      </c>
    </row>
    <row r="3439" spans="1:1" x14ac:dyDescent="0.25">
      <c r="A3439" t="str" cm="1">
        <f t="array" ref="A3439">IF(INDEX(CUEs!$A:$A,INT((ROW()-1)/7)*57+MOD(ROW()-1,7)+50)&lt;&gt;"","set "&amp;INDEX(CUEs!$A:$A,INT((ROW()-1)/7)*57+MOD(ROW()-1,7)+50)&amp;"=/ s "&amp;INDEX(CUEs!$B:$B,INT((ROW()-1)/7)*57+MOD(ROW()-1,7)+50),"")</f>
        <v/>
      </c>
    </row>
    <row r="3440" spans="1:1" x14ac:dyDescent="0.25">
      <c r="A3440" t="str" cm="1">
        <f t="array" ref="A3440">IF(INDEX(CUEs!$A:$A,INT((ROW()-1)/7)*57+MOD(ROW()-1,7)+50)&lt;&gt;"","set "&amp;INDEX(CUEs!$A:$A,INT((ROW()-1)/7)*57+MOD(ROW()-1,7)+50)&amp;"=/ s "&amp;INDEX(CUEs!$B:$B,INT((ROW()-1)/7)*57+MOD(ROW()-1,7)+50),"")</f>
        <v/>
      </c>
    </row>
    <row r="3441" spans="1:1" x14ac:dyDescent="0.25">
      <c r="A3441" t="str" cm="1">
        <f t="array" ref="A3441">IF(INDEX(CUEs!$A:$A,INT((ROW()-1)/7)*57+MOD(ROW()-1,7)+50)&lt;&gt;"","set "&amp;INDEX(CUEs!$A:$A,INT((ROW()-1)/7)*57+MOD(ROW()-1,7)+50)&amp;"=/ s "&amp;INDEX(CUEs!$B:$B,INT((ROW()-1)/7)*57+MOD(ROW()-1,7)+50),"")</f>
        <v/>
      </c>
    </row>
    <row r="3442" spans="1:1" x14ac:dyDescent="0.25">
      <c r="A3442" t="str" cm="1">
        <f t="array" ref="A3442">IF(INDEX(CUEs!$A:$A,INT((ROW()-1)/7)*57+MOD(ROW()-1,7)+50)&lt;&gt;"","set "&amp;INDEX(CUEs!$A:$A,INT((ROW()-1)/7)*57+MOD(ROW()-1,7)+50)&amp;"=/ s "&amp;INDEX(CUEs!$B:$B,INT((ROW()-1)/7)*57+MOD(ROW()-1,7)+50),"")</f>
        <v/>
      </c>
    </row>
    <row r="3443" spans="1:1" x14ac:dyDescent="0.25">
      <c r="A3443" t="str" cm="1">
        <f t="array" ref="A3443">IF(INDEX(CUEs!$A:$A,INT((ROW()-1)/7)*57+MOD(ROW()-1,7)+50)&lt;&gt;"","set "&amp;INDEX(CUEs!$A:$A,INT((ROW()-1)/7)*57+MOD(ROW()-1,7)+50)&amp;"=/ s "&amp;INDEX(CUEs!$B:$B,INT((ROW()-1)/7)*57+MOD(ROW()-1,7)+50),"")</f>
        <v/>
      </c>
    </row>
    <row r="3444" spans="1:1" x14ac:dyDescent="0.25">
      <c r="A3444" t="str" cm="1">
        <f t="array" ref="A3444">IF(INDEX(CUEs!$A:$A,INT((ROW()-1)/7)*57+MOD(ROW()-1,7)+50)&lt;&gt;"","set "&amp;INDEX(CUEs!$A:$A,INT((ROW()-1)/7)*57+MOD(ROW()-1,7)+50)&amp;"=/ s "&amp;INDEX(CUEs!$B:$B,INT((ROW()-1)/7)*57+MOD(ROW()-1,7)+50),"")</f>
        <v/>
      </c>
    </row>
    <row r="3445" spans="1:1" x14ac:dyDescent="0.25">
      <c r="A3445" t="str" cm="1">
        <f t="array" ref="A3445">IF(INDEX(CUEs!$A:$A,INT((ROW()-1)/7)*57+MOD(ROW()-1,7)+50)&lt;&gt;"","set "&amp;INDEX(CUEs!$A:$A,INT((ROW()-1)/7)*57+MOD(ROW()-1,7)+50)&amp;"=/ s "&amp;INDEX(CUEs!$B:$B,INT((ROW()-1)/7)*57+MOD(ROW()-1,7)+50),"")</f>
        <v/>
      </c>
    </row>
    <row r="3446" spans="1:1" x14ac:dyDescent="0.25">
      <c r="A3446" t="str" cm="1">
        <f t="array" ref="A3446">IF(INDEX(CUEs!$A:$A,INT((ROW()-1)/7)*57+MOD(ROW()-1,7)+50)&lt;&gt;"","set "&amp;INDEX(CUEs!$A:$A,INT((ROW()-1)/7)*57+MOD(ROW()-1,7)+50)&amp;"=/ s "&amp;INDEX(CUEs!$B:$B,INT((ROW()-1)/7)*57+MOD(ROW()-1,7)+50),"")</f>
        <v/>
      </c>
    </row>
    <row r="3447" spans="1:1" x14ac:dyDescent="0.25">
      <c r="A3447" t="str" cm="1">
        <f t="array" ref="A3447">IF(INDEX(CUEs!$A:$A,INT((ROW()-1)/7)*57+MOD(ROW()-1,7)+50)&lt;&gt;"","set "&amp;INDEX(CUEs!$A:$A,INT((ROW()-1)/7)*57+MOD(ROW()-1,7)+50)&amp;"=/ s "&amp;INDEX(CUEs!$B:$B,INT((ROW()-1)/7)*57+MOD(ROW()-1,7)+50),"")</f>
        <v/>
      </c>
    </row>
    <row r="3448" spans="1:1" x14ac:dyDescent="0.25">
      <c r="A3448" t="str" cm="1">
        <f t="array" ref="A3448">IF(INDEX(CUEs!$A:$A,INT((ROW()-1)/7)*57+MOD(ROW()-1,7)+50)&lt;&gt;"","set "&amp;INDEX(CUEs!$A:$A,INT((ROW()-1)/7)*57+MOD(ROW()-1,7)+50)&amp;"=/ s "&amp;INDEX(CUEs!$B:$B,INT((ROW()-1)/7)*57+MOD(ROW()-1,7)+50),"")</f>
        <v/>
      </c>
    </row>
    <row r="3449" spans="1:1" x14ac:dyDescent="0.25">
      <c r="A3449" t="str" cm="1">
        <f t="array" ref="A3449">IF(INDEX(CUEs!$A:$A,INT((ROW()-1)/7)*57+MOD(ROW()-1,7)+50)&lt;&gt;"","set "&amp;INDEX(CUEs!$A:$A,INT((ROW()-1)/7)*57+MOD(ROW()-1,7)+50)&amp;"=/ s "&amp;INDEX(CUEs!$B:$B,INT((ROW()-1)/7)*57+MOD(ROW()-1,7)+50),"")</f>
        <v/>
      </c>
    </row>
    <row r="3450" spans="1:1" x14ac:dyDescent="0.25">
      <c r="A3450" t="str" cm="1">
        <f t="array" ref="A3450">IF(INDEX(CUEs!$A:$A,INT((ROW()-1)/7)*57+MOD(ROW()-1,7)+50)&lt;&gt;"","set "&amp;INDEX(CUEs!$A:$A,INT((ROW()-1)/7)*57+MOD(ROW()-1,7)+50)&amp;"=/ s "&amp;INDEX(CUEs!$B:$B,INT((ROW()-1)/7)*57+MOD(ROW()-1,7)+50),"")</f>
        <v/>
      </c>
    </row>
    <row r="3451" spans="1:1" x14ac:dyDescent="0.25">
      <c r="A3451" t="str" cm="1">
        <f t="array" ref="A3451">IF(INDEX(CUEs!$A:$A,INT((ROW()-1)/7)*57+MOD(ROW()-1,7)+50)&lt;&gt;"","set "&amp;INDEX(CUEs!$A:$A,INT((ROW()-1)/7)*57+MOD(ROW()-1,7)+50)&amp;"=/ s "&amp;INDEX(CUEs!$B:$B,INT((ROW()-1)/7)*57+MOD(ROW()-1,7)+50),"")</f>
        <v/>
      </c>
    </row>
    <row r="3452" spans="1:1" x14ac:dyDescent="0.25">
      <c r="A3452" t="str" cm="1">
        <f t="array" ref="A3452">IF(INDEX(CUEs!$A:$A,INT((ROW()-1)/7)*57+MOD(ROW()-1,7)+50)&lt;&gt;"","set "&amp;INDEX(CUEs!$A:$A,INT((ROW()-1)/7)*57+MOD(ROW()-1,7)+50)&amp;"=/ s "&amp;INDEX(CUEs!$B:$B,INT((ROW()-1)/7)*57+MOD(ROW()-1,7)+50),"")</f>
        <v/>
      </c>
    </row>
    <row r="3453" spans="1:1" x14ac:dyDescent="0.25">
      <c r="A3453" t="str" cm="1">
        <f t="array" ref="A3453">IF(INDEX(CUEs!$A:$A,INT((ROW()-1)/7)*57+MOD(ROW()-1,7)+50)&lt;&gt;"","set "&amp;INDEX(CUEs!$A:$A,INT((ROW()-1)/7)*57+MOD(ROW()-1,7)+50)&amp;"=/ s "&amp;INDEX(CUEs!$B:$B,INT((ROW()-1)/7)*57+MOD(ROW()-1,7)+50),"")</f>
        <v/>
      </c>
    </row>
    <row r="3454" spans="1:1" x14ac:dyDescent="0.25">
      <c r="A3454" t="str" cm="1">
        <f t="array" ref="A3454">IF(INDEX(CUEs!$A:$A,INT((ROW()-1)/7)*57+MOD(ROW()-1,7)+50)&lt;&gt;"","set "&amp;INDEX(CUEs!$A:$A,INT((ROW()-1)/7)*57+MOD(ROW()-1,7)+50)&amp;"=/ s "&amp;INDEX(CUEs!$B:$B,INT((ROW()-1)/7)*57+MOD(ROW()-1,7)+50),"")</f>
        <v/>
      </c>
    </row>
    <row r="3455" spans="1:1" x14ac:dyDescent="0.25">
      <c r="A3455" t="str" cm="1">
        <f t="array" ref="A3455">IF(INDEX(CUEs!$A:$A,INT((ROW()-1)/7)*57+MOD(ROW()-1,7)+50)&lt;&gt;"","set "&amp;INDEX(CUEs!$A:$A,INT((ROW()-1)/7)*57+MOD(ROW()-1,7)+50)&amp;"=/ s "&amp;INDEX(CUEs!$B:$B,INT((ROW()-1)/7)*57+MOD(ROW()-1,7)+50),"")</f>
        <v/>
      </c>
    </row>
    <row r="3456" spans="1:1" x14ac:dyDescent="0.25">
      <c r="A3456" t="str" cm="1">
        <f t="array" ref="A3456">IF(INDEX(CUEs!$A:$A,INT((ROW()-1)/7)*57+MOD(ROW()-1,7)+50)&lt;&gt;"","set "&amp;INDEX(CUEs!$A:$A,INT((ROW()-1)/7)*57+MOD(ROW()-1,7)+50)&amp;"=/ s "&amp;INDEX(CUEs!$B:$B,INT((ROW()-1)/7)*57+MOD(ROW()-1,7)+50),"")</f>
        <v/>
      </c>
    </row>
    <row r="3457" spans="1:1" x14ac:dyDescent="0.25">
      <c r="A3457" t="str" cm="1">
        <f t="array" ref="A3457">IF(INDEX(CUEs!$A:$A,INT((ROW()-1)/7)*57+MOD(ROW()-1,7)+50)&lt;&gt;"","set "&amp;INDEX(CUEs!$A:$A,INT((ROW()-1)/7)*57+MOD(ROW()-1,7)+50)&amp;"=/ s "&amp;INDEX(CUEs!$B:$B,INT((ROW()-1)/7)*57+MOD(ROW()-1,7)+50),"")</f>
        <v/>
      </c>
    </row>
    <row r="3458" spans="1:1" x14ac:dyDescent="0.25">
      <c r="A3458" t="str" cm="1">
        <f t="array" ref="A3458">IF(INDEX(CUEs!$A:$A,INT((ROW()-1)/7)*57+MOD(ROW()-1,7)+50)&lt;&gt;"","set "&amp;INDEX(CUEs!$A:$A,INT((ROW()-1)/7)*57+MOD(ROW()-1,7)+50)&amp;"=/ s "&amp;INDEX(CUEs!$B:$B,INT((ROW()-1)/7)*57+MOD(ROW()-1,7)+50),"")</f>
        <v/>
      </c>
    </row>
    <row r="3459" spans="1:1" x14ac:dyDescent="0.25">
      <c r="A3459" t="str" cm="1">
        <f t="array" ref="A3459">IF(INDEX(CUEs!$A:$A,INT((ROW()-1)/7)*57+MOD(ROW()-1,7)+50)&lt;&gt;"","set "&amp;INDEX(CUEs!$A:$A,INT((ROW()-1)/7)*57+MOD(ROW()-1,7)+50)&amp;"=/ s "&amp;INDEX(CUEs!$B:$B,INT((ROW()-1)/7)*57+MOD(ROW()-1,7)+50),"")</f>
        <v/>
      </c>
    </row>
    <row r="3460" spans="1:1" x14ac:dyDescent="0.25">
      <c r="A3460" t="str" cm="1">
        <f t="array" ref="A3460">IF(INDEX(CUEs!$A:$A,INT((ROW()-1)/7)*57+MOD(ROW()-1,7)+50)&lt;&gt;"","set "&amp;INDEX(CUEs!$A:$A,INT((ROW()-1)/7)*57+MOD(ROW()-1,7)+50)&amp;"=/ s "&amp;INDEX(CUEs!$B:$B,INT((ROW()-1)/7)*57+MOD(ROW()-1,7)+50),"")</f>
        <v/>
      </c>
    </row>
    <row r="3461" spans="1:1" x14ac:dyDescent="0.25">
      <c r="A3461" t="str" cm="1">
        <f t="array" ref="A3461">IF(INDEX(CUEs!$A:$A,INT((ROW()-1)/7)*57+MOD(ROW()-1,7)+50)&lt;&gt;"","set "&amp;INDEX(CUEs!$A:$A,INT((ROW()-1)/7)*57+MOD(ROW()-1,7)+50)&amp;"=/ s "&amp;INDEX(CUEs!$B:$B,INT((ROW()-1)/7)*57+MOD(ROW()-1,7)+50),"")</f>
        <v/>
      </c>
    </row>
    <row r="3462" spans="1:1" x14ac:dyDescent="0.25">
      <c r="A3462" t="str" cm="1">
        <f t="array" ref="A3462">IF(INDEX(CUEs!$A:$A,INT((ROW()-1)/7)*57+MOD(ROW()-1,7)+50)&lt;&gt;"","set "&amp;INDEX(CUEs!$A:$A,INT((ROW()-1)/7)*57+MOD(ROW()-1,7)+50)&amp;"=/ s "&amp;INDEX(CUEs!$B:$B,INT((ROW()-1)/7)*57+MOD(ROW()-1,7)+50),"")</f>
        <v/>
      </c>
    </row>
    <row r="3463" spans="1:1" x14ac:dyDescent="0.25">
      <c r="A3463" t="str" cm="1">
        <f t="array" ref="A3463">IF(INDEX(CUEs!$A:$A,INT((ROW()-1)/7)*57+MOD(ROW()-1,7)+50)&lt;&gt;"","set "&amp;INDEX(CUEs!$A:$A,INT((ROW()-1)/7)*57+MOD(ROW()-1,7)+50)&amp;"=/ s "&amp;INDEX(CUEs!$B:$B,INT((ROW()-1)/7)*57+MOD(ROW()-1,7)+50),"")</f>
        <v/>
      </c>
    </row>
    <row r="3464" spans="1:1" x14ac:dyDescent="0.25">
      <c r="A3464" t="str" cm="1">
        <f t="array" ref="A3464">IF(INDEX(CUEs!$A:$A,INT((ROW()-1)/7)*57+MOD(ROW()-1,7)+50)&lt;&gt;"","set "&amp;INDEX(CUEs!$A:$A,INT((ROW()-1)/7)*57+MOD(ROW()-1,7)+50)&amp;"=/ s "&amp;INDEX(CUEs!$B:$B,INT((ROW()-1)/7)*57+MOD(ROW()-1,7)+50),"")</f>
        <v/>
      </c>
    </row>
    <row r="3465" spans="1:1" x14ac:dyDescent="0.25">
      <c r="A3465" t="str" cm="1">
        <f t="array" ref="A3465">IF(INDEX(CUEs!$A:$A,INT((ROW()-1)/7)*57+MOD(ROW()-1,7)+50)&lt;&gt;"","set "&amp;INDEX(CUEs!$A:$A,INT((ROW()-1)/7)*57+MOD(ROW()-1,7)+50)&amp;"=/ s "&amp;INDEX(CUEs!$B:$B,INT((ROW()-1)/7)*57+MOD(ROW()-1,7)+50),"")</f>
        <v/>
      </c>
    </row>
    <row r="3466" spans="1:1" x14ac:dyDescent="0.25">
      <c r="A3466" t="str" cm="1">
        <f t="array" ref="A3466">IF(INDEX(CUEs!$A:$A,INT((ROW()-1)/7)*57+MOD(ROW()-1,7)+50)&lt;&gt;"","set "&amp;INDEX(CUEs!$A:$A,INT((ROW()-1)/7)*57+MOD(ROW()-1,7)+50)&amp;"=/ s "&amp;INDEX(CUEs!$B:$B,INT((ROW()-1)/7)*57+MOD(ROW()-1,7)+50),"")</f>
        <v/>
      </c>
    </row>
    <row r="3467" spans="1:1" x14ac:dyDescent="0.25">
      <c r="A3467" t="str" cm="1">
        <f t="array" ref="A3467">IF(INDEX(CUEs!$A:$A,INT((ROW()-1)/7)*57+MOD(ROW()-1,7)+50)&lt;&gt;"","set "&amp;INDEX(CUEs!$A:$A,INT((ROW()-1)/7)*57+MOD(ROW()-1,7)+50)&amp;"=/ s "&amp;INDEX(CUEs!$B:$B,INT((ROW()-1)/7)*57+MOD(ROW()-1,7)+50),"")</f>
        <v/>
      </c>
    </row>
    <row r="3468" spans="1:1" x14ac:dyDescent="0.25">
      <c r="A3468" t="str" cm="1">
        <f t="array" ref="A3468">IF(INDEX(CUEs!$A:$A,INT((ROW()-1)/7)*57+MOD(ROW()-1,7)+50)&lt;&gt;"","set "&amp;INDEX(CUEs!$A:$A,INT((ROW()-1)/7)*57+MOD(ROW()-1,7)+50)&amp;"=/ s "&amp;INDEX(CUEs!$B:$B,INT((ROW()-1)/7)*57+MOD(ROW()-1,7)+50),"")</f>
        <v/>
      </c>
    </row>
    <row r="3469" spans="1:1" x14ac:dyDescent="0.25">
      <c r="A3469" t="str" cm="1">
        <f t="array" ref="A3469">IF(INDEX(CUEs!$A:$A,INT((ROW()-1)/7)*57+MOD(ROW()-1,7)+50)&lt;&gt;"","set "&amp;INDEX(CUEs!$A:$A,INT((ROW()-1)/7)*57+MOD(ROW()-1,7)+50)&amp;"=/ s "&amp;INDEX(CUEs!$B:$B,INT((ROW()-1)/7)*57+MOD(ROW()-1,7)+50),"")</f>
        <v/>
      </c>
    </row>
    <row r="3470" spans="1:1" x14ac:dyDescent="0.25">
      <c r="A3470" t="str" cm="1">
        <f t="array" ref="A3470">IF(INDEX(CUEs!$A:$A,INT((ROW()-1)/7)*57+MOD(ROW()-1,7)+50)&lt;&gt;"","set "&amp;INDEX(CUEs!$A:$A,INT((ROW()-1)/7)*57+MOD(ROW()-1,7)+50)&amp;"=/ s "&amp;INDEX(CUEs!$B:$B,INT((ROW()-1)/7)*57+MOD(ROW()-1,7)+50),"")</f>
        <v/>
      </c>
    </row>
    <row r="3471" spans="1:1" x14ac:dyDescent="0.25">
      <c r="A3471" t="str" cm="1">
        <f t="array" ref="A3471">IF(INDEX(CUEs!$A:$A,INT((ROW()-1)/7)*57+MOD(ROW()-1,7)+50)&lt;&gt;"","set "&amp;INDEX(CUEs!$A:$A,INT((ROW()-1)/7)*57+MOD(ROW()-1,7)+50)&amp;"=/ s "&amp;INDEX(CUEs!$B:$B,INT((ROW()-1)/7)*57+MOD(ROW()-1,7)+50),"")</f>
        <v/>
      </c>
    </row>
    <row r="3472" spans="1:1" x14ac:dyDescent="0.25">
      <c r="A3472" t="str" cm="1">
        <f t="array" ref="A3472">IF(INDEX(CUEs!$A:$A,INT((ROW()-1)/7)*57+MOD(ROW()-1,7)+50)&lt;&gt;"","set "&amp;INDEX(CUEs!$A:$A,INT((ROW()-1)/7)*57+MOD(ROW()-1,7)+50)&amp;"=/ s "&amp;INDEX(CUEs!$B:$B,INT((ROW()-1)/7)*57+MOD(ROW()-1,7)+50),"")</f>
        <v/>
      </c>
    </row>
    <row r="3473" spans="1:1" x14ac:dyDescent="0.25">
      <c r="A3473" t="str" cm="1">
        <f t="array" ref="A3473">IF(INDEX(CUEs!$A:$A,INT((ROW()-1)/7)*57+MOD(ROW()-1,7)+50)&lt;&gt;"","set "&amp;INDEX(CUEs!$A:$A,INT((ROW()-1)/7)*57+MOD(ROW()-1,7)+50)&amp;"=/ s "&amp;INDEX(CUEs!$B:$B,INT((ROW()-1)/7)*57+MOD(ROW()-1,7)+50),"")</f>
        <v/>
      </c>
    </row>
    <row r="3474" spans="1:1" x14ac:dyDescent="0.25">
      <c r="A3474" t="str" cm="1">
        <f t="array" ref="A3474">IF(INDEX(CUEs!$A:$A,INT((ROW()-1)/7)*57+MOD(ROW()-1,7)+50)&lt;&gt;"","set "&amp;INDEX(CUEs!$A:$A,INT((ROW()-1)/7)*57+MOD(ROW()-1,7)+50)&amp;"=/ s "&amp;INDEX(CUEs!$B:$B,INT((ROW()-1)/7)*57+MOD(ROW()-1,7)+50),"")</f>
        <v/>
      </c>
    </row>
    <row r="3475" spans="1:1" x14ac:dyDescent="0.25">
      <c r="A3475" t="str" cm="1">
        <f t="array" ref="A3475">IF(INDEX(CUEs!$A:$A,INT((ROW()-1)/7)*57+MOD(ROW()-1,7)+50)&lt;&gt;"","set "&amp;INDEX(CUEs!$A:$A,INT((ROW()-1)/7)*57+MOD(ROW()-1,7)+50)&amp;"=/ s "&amp;INDEX(CUEs!$B:$B,INT((ROW()-1)/7)*57+MOD(ROW()-1,7)+50),"")</f>
        <v/>
      </c>
    </row>
    <row r="3476" spans="1:1" x14ac:dyDescent="0.25">
      <c r="A3476" t="str" cm="1">
        <f t="array" ref="A3476">IF(INDEX(CUEs!$A:$A,INT((ROW()-1)/7)*57+MOD(ROW()-1,7)+50)&lt;&gt;"","set "&amp;INDEX(CUEs!$A:$A,INT((ROW()-1)/7)*57+MOD(ROW()-1,7)+50)&amp;"=/ s "&amp;INDEX(CUEs!$B:$B,INT((ROW()-1)/7)*57+MOD(ROW()-1,7)+50),"")</f>
        <v/>
      </c>
    </row>
    <row r="3477" spans="1:1" x14ac:dyDescent="0.25">
      <c r="A3477" t="str" cm="1">
        <f t="array" ref="A3477">IF(INDEX(CUEs!$A:$A,INT((ROW()-1)/7)*57+MOD(ROW()-1,7)+50)&lt;&gt;"","set "&amp;INDEX(CUEs!$A:$A,INT((ROW()-1)/7)*57+MOD(ROW()-1,7)+50)&amp;"=/ s "&amp;INDEX(CUEs!$B:$B,INT((ROW()-1)/7)*57+MOD(ROW()-1,7)+50),"")</f>
        <v/>
      </c>
    </row>
    <row r="3478" spans="1:1" x14ac:dyDescent="0.25">
      <c r="A3478" t="str" cm="1">
        <f t="array" ref="A3478">IF(INDEX(CUEs!$A:$A,INT((ROW()-1)/7)*57+MOD(ROW()-1,7)+50)&lt;&gt;"","set "&amp;INDEX(CUEs!$A:$A,INT((ROW()-1)/7)*57+MOD(ROW()-1,7)+50)&amp;"=/ s "&amp;INDEX(CUEs!$B:$B,INT((ROW()-1)/7)*57+MOD(ROW()-1,7)+50),"")</f>
        <v/>
      </c>
    </row>
    <row r="3479" spans="1:1" x14ac:dyDescent="0.25">
      <c r="A3479" t="str" cm="1">
        <f t="array" ref="A3479">IF(INDEX(CUEs!$A:$A,INT((ROW()-1)/7)*57+MOD(ROW()-1,7)+50)&lt;&gt;"","set "&amp;INDEX(CUEs!$A:$A,INT((ROW()-1)/7)*57+MOD(ROW()-1,7)+50)&amp;"=/ s "&amp;INDEX(CUEs!$B:$B,INT((ROW()-1)/7)*57+MOD(ROW()-1,7)+50),"")</f>
        <v/>
      </c>
    </row>
    <row r="3480" spans="1:1" x14ac:dyDescent="0.25">
      <c r="A3480" t="str" cm="1">
        <f t="array" ref="A3480">IF(INDEX(CUEs!$A:$A,INT((ROW()-1)/7)*57+MOD(ROW()-1,7)+50)&lt;&gt;"","set "&amp;INDEX(CUEs!$A:$A,INT((ROW()-1)/7)*57+MOD(ROW()-1,7)+50)&amp;"=/ s "&amp;INDEX(CUEs!$B:$B,INT((ROW()-1)/7)*57+MOD(ROW()-1,7)+50),"")</f>
        <v/>
      </c>
    </row>
    <row r="3481" spans="1:1" x14ac:dyDescent="0.25">
      <c r="A3481" t="str" cm="1">
        <f t="array" ref="A3481">IF(INDEX(CUEs!$A:$A,INT((ROW()-1)/7)*57+MOD(ROW()-1,7)+50)&lt;&gt;"","set "&amp;INDEX(CUEs!$A:$A,INT((ROW()-1)/7)*57+MOD(ROW()-1,7)+50)&amp;"=/ s "&amp;INDEX(CUEs!$B:$B,INT((ROW()-1)/7)*57+MOD(ROW()-1,7)+50),"")</f>
        <v/>
      </c>
    </row>
    <row r="3482" spans="1:1" x14ac:dyDescent="0.25">
      <c r="A3482" t="str" cm="1">
        <f t="array" ref="A3482">IF(INDEX(CUEs!$A:$A,INT((ROW()-1)/7)*57+MOD(ROW()-1,7)+50)&lt;&gt;"","set "&amp;INDEX(CUEs!$A:$A,INT((ROW()-1)/7)*57+MOD(ROW()-1,7)+50)&amp;"=/ s "&amp;INDEX(CUEs!$B:$B,INT((ROW()-1)/7)*57+MOD(ROW()-1,7)+50),"")</f>
        <v/>
      </c>
    </row>
    <row r="3483" spans="1:1" x14ac:dyDescent="0.25">
      <c r="A3483" t="str" cm="1">
        <f t="array" ref="A3483">IF(INDEX(CUEs!$A:$A,INT((ROW()-1)/7)*57+MOD(ROW()-1,7)+50)&lt;&gt;"","set "&amp;INDEX(CUEs!$A:$A,INT((ROW()-1)/7)*57+MOD(ROW()-1,7)+50)&amp;"=/ s "&amp;INDEX(CUEs!$B:$B,INT((ROW()-1)/7)*57+MOD(ROW()-1,7)+50),"")</f>
        <v/>
      </c>
    </row>
    <row r="3484" spans="1:1" x14ac:dyDescent="0.25">
      <c r="A3484" t="str" cm="1">
        <f t="array" ref="A3484">IF(INDEX(CUEs!$A:$A,INT((ROW()-1)/7)*57+MOD(ROW()-1,7)+50)&lt;&gt;"","set "&amp;INDEX(CUEs!$A:$A,INT((ROW()-1)/7)*57+MOD(ROW()-1,7)+50)&amp;"=/ s "&amp;INDEX(CUEs!$B:$B,INT((ROW()-1)/7)*57+MOD(ROW()-1,7)+50),"")</f>
        <v/>
      </c>
    </row>
    <row r="3485" spans="1:1" x14ac:dyDescent="0.25">
      <c r="A3485" t="str" cm="1">
        <f t="array" ref="A3485">IF(INDEX(CUEs!$A:$A,INT((ROW()-1)/7)*57+MOD(ROW()-1,7)+50)&lt;&gt;"","set "&amp;INDEX(CUEs!$A:$A,INT((ROW()-1)/7)*57+MOD(ROW()-1,7)+50)&amp;"=/ s "&amp;INDEX(CUEs!$B:$B,INT((ROW()-1)/7)*57+MOD(ROW()-1,7)+50),"")</f>
        <v/>
      </c>
    </row>
    <row r="3486" spans="1:1" x14ac:dyDescent="0.25">
      <c r="A3486" t="str" cm="1">
        <f t="array" ref="A3486">IF(INDEX(CUEs!$A:$A,INT((ROW()-1)/7)*57+MOD(ROW()-1,7)+50)&lt;&gt;"","set "&amp;INDEX(CUEs!$A:$A,INT((ROW()-1)/7)*57+MOD(ROW()-1,7)+50)&amp;"=/ s "&amp;INDEX(CUEs!$B:$B,INT((ROW()-1)/7)*57+MOD(ROW()-1,7)+50),"")</f>
        <v/>
      </c>
    </row>
    <row r="3487" spans="1:1" x14ac:dyDescent="0.25">
      <c r="A3487" t="str" cm="1">
        <f t="array" ref="A3487">IF(INDEX(CUEs!$A:$A,INT((ROW()-1)/7)*57+MOD(ROW()-1,7)+50)&lt;&gt;"","set "&amp;INDEX(CUEs!$A:$A,INT((ROW()-1)/7)*57+MOD(ROW()-1,7)+50)&amp;"=/ s "&amp;INDEX(CUEs!$B:$B,INT((ROW()-1)/7)*57+MOD(ROW()-1,7)+50),"")</f>
        <v/>
      </c>
    </row>
    <row r="3488" spans="1:1" x14ac:dyDescent="0.25">
      <c r="A3488" t="str" cm="1">
        <f t="array" ref="A3488">IF(INDEX(CUEs!$A:$A,INT((ROW()-1)/7)*57+MOD(ROW()-1,7)+50)&lt;&gt;"","set "&amp;INDEX(CUEs!$A:$A,INT((ROW()-1)/7)*57+MOD(ROW()-1,7)+50)&amp;"=/ s "&amp;INDEX(CUEs!$B:$B,INT((ROW()-1)/7)*57+MOD(ROW()-1,7)+50),"")</f>
        <v/>
      </c>
    </row>
    <row r="3489" spans="1:1" x14ac:dyDescent="0.25">
      <c r="A3489" t="str" cm="1">
        <f t="array" ref="A3489">IF(INDEX(CUEs!$A:$A,INT((ROW()-1)/7)*57+MOD(ROW()-1,7)+50)&lt;&gt;"","set "&amp;INDEX(CUEs!$A:$A,INT((ROW()-1)/7)*57+MOD(ROW()-1,7)+50)&amp;"=/ s "&amp;INDEX(CUEs!$B:$B,INT((ROW()-1)/7)*57+MOD(ROW()-1,7)+50),"")</f>
        <v/>
      </c>
    </row>
    <row r="3490" spans="1:1" x14ac:dyDescent="0.25">
      <c r="A3490" t="str" cm="1">
        <f t="array" ref="A3490">IF(INDEX(CUEs!$A:$A,INT((ROW()-1)/7)*57+MOD(ROW()-1,7)+50)&lt;&gt;"","set "&amp;INDEX(CUEs!$A:$A,INT((ROW()-1)/7)*57+MOD(ROW()-1,7)+50)&amp;"=/ s "&amp;INDEX(CUEs!$B:$B,INT((ROW()-1)/7)*57+MOD(ROW()-1,7)+50),"")</f>
        <v/>
      </c>
    </row>
    <row r="3491" spans="1:1" x14ac:dyDescent="0.25">
      <c r="A3491" t="str" cm="1">
        <f t="array" ref="A3491">IF(INDEX(CUEs!$A:$A,INT((ROW()-1)/7)*57+MOD(ROW()-1,7)+50)&lt;&gt;"","set "&amp;INDEX(CUEs!$A:$A,INT((ROW()-1)/7)*57+MOD(ROW()-1,7)+50)&amp;"=/ s "&amp;INDEX(CUEs!$B:$B,INT((ROW()-1)/7)*57+MOD(ROW()-1,7)+50),"")</f>
        <v/>
      </c>
    </row>
    <row r="3492" spans="1:1" x14ac:dyDescent="0.25">
      <c r="A3492" t="str" cm="1">
        <f t="array" ref="A3492">IF(INDEX(CUEs!$A:$A,INT((ROW()-1)/7)*57+MOD(ROW()-1,7)+50)&lt;&gt;"","set "&amp;INDEX(CUEs!$A:$A,INT((ROW()-1)/7)*57+MOD(ROW()-1,7)+50)&amp;"=/ s "&amp;INDEX(CUEs!$B:$B,INT((ROW()-1)/7)*57+MOD(ROW()-1,7)+50),"")</f>
        <v/>
      </c>
    </row>
    <row r="3493" spans="1:1" x14ac:dyDescent="0.25">
      <c r="A3493" t="str" cm="1">
        <f t="array" ref="A3493">IF(INDEX(CUEs!$A:$A,INT((ROW()-1)/7)*57+MOD(ROW()-1,7)+50)&lt;&gt;"","set "&amp;INDEX(CUEs!$A:$A,INT((ROW()-1)/7)*57+MOD(ROW()-1,7)+50)&amp;"=/ s "&amp;INDEX(CUEs!$B:$B,INT((ROW()-1)/7)*57+MOD(ROW()-1,7)+50),"")</f>
        <v/>
      </c>
    </row>
    <row r="3494" spans="1:1" x14ac:dyDescent="0.25">
      <c r="A3494" t="str" cm="1">
        <f t="array" ref="A3494">IF(INDEX(CUEs!$A:$A,INT((ROW()-1)/7)*57+MOD(ROW()-1,7)+50)&lt;&gt;"","set "&amp;INDEX(CUEs!$A:$A,INT((ROW()-1)/7)*57+MOD(ROW()-1,7)+50)&amp;"=/ s "&amp;INDEX(CUEs!$B:$B,INT((ROW()-1)/7)*57+MOD(ROW()-1,7)+50),"")</f>
        <v/>
      </c>
    </row>
    <row r="3495" spans="1:1" x14ac:dyDescent="0.25">
      <c r="A3495" t="str" cm="1">
        <f t="array" ref="A3495">IF(INDEX(CUEs!$A:$A,INT((ROW()-1)/7)*57+MOD(ROW()-1,7)+50)&lt;&gt;"","set "&amp;INDEX(CUEs!$A:$A,INT((ROW()-1)/7)*57+MOD(ROW()-1,7)+50)&amp;"=/ s "&amp;INDEX(CUEs!$B:$B,INT((ROW()-1)/7)*57+MOD(ROW()-1,7)+50),"")</f>
        <v/>
      </c>
    </row>
    <row r="3496" spans="1:1" x14ac:dyDescent="0.25">
      <c r="A3496" t="str" cm="1">
        <f t="array" ref="A3496">IF(INDEX(CUEs!$A:$A,INT((ROW()-1)/7)*57+MOD(ROW()-1,7)+50)&lt;&gt;"","set "&amp;INDEX(CUEs!$A:$A,INT((ROW()-1)/7)*57+MOD(ROW()-1,7)+50)&amp;"=/ s "&amp;INDEX(CUEs!$B:$B,INT((ROW()-1)/7)*57+MOD(ROW()-1,7)+50),"")</f>
        <v/>
      </c>
    </row>
    <row r="3497" spans="1:1" x14ac:dyDescent="0.25">
      <c r="A3497" t="str" cm="1">
        <f t="array" ref="A3497">IF(INDEX(CUEs!$A:$A,INT((ROW()-1)/7)*57+MOD(ROW()-1,7)+50)&lt;&gt;"","set "&amp;INDEX(CUEs!$A:$A,INT((ROW()-1)/7)*57+MOD(ROW()-1,7)+50)&amp;"=/ s "&amp;INDEX(CUEs!$B:$B,INT((ROW()-1)/7)*57+MOD(ROW()-1,7)+50),"")</f>
        <v/>
      </c>
    </row>
    <row r="3498" spans="1:1" x14ac:dyDescent="0.25">
      <c r="A3498" t="str" cm="1">
        <f t="array" ref="A3498">IF(INDEX(CUEs!$A:$A,INT((ROW()-1)/7)*57+MOD(ROW()-1,7)+50)&lt;&gt;"","set "&amp;INDEX(CUEs!$A:$A,INT((ROW()-1)/7)*57+MOD(ROW()-1,7)+50)&amp;"=/ s "&amp;INDEX(CUEs!$B:$B,INT((ROW()-1)/7)*57+MOD(ROW()-1,7)+50),"")</f>
        <v/>
      </c>
    </row>
    <row r="3499" spans="1:1" x14ac:dyDescent="0.25">
      <c r="A3499" t="str" cm="1">
        <f t="array" ref="A3499">IF(INDEX(CUEs!$A:$A,INT((ROW()-1)/7)*57+MOD(ROW()-1,7)+50)&lt;&gt;"","set "&amp;INDEX(CUEs!$A:$A,INT((ROW()-1)/7)*57+MOD(ROW()-1,7)+50)&amp;"=/ s "&amp;INDEX(CUEs!$B:$B,INT((ROW()-1)/7)*57+MOD(ROW()-1,7)+50),"")</f>
        <v/>
      </c>
    </row>
    <row r="3500" spans="1:1" x14ac:dyDescent="0.25">
      <c r="A3500" t="str" cm="1">
        <f t="array" ref="A3500">IF(INDEX(CUEs!$A:$A,INT((ROW()-1)/7)*57+MOD(ROW()-1,7)+50)&lt;&gt;"","set "&amp;INDEX(CUEs!$A:$A,INT((ROW()-1)/7)*57+MOD(ROW()-1,7)+50)&amp;"=/ s "&amp;INDEX(CUEs!$B:$B,INT((ROW()-1)/7)*57+MOD(ROW()-1,7)+50),"")</f>
        <v/>
      </c>
    </row>
    <row r="3501" spans="1:1" x14ac:dyDescent="0.25">
      <c r="A3501" t="str" cm="1">
        <f t="array" ref="A3501">IF(INDEX(CUEs!$A:$A,INT((ROW()-1)/7)*57+MOD(ROW()-1,7)+50)&lt;&gt;"","set "&amp;INDEX(CUEs!$A:$A,INT((ROW()-1)/7)*57+MOD(ROW()-1,7)+50)&amp;"=/ s "&amp;INDEX(CUEs!$B:$B,INT((ROW()-1)/7)*57+MOD(ROW()-1,7)+50),"")</f>
        <v/>
      </c>
    </row>
    <row r="3502" spans="1:1" x14ac:dyDescent="0.25">
      <c r="A3502" t="str" cm="1">
        <f t="array" ref="A3502">IF(INDEX(CUEs!$A:$A,INT((ROW()-1)/7)*57+MOD(ROW()-1,7)+50)&lt;&gt;"","set "&amp;INDEX(CUEs!$A:$A,INT((ROW()-1)/7)*57+MOD(ROW()-1,7)+50)&amp;"=/ s "&amp;INDEX(CUEs!$B:$B,INT((ROW()-1)/7)*57+MOD(ROW()-1,7)+50),"")</f>
        <v/>
      </c>
    </row>
    <row r="3503" spans="1:1" x14ac:dyDescent="0.25">
      <c r="A3503" t="str" cm="1">
        <f t="array" ref="A3503">IF(INDEX(CUEs!$A:$A,INT((ROW()-1)/7)*57+MOD(ROW()-1,7)+50)&lt;&gt;"","set "&amp;INDEX(CUEs!$A:$A,INT((ROW()-1)/7)*57+MOD(ROW()-1,7)+50)&amp;"=/ s "&amp;INDEX(CUEs!$B:$B,INT((ROW()-1)/7)*57+MOD(ROW()-1,7)+50),"")</f>
        <v/>
      </c>
    </row>
    <row r="3504" spans="1:1" x14ac:dyDescent="0.25">
      <c r="A3504" t="str" cm="1">
        <f t="array" ref="A3504">IF(INDEX(CUEs!$A:$A,INT((ROW()-1)/7)*57+MOD(ROW()-1,7)+50)&lt;&gt;"","set "&amp;INDEX(CUEs!$A:$A,INT((ROW()-1)/7)*57+MOD(ROW()-1,7)+50)&amp;"=/ s "&amp;INDEX(CUEs!$B:$B,INT((ROW()-1)/7)*57+MOD(ROW()-1,7)+50),"")</f>
        <v/>
      </c>
    </row>
    <row r="3505" spans="1:1" x14ac:dyDescent="0.25">
      <c r="A3505" t="str" cm="1">
        <f t="array" ref="A3505">IF(INDEX(CUEs!$A:$A,INT((ROW()-1)/7)*57+MOD(ROW()-1,7)+50)&lt;&gt;"","set "&amp;INDEX(CUEs!$A:$A,INT((ROW()-1)/7)*57+MOD(ROW()-1,7)+50)&amp;"=/ s "&amp;INDEX(CUEs!$B:$B,INT((ROW()-1)/7)*57+MOD(ROW()-1,7)+50),"")</f>
        <v/>
      </c>
    </row>
    <row r="3506" spans="1:1" x14ac:dyDescent="0.25">
      <c r="A3506" t="str" cm="1">
        <f t="array" ref="A3506">IF(INDEX(CUEs!$A:$A,INT((ROW()-1)/7)*57+MOD(ROW()-1,7)+50)&lt;&gt;"","set "&amp;INDEX(CUEs!$A:$A,INT((ROW()-1)/7)*57+MOD(ROW()-1,7)+50)&amp;"=/ s "&amp;INDEX(CUEs!$B:$B,INT((ROW()-1)/7)*57+MOD(ROW()-1,7)+50),"")</f>
        <v/>
      </c>
    </row>
    <row r="3507" spans="1:1" x14ac:dyDescent="0.25">
      <c r="A3507" t="str" cm="1">
        <f t="array" ref="A3507">IF(INDEX(CUEs!$A:$A,INT((ROW()-1)/7)*57+MOD(ROW()-1,7)+50)&lt;&gt;"","set "&amp;INDEX(CUEs!$A:$A,INT((ROW()-1)/7)*57+MOD(ROW()-1,7)+50)&amp;"=/ s "&amp;INDEX(CUEs!$B:$B,INT((ROW()-1)/7)*57+MOD(ROW()-1,7)+50),"")</f>
        <v/>
      </c>
    </row>
    <row r="3508" spans="1:1" x14ac:dyDescent="0.25">
      <c r="A3508" t="str" cm="1">
        <f t="array" ref="A3508">IF(INDEX(CUEs!$A:$A,INT((ROW()-1)/7)*57+MOD(ROW()-1,7)+50)&lt;&gt;"","set "&amp;INDEX(CUEs!$A:$A,INT((ROW()-1)/7)*57+MOD(ROW()-1,7)+50)&amp;"=/ s "&amp;INDEX(CUEs!$B:$B,INT((ROW()-1)/7)*57+MOD(ROW()-1,7)+50),"")</f>
        <v/>
      </c>
    </row>
    <row r="3509" spans="1:1" x14ac:dyDescent="0.25">
      <c r="A3509" t="str" cm="1">
        <f t="array" ref="A3509">IF(INDEX(CUEs!$A:$A,INT((ROW()-1)/7)*57+MOD(ROW()-1,7)+50)&lt;&gt;"","set "&amp;INDEX(CUEs!$A:$A,INT((ROW()-1)/7)*57+MOD(ROW()-1,7)+50)&amp;"=/ s "&amp;INDEX(CUEs!$B:$B,INT((ROW()-1)/7)*57+MOD(ROW()-1,7)+50),"")</f>
        <v/>
      </c>
    </row>
    <row r="3510" spans="1:1" x14ac:dyDescent="0.25">
      <c r="A3510" t="str" cm="1">
        <f t="array" ref="A3510">IF(INDEX(CUEs!$A:$A,INT((ROW()-1)/7)*57+MOD(ROW()-1,7)+50)&lt;&gt;"","set "&amp;INDEX(CUEs!$A:$A,INT((ROW()-1)/7)*57+MOD(ROW()-1,7)+50)&amp;"=/ s "&amp;INDEX(CUEs!$B:$B,INT((ROW()-1)/7)*57+MOD(ROW()-1,7)+50),"")</f>
        <v/>
      </c>
    </row>
    <row r="3511" spans="1:1" x14ac:dyDescent="0.25">
      <c r="A3511" t="str" cm="1">
        <f t="array" ref="A3511">IF(INDEX(CUEs!$A:$A,INT((ROW()-1)/7)*57+MOD(ROW()-1,7)+50)&lt;&gt;"","set "&amp;INDEX(CUEs!$A:$A,INT((ROW()-1)/7)*57+MOD(ROW()-1,7)+50)&amp;"=/ s "&amp;INDEX(CUEs!$B:$B,INT((ROW()-1)/7)*57+MOD(ROW()-1,7)+50),"")</f>
        <v/>
      </c>
    </row>
    <row r="3512" spans="1:1" x14ac:dyDescent="0.25">
      <c r="A3512" t="str" cm="1">
        <f t="array" ref="A3512">IF(INDEX(CUEs!$A:$A,INT((ROW()-1)/7)*57+MOD(ROW()-1,7)+50)&lt;&gt;"","set "&amp;INDEX(CUEs!$A:$A,INT((ROW()-1)/7)*57+MOD(ROW()-1,7)+50)&amp;"=/ s "&amp;INDEX(CUEs!$B:$B,INT((ROW()-1)/7)*57+MOD(ROW()-1,7)+50),"")</f>
        <v/>
      </c>
    </row>
    <row r="3513" spans="1:1" x14ac:dyDescent="0.25">
      <c r="A3513" t="str" cm="1">
        <f t="array" ref="A3513">IF(INDEX(CUEs!$A:$A,INT((ROW()-1)/7)*57+MOD(ROW()-1,7)+50)&lt;&gt;"","set "&amp;INDEX(CUEs!$A:$A,INT((ROW()-1)/7)*57+MOD(ROW()-1,7)+50)&amp;"=/ s "&amp;INDEX(CUEs!$B:$B,INT((ROW()-1)/7)*57+MOD(ROW()-1,7)+50),"")</f>
        <v/>
      </c>
    </row>
    <row r="3514" spans="1:1" x14ac:dyDescent="0.25">
      <c r="A3514" t="str" cm="1">
        <f t="array" ref="A3514">IF(INDEX(CUEs!$A:$A,INT((ROW()-1)/7)*57+MOD(ROW()-1,7)+50)&lt;&gt;"","set "&amp;INDEX(CUEs!$A:$A,INT((ROW()-1)/7)*57+MOD(ROW()-1,7)+50)&amp;"=/ s "&amp;INDEX(CUEs!$B:$B,INT((ROW()-1)/7)*57+MOD(ROW()-1,7)+50),"")</f>
        <v/>
      </c>
    </row>
    <row r="3515" spans="1:1" x14ac:dyDescent="0.25">
      <c r="A3515" t="str" cm="1">
        <f t="array" ref="A3515">IF(INDEX(CUEs!$A:$A,INT((ROW()-1)/7)*57+MOD(ROW()-1,7)+50)&lt;&gt;"","set "&amp;INDEX(CUEs!$A:$A,INT((ROW()-1)/7)*57+MOD(ROW()-1,7)+50)&amp;"=/ s "&amp;INDEX(CUEs!$B:$B,INT((ROW()-1)/7)*57+MOD(ROW()-1,7)+50),"")</f>
        <v/>
      </c>
    </row>
    <row r="3516" spans="1:1" x14ac:dyDescent="0.25">
      <c r="A3516" t="str" cm="1">
        <f t="array" ref="A3516">IF(INDEX(CUEs!$A:$A,INT((ROW()-1)/7)*57+MOD(ROW()-1,7)+50)&lt;&gt;"","set "&amp;INDEX(CUEs!$A:$A,INT((ROW()-1)/7)*57+MOD(ROW()-1,7)+50)&amp;"=/ s "&amp;INDEX(CUEs!$B:$B,INT((ROW()-1)/7)*57+MOD(ROW()-1,7)+50),"")</f>
        <v/>
      </c>
    </row>
    <row r="3517" spans="1:1" x14ac:dyDescent="0.25">
      <c r="A3517" t="str" cm="1">
        <f t="array" ref="A3517">IF(INDEX(CUEs!$A:$A,INT((ROW()-1)/7)*57+MOD(ROW()-1,7)+50)&lt;&gt;"","set "&amp;INDEX(CUEs!$A:$A,INT((ROW()-1)/7)*57+MOD(ROW()-1,7)+50)&amp;"=/ s "&amp;INDEX(CUEs!$B:$B,INT((ROW()-1)/7)*57+MOD(ROW()-1,7)+50),"")</f>
        <v/>
      </c>
    </row>
    <row r="3518" spans="1:1" x14ac:dyDescent="0.25">
      <c r="A3518" t="str" cm="1">
        <f t="array" ref="A3518">IF(INDEX(CUEs!$A:$A,INT((ROW()-1)/7)*57+MOD(ROW()-1,7)+50)&lt;&gt;"","set "&amp;INDEX(CUEs!$A:$A,INT((ROW()-1)/7)*57+MOD(ROW()-1,7)+50)&amp;"=/ s "&amp;INDEX(CUEs!$B:$B,INT((ROW()-1)/7)*57+MOD(ROW()-1,7)+50),"")</f>
        <v/>
      </c>
    </row>
    <row r="3519" spans="1:1" x14ac:dyDescent="0.25">
      <c r="A3519" t="str" cm="1">
        <f t="array" ref="A3519">IF(INDEX(CUEs!$A:$A,INT((ROW()-1)/7)*57+MOD(ROW()-1,7)+50)&lt;&gt;"","set "&amp;INDEX(CUEs!$A:$A,INT((ROW()-1)/7)*57+MOD(ROW()-1,7)+50)&amp;"=/ s "&amp;INDEX(CUEs!$B:$B,INT((ROW()-1)/7)*57+MOD(ROW()-1,7)+50),"")</f>
        <v/>
      </c>
    </row>
    <row r="3520" spans="1:1" x14ac:dyDescent="0.25">
      <c r="A3520" t="str" cm="1">
        <f t="array" ref="A3520">IF(INDEX(CUEs!$A:$A,INT((ROW()-1)/7)*57+MOD(ROW()-1,7)+50)&lt;&gt;"","set "&amp;INDEX(CUEs!$A:$A,INT((ROW()-1)/7)*57+MOD(ROW()-1,7)+50)&amp;"=/ s "&amp;INDEX(CUEs!$B:$B,INT((ROW()-1)/7)*57+MOD(ROW()-1,7)+50),"")</f>
        <v/>
      </c>
    </row>
    <row r="3521" spans="1:1" x14ac:dyDescent="0.25">
      <c r="A3521" t="str" cm="1">
        <f t="array" ref="A3521">IF(INDEX(CUEs!$A:$A,INT((ROW()-1)/7)*57+MOD(ROW()-1,7)+50)&lt;&gt;"","set "&amp;INDEX(CUEs!$A:$A,INT((ROW()-1)/7)*57+MOD(ROW()-1,7)+50)&amp;"=/ s "&amp;INDEX(CUEs!$B:$B,INT((ROW()-1)/7)*57+MOD(ROW()-1,7)+50),"")</f>
        <v/>
      </c>
    </row>
    <row r="3522" spans="1:1" x14ac:dyDescent="0.25">
      <c r="A3522" t="str" cm="1">
        <f t="array" ref="A3522">IF(INDEX(CUEs!$A:$A,INT((ROW()-1)/7)*57+MOD(ROW()-1,7)+50)&lt;&gt;"","set "&amp;INDEX(CUEs!$A:$A,INT((ROW()-1)/7)*57+MOD(ROW()-1,7)+50)&amp;"=/ s "&amp;INDEX(CUEs!$B:$B,INT((ROW()-1)/7)*57+MOD(ROW()-1,7)+50),"")</f>
        <v/>
      </c>
    </row>
    <row r="3523" spans="1:1" x14ac:dyDescent="0.25">
      <c r="A3523" t="str" cm="1">
        <f t="array" ref="A3523">IF(INDEX(CUEs!$A:$A,INT((ROW()-1)/7)*57+MOD(ROW()-1,7)+50)&lt;&gt;"","set "&amp;INDEX(CUEs!$A:$A,INT((ROW()-1)/7)*57+MOD(ROW()-1,7)+50)&amp;"=/ s "&amp;INDEX(CUEs!$B:$B,INT((ROW()-1)/7)*57+MOD(ROW()-1,7)+50),"")</f>
        <v/>
      </c>
    </row>
    <row r="3524" spans="1:1" x14ac:dyDescent="0.25">
      <c r="A3524" t="str" cm="1">
        <f t="array" ref="A3524">IF(INDEX(CUEs!$A:$A,INT((ROW()-1)/7)*57+MOD(ROW()-1,7)+50)&lt;&gt;"","set "&amp;INDEX(CUEs!$A:$A,INT((ROW()-1)/7)*57+MOD(ROW()-1,7)+50)&amp;"=/ s "&amp;INDEX(CUEs!$B:$B,INT((ROW()-1)/7)*57+MOD(ROW()-1,7)+50),"")</f>
        <v/>
      </c>
    </row>
    <row r="3525" spans="1:1" x14ac:dyDescent="0.25">
      <c r="A3525" t="str" cm="1">
        <f t="array" ref="A3525">IF(INDEX(CUEs!$A:$A,INT((ROW()-1)/7)*57+MOD(ROW()-1,7)+50)&lt;&gt;"","set "&amp;INDEX(CUEs!$A:$A,INT((ROW()-1)/7)*57+MOD(ROW()-1,7)+50)&amp;"=/ s "&amp;INDEX(CUEs!$B:$B,INT((ROW()-1)/7)*57+MOD(ROW()-1,7)+50),"")</f>
        <v/>
      </c>
    </row>
    <row r="3526" spans="1:1" x14ac:dyDescent="0.25">
      <c r="A3526" t="str" cm="1">
        <f t="array" ref="A3526">IF(INDEX(CUEs!$A:$A,INT((ROW()-1)/7)*57+MOD(ROW()-1,7)+50)&lt;&gt;"","set "&amp;INDEX(CUEs!$A:$A,INT((ROW()-1)/7)*57+MOD(ROW()-1,7)+50)&amp;"=/ s "&amp;INDEX(CUEs!$B:$B,INT((ROW()-1)/7)*57+MOD(ROW()-1,7)+50),"")</f>
        <v/>
      </c>
    </row>
    <row r="3527" spans="1:1" x14ac:dyDescent="0.25">
      <c r="A3527" t="str" cm="1">
        <f t="array" ref="A3527">IF(INDEX(CUEs!$A:$A,INT((ROW()-1)/7)*57+MOD(ROW()-1,7)+50)&lt;&gt;"","set "&amp;INDEX(CUEs!$A:$A,INT((ROW()-1)/7)*57+MOD(ROW()-1,7)+50)&amp;"=/ s "&amp;INDEX(CUEs!$B:$B,INT((ROW()-1)/7)*57+MOD(ROW()-1,7)+50),"")</f>
        <v/>
      </c>
    </row>
    <row r="3528" spans="1:1" x14ac:dyDescent="0.25">
      <c r="A3528" t="str" cm="1">
        <f t="array" ref="A3528">IF(INDEX(CUEs!$A:$A,INT((ROW()-1)/7)*57+MOD(ROW()-1,7)+50)&lt;&gt;"","set "&amp;INDEX(CUEs!$A:$A,INT((ROW()-1)/7)*57+MOD(ROW()-1,7)+50)&amp;"=/ s "&amp;INDEX(CUEs!$B:$B,INT((ROW()-1)/7)*57+MOD(ROW()-1,7)+50),"")</f>
        <v/>
      </c>
    </row>
    <row r="3529" spans="1:1" x14ac:dyDescent="0.25">
      <c r="A3529" t="str" cm="1">
        <f t="array" ref="A3529">IF(INDEX(CUEs!$A:$A,INT((ROW()-1)/7)*57+MOD(ROW()-1,7)+50)&lt;&gt;"","set "&amp;INDEX(CUEs!$A:$A,INT((ROW()-1)/7)*57+MOD(ROW()-1,7)+50)&amp;"=/ s "&amp;INDEX(CUEs!$B:$B,INT((ROW()-1)/7)*57+MOD(ROW()-1,7)+50),"")</f>
        <v/>
      </c>
    </row>
    <row r="3530" spans="1:1" x14ac:dyDescent="0.25">
      <c r="A3530" t="str" cm="1">
        <f t="array" ref="A3530">IF(INDEX(CUEs!$A:$A,INT((ROW()-1)/7)*57+MOD(ROW()-1,7)+50)&lt;&gt;"","set "&amp;INDEX(CUEs!$A:$A,INT((ROW()-1)/7)*57+MOD(ROW()-1,7)+50)&amp;"=/ s "&amp;INDEX(CUEs!$B:$B,INT((ROW()-1)/7)*57+MOD(ROW()-1,7)+50),"")</f>
        <v/>
      </c>
    </row>
    <row r="3531" spans="1:1" x14ac:dyDescent="0.25">
      <c r="A3531" t="str" cm="1">
        <f t="array" ref="A3531">IF(INDEX(CUEs!$A:$A,INT((ROW()-1)/7)*57+MOD(ROW()-1,7)+50)&lt;&gt;"","set "&amp;INDEX(CUEs!$A:$A,INT((ROW()-1)/7)*57+MOD(ROW()-1,7)+50)&amp;"=/ s "&amp;INDEX(CUEs!$B:$B,INT((ROW()-1)/7)*57+MOD(ROW()-1,7)+50),"")</f>
        <v/>
      </c>
    </row>
    <row r="3532" spans="1:1" x14ac:dyDescent="0.25">
      <c r="A3532" t="str" cm="1">
        <f t="array" ref="A3532">IF(INDEX(CUEs!$A:$A,INT((ROW()-1)/7)*57+MOD(ROW()-1,7)+50)&lt;&gt;"","set "&amp;INDEX(CUEs!$A:$A,INT((ROW()-1)/7)*57+MOD(ROW()-1,7)+50)&amp;"=/ s "&amp;INDEX(CUEs!$B:$B,INT((ROW()-1)/7)*57+MOD(ROW()-1,7)+50),"")</f>
        <v/>
      </c>
    </row>
    <row r="3533" spans="1:1" x14ac:dyDescent="0.25">
      <c r="A3533" t="str" cm="1">
        <f t="array" ref="A3533">IF(INDEX(CUEs!$A:$A,INT((ROW()-1)/7)*57+MOD(ROW()-1,7)+50)&lt;&gt;"","set "&amp;INDEX(CUEs!$A:$A,INT((ROW()-1)/7)*57+MOD(ROW()-1,7)+50)&amp;"=/ s "&amp;INDEX(CUEs!$B:$B,INT((ROW()-1)/7)*57+MOD(ROW()-1,7)+50),"")</f>
        <v/>
      </c>
    </row>
    <row r="3534" spans="1:1" x14ac:dyDescent="0.25">
      <c r="A3534" t="str" cm="1">
        <f t="array" ref="A3534">IF(INDEX(CUEs!$A:$A,INT((ROW()-1)/7)*57+MOD(ROW()-1,7)+50)&lt;&gt;"","set "&amp;INDEX(CUEs!$A:$A,INT((ROW()-1)/7)*57+MOD(ROW()-1,7)+50)&amp;"=/ s "&amp;INDEX(CUEs!$B:$B,INT((ROW()-1)/7)*57+MOD(ROW()-1,7)+50),"")</f>
        <v/>
      </c>
    </row>
    <row r="3535" spans="1:1" x14ac:dyDescent="0.25">
      <c r="A3535" t="str" cm="1">
        <f t="array" ref="A3535">IF(INDEX(CUEs!$A:$A,INT((ROW()-1)/7)*57+MOD(ROW()-1,7)+50)&lt;&gt;"","set "&amp;INDEX(CUEs!$A:$A,INT((ROW()-1)/7)*57+MOD(ROW()-1,7)+50)&amp;"=/ s "&amp;INDEX(CUEs!$B:$B,INT((ROW()-1)/7)*57+MOD(ROW()-1,7)+50),"")</f>
        <v/>
      </c>
    </row>
    <row r="3536" spans="1:1" x14ac:dyDescent="0.25">
      <c r="A3536" t="str" cm="1">
        <f t="array" ref="A3536">IF(INDEX(CUEs!$A:$A,INT((ROW()-1)/7)*57+MOD(ROW()-1,7)+50)&lt;&gt;"","set "&amp;INDEX(CUEs!$A:$A,INT((ROW()-1)/7)*57+MOD(ROW()-1,7)+50)&amp;"=/ s "&amp;INDEX(CUEs!$B:$B,INT((ROW()-1)/7)*57+MOD(ROW()-1,7)+50),"")</f>
        <v/>
      </c>
    </row>
    <row r="3537" spans="1:1" x14ac:dyDescent="0.25">
      <c r="A3537" t="str" cm="1">
        <f t="array" ref="A3537">IF(INDEX(CUEs!$A:$A,INT((ROW()-1)/7)*57+MOD(ROW()-1,7)+50)&lt;&gt;"","set "&amp;INDEX(CUEs!$A:$A,INT((ROW()-1)/7)*57+MOD(ROW()-1,7)+50)&amp;"=/ s "&amp;INDEX(CUEs!$B:$B,INT((ROW()-1)/7)*57+MOD(ROW()-1,7)+50),"")</f>
        <v/>
      </c>
    </row>
    <row r="3538" spans="1:1" x14ac:dyDescent="0.25">
      <c r="A3538" t="str" cm="1">
        <f t="array" ref="A3538">IF(INDEX(CUEs!$A:$A,INT((ROW()-1)/7)*57+MOD(ROW()-1,7)+50)&lt;&gt;"","set "&amp;INDEX(CUEs!$A:$A,INT((ROW()-1)/7)*57+MOD(ROW()-1,7)+50)&amp;"=/ s "&amp;INDEX(CUEs!$B:$B,INT((ROW()-1)/7)*57+MOD(ROW()-1,7)+50),"")</f>
        <v/>
      </c>
    </row>
    <row r="3539" spans="1:1" x14ac:dyDescent="0.25">
      <c r="A3539" t="str" cm="1">
        <f t="array" ref="A3539">IF(INDEX(CUEs!$A:$A,INT((ROW()-1)/7)*57+MOD(ROW()-1,7)+50)&lt;&gt;"","set "&amp;INDEX(CUEs!$A:$A,INT((ROW()-1)/7)*57+MOD(ROW()-1,7)+50)&amp;"=/ s "&amp;INDEX(CUEs!$B:$B,INT((ROW()-1)/7)*57+MOD(ROW()-1,7)+50),"")</f>
        <v/>
      </c>
    </row>
    <row r="3540" spans="1:1" x14ac:dyDescent="0.25">
      <c r="A3540" t="str" cm="1">
        <f t="array" ref="A3540">IF(INDEX(CUEs!$A:$A,INT((ROW()-1)/7)*57+MOD(ROW()-1,7)+50)&lt;&gt;"","set "&amp;INDEX(CUEs!$A:$A,INT((ROW()-1)/7)*57+MOD(ROW()-1,7)+50)&amp;"=/ s "&amp;INDEX(CUEs!$B:$B,INT((ROW()-1)/7)*57+MOD(ROW()-1,7)+50),"")</f>
        <v/>
      </c>
    </row>
    <row r="3541" spans="1:1" x14ac:dyDescent="0.25">
      <c r="A3541" t="str" cm="1">
        <f t="array" ref="A3541">IF(INDEX(CUEs!$A:$A,INT((ROW()-1)/7)*57+MOD(ROW()-1,7)+50)&lt;&gt;"","set "&amp;INDEX(CUEs!$A:$A,INT((ROW()-1)/7)*57+MOD(ROW()-1,7)+50)&amp;"=/ s "&amp;INDEX(CUEs!$B:$B,INT((ROW()-1)/7)*57+MOD(ROW()-1,7)+50),"")</f>
        <v/>
      </c>
    </row>
    <row r="3542" spans="1:1" x14ac:dyDescent="0.25">
      <c r="A3542" t="str" cm="1">
        <f t="array" ref="A3542">IF(INDEX(CUEs!$A:$A,INT((ROW()-1)/7)*57+MOD(ROW()-1,7)+50)&lt;&gt;"","set "&amp;INDEX(CUEs!$A:$A,INT((ROW()-1)/7)*57+MOD(ROW()-1,7)+50)&amp;"=/ s "&amp;INDEX(CUEs!$B:$B,INT((ROW()-1)/7)*57+MOD(ROW()-1,7)+50),"")</f>
        <v/>
      </c>
    </row>
    <row r="3543" spans="1:1" x14ac:dyDescent="0.25">
      <c r="A3543" t="str" cm="1">
        <f t="array" ref="A3543">IF(INDEX(CUEs!$A:$A,INT((ROW()-1)/7)*57+MOD(ROW()-1,7)+50)&lt;&gt;"","set "&amp;INDEX(CUEs!$A:$A,INT((ROW()-1)/7)*57+MOD(ROW()-1,7)+50)&amp;"=/ s "&amp;INDEX(CUEs!$B:$B,INT((ROW()-1)/7)*57+MOD(ROW()-1,7)+50),"")</f>
        <v/>
      </c>
    </row>
    <row r="3544" spans="1:1" x14ac:dyDescent="0.25">
      <c r="A3544" t="str" cm="1">
        <f t="array" ref="A3544">IF(INDEX(CUEs!$A:$A,INT((ROW()-1)/7)*57+MOD(ROW()-1,7)+50)&lt;&gt;"","set "&amp;INDEX(CUEs!$A:$A,INT((ROW()-1)/7)*57+MOD(ROW()-1,7)+50)&amp;"=/ s "&amp;INDEX(CUEs!$B:$B,INT((ROW()-1)/7)*57+MOD(ROW()-1,7)+50),"")</f>
        <v/>
      </c>
    </row>
    <row r="3545" spans="1:1" x14ac:dyDescent="0.25">
      <c r="A3545" t="str" cm="1">
        <f t="array" ref="A3545">IF(INDEX(CUEs!$A:$A,INT((ROW()-1)/7)*57+MOD(ROW()-1,7)+50)&lt;&gt;"","set "&amp;INDEX(CUEs!$A:$A,INT((ROW()-1)/7)*57+MOD(ROW()-1,7)+50)&amp;"=/ s "&amp;INDEX(CUEs!$B:$B,INT((ROW()-1)/7)*57+MOD(ROW()-1,7)+50),"")</f>
        <v/>
      </c>
    </row>
    <row r="3546" spans="1:1" x14ac:dyDescent="0.25">
      <c r="A3546" t="str" cm="1">
        <f t="array" ref="A3546">IF(INDEX(CUEs!$A:$A,INT((ROW()-1)/7)*57+MOD(ROW()-1,7)+50)&lt;&gt;"","set "&amp;INDEX(CUEs!$A:$A,INT((ROW()-1)/7)*57+MOD(ROW()-1,7)+50)&amp;"=/ s "&amp;INDEX(CUEs!$B:$B,INT((ROW()-1)/7)*57+MOD(ROW()-1,7)+50),"")</f>
        <v/>
      </c>
    </row>
    <row r="3547" spans="1:1" x14ac:dyDescent="0.25">
      <c r="A3547" t="str" cm="1">
        <f t="array" ref="A3547">IF(INDEX(CUEs!$A:$A,INT((ROW()-1)/7)*57+MOD(ROW()-1,7)+50)&lt;&gt;"","set "&amp;INDEX(CUEs!$A:$A,INT((ROW()-1)/7)*57+MOD(ROW()-1,7)+50)&amp;"=/ s "&amp;INDEX(CUEs!$B:$B,INT((ROW()-1)/7)*57+MOD(ROW()-1,7)+50),"")</f>
        <v/>
      </c>
    </row>
    <row r="3548" spans="1:1" x14ac:dyDescent="0.25">
      <c r="A3548" t="str" cm="1">
        <f t="array" ref="A3548">IF(INDEX(CUEs!$A:$A,INT((ROW()-1)/7)*57+MOD(ROW()-1,7)+50)&lt;&gt;"","set "&amp;INDEX(CUEs!$A:$A,INT((ROW()-1)/7)*57+MOD(ROW()-1,7)+50)&amp;"=/ s "&amp;INDEX(CUEs!$B:$B,INT((ROW()-1)/7)*57+MOD(ROW()-1,7)+50),"")</f>
        <v/>
      </c>
    </row>
    <row r="3549" spans="1:1" x14ac:dyDescent="0.25">
      <c r="A3549" t="str" cm="1">
        <f t="array" ref="A3549">IF(INDEX(CUEs!$A:$A,INT((ROW()-1)/7)*57+MOD(ROW()-1,7)+50)&lt;&gt;"","set "&amp;INDEX(CUEs!$A:$A,INT((ROW()-1)/7)*57+MOD(ROW()-1,7)+50)&amp;"=/ s "&amp;INDEX(CUEs!$B:$B,INT((ROW()-1)/7)*57+MOD(ROW()-1,7)+50),"")</f>
        <v/>
      </c>
    </row>
    <row r="3550" spans="1:1" x14ac:dyDescent="0.25">
      <c r="A3550" t="str" cm="1">
        <f t="array" ref="A3550">IF(INDEX(CUEs!$A:$A,INT((ROW()-1)/7)*57+MOD(ROW()-1,7)+50)&lt;&gt;"","set "&amp;INDEX(CUEs!$A:$A,INT((ROW()-1)/7)*57+MOD(ROW()-1,7)+50)&amp;"=/ s "&amp;INDEX(CUEs!$B:$B,INT((ROW()-1)/7)*57+MOD(ROW()-1,7)+50),"")</f>
        <v/>
      </c>
    </row>
    <row r="3551" spans="1:1" x14ac:dyDescent="0.25">
      <c r="A3551" t="str" cm="1">
        <f t="array" ref="A3551">IF(INDEX(CUEs!$A:$A,INT((ROW()-1)/7)*57+MOD(ROW()-1,7)+50)&lt;&gt;"","set "&amp;INDEX(CUEs!$A:$A,INT((ROW()-1)/7)*57+MOD(ROW()-1,7)+50)&amp;"=/ s "&amp;INDEX(CUEs!$B:$B,INT((ROW()-1)/7)*57+MOD(ROW()-1,7)+50),"")</f>
        <v/>
      </c>
    </row>
    <row r="3552" spans="1:1" x14ac:dyDescent="0.25">
      <c r="A3552" t="str" cm="1">
        <f t="array" ref="A3552">IF(INDEX(CUEs!$A:$A,INT((ROW()-1)/7)*57+MOD(ROW()-1,7)+50)&lt;&gt;"","set "&amp;INDEX(CUEs!$A:$A,INT((ROW()-1)/7)*57+MOD(ROW()-1,7)+50)&amp;"=/ s "&amp;INDEX(CUEs!$B:$B,INT((ROW()-1)/7)*57+MOD(ROW()-1,7)+50),"")</f>
        <v/>
      </c>
    </row>
    <row r="3553" spans="1:1" x14ac:dyDescent="0.25">
      <c r="A3553" t="str" cm="1">
        <f t="array" ref="A3553">IF(INDEX(CUEs!$A:$A,INT((ROW()-1)/7)*57+MOD(ROW()-1,7)+50)&lt;&gt;"","set "&amp;INDEX(CUEs!$A:$A,INT((ROW()-1)/7)*57+MOD(ROW()-1,7)+50)&amp;"=/ s "&amp;INDEX(CUEs!$B:$B,INT((ROW()-1)/7)*57+MOD(ROW()-1,7)+50),"")</f>
        <v/>
      </c>
    </row>
    <row r="3554" spans="1:1" x14ac:dyDescent="0.25">
      <c r="A3554" t="str" cm="1">
        <f t="array" ref="A3554">IF(INDEX(CUEs!$A:$A,INT((ROW()-1)/7)*57+MOD(ROW()-1,7)+50)&lt;&gt;"","set "&amp;INDEX(CUEs!$A:$A,INT((ROW()-1)/7)*57+MOD(ROW()-1,7)+50)&amp;"=/ s "&amp;INDEX(CUEs!$B:$B,INT((ROW()-1)/7)*57+MOD(ROW()-1,7)+50),"")</f>
        <v/>
      </c>
    </row>
    <row r="3555" spans="1:1" x14ac:dyDescent="0.25">
      <c r="A3555" t="str" cm="1">
        <f t="array" ref="A3555">IF(INDEX(CUEs!$A:$A,INT((ROW()-1)/7)*57+MOD(ROW()-1,7)+50)&lt;&gt;"","set "&amp;INDEX(CUEs!$A:$A,INT((ROW()-1)/7)*57+MOD(ROW()-1,7)+50)&amp;"=/ s "&amp;INDEX(CUEs!$B:$B,INT((ROW()-1)/7)*57+MOD(ROW()-1,7)+50),"")</f>
        <v/>
      </c>
    </row>
    <row r="3556" spans="1:1" x14ac:dyDescent="0.25">
      <c r="A3556" t="str" cm="1">
        <f t="array" ref="A3556">IF(INDEX(CUEs!$A:$A,INT((ROW()-1)/7)*57+MOD(ROW()-1,7)+50)&lt;&gt;"","set "&amp;INDEX(CUEs!$A:$A,INT((ROW()-1)/7)*57+MOD(ROW()-1,7)+50)&amp;"=/ s "&amp;INDEX(CUEs!$B:$B,INT((ROW()-1)/7)*57+MOD(ROW()-1,7)+50),"")</f>
        <v/>
      </c>
    </row>
    <row r="3557" spans="1:1" x14ac:dyDescent="0.25">
      <c r="A3557" t="str" cm="1">
        <f t="array" ref="A3557">IF(INDEX(CUEs!$A:$A,INT((ROW()-1)/7)*57+MOD(ROW()-1,7)+50)&lt;&gt;"","set "&amp;INDEX(CUEs!$A:$A,INT((ROW()-1)/7)*57+MOD(ROW()-1,7)+50)&amp;"=/ s "&amp;INDEX(CUEs!$B:$B,INT((ROW()-1)/7)*57+MOD(ROW()-1,7)+50),"")</f>
        <v/>
      </c>
    </row>
    <row r="3558" spans="1:1" x14ac:dyDescent="0.25">
      <c r="A3558" t="str" cm="1">
        <f t="array" ref="A3558">IF(INDEX(CUEs!$A:$A,INT((ROW()-1)/7)*57+MOD(ROW()-1,7)+50)&lt;&gt;"","set "&amp;INDEX(CUEs!$A:$A,INT((ROW()-1)/7)*57+MOD(ROW()-1,7)+50)&amp;"=/ s "&amp;INDEX(CUEs!$B:$B,INT((ROW()-1)/7)*57+MOD(ROW()-1,7)+50),"")</f>
        <v/>
      </c>
    </row>
    <row r="3559" spans="1:1" x14ac:dyDescent="0.25">
      <c r="A3559" t="str" cm="1">
        <f t="array" ref="A3559">IF(INDEX(CUEs!$A:$A,INT((ROW()-1)/7)*57+MOD(ROW()-1,7)+50)&lt;&gt;"","set "&amp;INDEX(CUEs!$A:$A,INT((ROW()-1)/7)*57+MOD(ROW()-1,7)+50)&amp;"=/ s "&amp;INDEX(CUEs!$B:$B,INT((ROW()-1)/7)*57+MOD(ROW()-1,7)+50),"")</f>
        <v/>
      </c>
    </row>
    <row r="3560" spans="1:1" x14ac:dyDescent="0.25">
      <c r="A3560" t="str" cm="1">
        <f t="array" ref="A3560">IF(INDEX(CUEs!$A:$A,INT((ROW()-1)/7)*57+MOD(ROW()-1,7)+50)&lt;&gt;"","set "&amp;INDEX(CUEs!$A:$A,INT((ROW()-1)/7)*57+MOD(ROW()-1,7)+50)&amp;"=/ s "&amp;INDEX(CUEs!$B:$B,INT((ROW()-1)/7)*57+MOD(ROW()-1,7)+50),"")</f>
        <v/>
      </c>
    </row>
    <row r="3561" spans="1:1" x14ac:dyDescent="0.25">
      <c r="A3561" t="str" cm="1">
        <f t="array" ref="A3561">IF(INDEX(CUEs!$A:$A,INT((ROW()-1)/7)*57+MOD(ROW()-1,7)+50)&lt;&gt;"","set "&amp;INDEX(CUEs!$A:$A,INT((ROW()-1)/7)*57+MOD(ROW()-1,7)+50)&amp;"=/ s "&amp;INDEX(CUEs!$B:$B,INT((ROW()-1)/7)*57+MOD(ROW()-1,7)+50),"")</f>
        <v/>
      </c>
    </row>
    <row r="3562" spans="1:1" x14ac:dyDescent="0.25">
      <c r="A3562" t="str" cm="1">
        <f t="array" ref="A3562">IF(INDEX(CUEs!$A:$A,INT((ROW()-1)/7)*57+MOD(ROW()-1,7)+50)&lt;&gt;"","set "&amp;INDEX(CUEs!$A:$A,INT((ROW()-1)/7)*57+MOD(ROW()-1,7)+50)&amp;"=/ s "&amp;INDEX(CUEs!$B:$B,INT((ROW()-1)/7)*57+MOD(ROW()-1,7)+50),"")</f>
        <v/>
      </c>
    </row>
    <row r="3563" spans="1:1" x14ac:dyDescent="0.25">
      <c r="A3563" t="str" cm="1">
        <f t="array" ref="A3563">IF(INDEX(CUEs!$A:$A,INT((ROW()-1)/7)*57+MOD(ROW()-1,7)+50)&lt;&gt;"","set "&amp;INDEX(CUEs!$A:$A,INT((ROW()-1)/7)*57+MOD(ROW()-1,7)+50)&amp;"=/ s "&amp;INDEX(CUEs!$B:$B,INT((ROW()-1)/7)*57+MOD(ROW()-1,7)+50),"")</f>
        <v/>
      </c>
    </row>
    <row r="3564" spans="1:1" x14ac:dyDescent="0.25">
      <c r="A3564" t="str" cm="1">
        <f t="array" ref="A3564">IF(INDEX(CUEs!$A:$A,INT((ROW()-1)/7)*57+MOD(ROW()-1,7)+50)&lt;&gt;"","set "&amp;INDEX(CUEs!$A:$A,INT((ROW()-1)/7)*57+MOD(ROW()-1,7)+50)&amp;"=/ s "&amp;INDEX(CUEs!$B:$B,INT((ROW()-1)/7)*57+MOD(ROW()-1,7)+50),"")</f>
        <v/>
      </c>
    </row>
    <row r="3565" spans="1:1" x14ac:dyDescent="0.25">
      <c r="A3565" t="str" cm="1">
        <f t="array" ref="A3565">IF(INDEX(CUEs!$A:$A,INT((ROW()-1)/7)*57+MOD(ROW()-1,7)+50)&lt;&gt;"","set "&amp;INDEX(CUEs!$A:$A,INT((ROW()-1)/7)*57+MOD(ROW()-1,7)+50)&amp;"=/ s "&amp;INDEX(CUEs!$B:$B,INT((ROW()-1)/7)*57+MOD(ROW()-1,7)+50),"")</f>
        <v/>
      </c>
    </row>
    <row r="3566" spans="1:1" x14ac:dyDescent="0.25">
      <c r="A3566" t="str" cm="1">
        <f t="array" ref="A3566">IF(INDEX(CUEs!$A:$A,INT((ROW()-1)/7)*57+MOD(ROW()-1,7)+50)&lt;&gt;"","set "&amp;INDEX(CUEs!$A:$A,INT((ROW()-1)/7)*57+MOD(ROW()-1,7)+50)&amp;"=/ s "&amp;INDEX(CUEs!$B:$B,INT((ROW()-1)/7)*57+MOD(ROW()-1,7)+50),"")</f>
        <v/>
      </c>
    </row>
    <row r="3567" spans="1:1" x14ac:dyDescent="0.25">
      <c r="A3567" t="str" cm="1">
        <f t="array" ref="A3567">IF(INDEX(CUEs!$A:$A,INT((ROW()-1)/7)*57+MOD(ROW()-1,7)+50)&lt;&gt;"","set "&amp;INDEX(CUEs!$A:$A,INT((ROW()-1)/7)*57+MOD(ROW()-1,7)+50)&amp;"=/ s "&amp;INDEX(CUEs!$B:$B,INT((ROW()-1)/7)*57+MOD(ROW()-1,7)+50),"")</f>
        <v/>
      </c>
    </row>
    <row r="3568" spans="1:1" x14ac:dyDescent="0.25">
      <c r="A3568" t="str" cm="1">
        <f t="array" ref="A3568">IF(INDEX(CUEs!$A:$A,INT((ROW()-1)/7)*57+MOD(ROW()-1,7)+50)&lt;&gt;"","set "&amp;INDEX(CUEs!$A:$A,INT((ROW()-1)/7)*57+MOD(ROW()-1,7)+50)&amp;"=/ s "&amp;INDEX(CUEs!$B:$B,INT((ROW()-1)/7)*57+MOD(ROW()-1,7)+50),"")</f>
        <v/>
      </c>
    </row>
    <row r="3569" spans="1:1" x14ac:dyDescent="0.25">
      <c r="A3569" t="str" cm="1">
        <f t="array" ref="A3569">IF(INDEX(CUEs!$A:$A,INT((ROW()-1)/7)*57+MOD(ROW()-1,7)+50)&lt;&gt;"","set "&amp;INDEX(CUEs!$A:$A,INT((ROW()-1)/7)*57+MOD(ROW()-1,7)+50)&amp;"=/ s "&amp;INDEX(CUEs!$B:$B,INT((ROW()-1)/7)*57+MOD(ROW()-1,7)+50),"")</f>
        <v/>
      </c>
    </row>
    <row r="3570" spans="1:1" x14ac:dyDescent="0.25">
      <c r="A3570" t="str" cm="1">
        <f t="array" ref="A3570">IF(INDEX(CUEs!$A:$A,INT((ROW()-1)/7)*57+MOD(ROW()-1,7)+50)&lt;&gt;"","set "&amp;INDEX(CUEs!$A:$A,INT((ROW()-1)/7)*57+MOD(ROW()-1,7)+50)&amp;"=/ s "&amp;INDEX(CUEs!$B:$B,INT((ROW()-1)/7)*57+MOD(ROW()-1,7)+50),"")</f>
        <v/>
      </c>
    </row>
    <row r="3571" spans="1:1" x14ac:dyDescent="0.25">
      <c r="A3571" t="str" cm="1">
        <f t="array" ref="A3571">IF(INDEX(CUEs!$A:$A,INT((ROW()-1)/7)*57+MOD(ROW()-1,7)+50)&lt;&gt;"","set "&amp;INDEX(CUEs!$A:$A,INT((ROW()-1)/7)*57+MOD(ROW()-1,7)+50)&amp;"=/ s "&amp;INDEX(CUEs!$B:$B,INT((ROW()-1)/7)*57+MOD(ROW()-1,7)+50),"")</f>
        <v/>
      </c>
    </row>
    <row r="3572" spans="1:1" x14ac:dyDescent="0.25">
      <c r="A3572" t="str" cm="1">
        <f t="array" ref="A3572">IF(INDEX(CUEs!$A:$A,INT((ROW()-1)/7)*57+MOD(ROW()-1,7)+50)&lt;&gt;"","set "&amp;INDEX(CUEs!$A:$A,INT((ROW()-1)/7)*57+MOD(ROW()-1,7)+50)&amp;"=/ s "&amp;INDEX(CUEs!$B:$B,INT((ROW()-1)/7)*57+MOD(ROW()-1,7)+50),"")</f>
        <v/>
      </c>
    </row>
    <row r="3573" spans="1:1" x14ac:dyDescent="0.25">
      <c r="A3573" t="str" cm="1">
        <f t="array" ref="A3573">IF(INDEX(CUEs!$A:$A,INT((ROW()-1)/7)*57+MOD(ROW()-1,7)+50)&lt;&gt;"","set "&amp;INDEX(CUEs!$A:$A,INT((ROW()-1)/7)*57+MOD(ROW()-1,7)+50)&amp;"=/ s "&amp;INDEX(CUEs!$B:$B,INT((ROW()-1)/7)*57+MOD(ROW()-1,7)+50),"")</f>
        <v/>
      </c>
    </row>
    <row r="3574" spans="1:1" x14ac:dyDescent="0.25">
      <c r="A3574" t="str" cm="1">
        <f t="array" ref="A3574">IF(INDEX(CUEs!$A:$A,INT((ROW()-1)/7)*57+MOD(ROW()-1,7)+50)&lt;&gt;"","set "&amp;INDEX(CUEs!$A:$A,INT((ROW()-1)/7)*57+MOD(ROW()-1,7)+50)&amp;"=/ s "&amp;INDEX(CUEs!$B:$B,INT((ROW()-1)/7)*57+MOD(ROW()-1,7)+50),"")</f>
        <v/>
      </c>
    </row>
    <row r="3575" spans="1:1" x14ac:dyDescent="0.25">
      <c r="A3575" t="str" cm="1">
        <f t="array" ref="A3575">IF(INDEX(CUEs!$A:$A,INT((ROW()-1)/7)*57+MOD(ROW()-1,7)+50)&lt;&gt;"","set "&amp;INDEX(CUEs!$A:$A,INT((ROW()-1)/7)*57+MOD(ROW()-1,7)+50)&amp;"=/ s "&amp;INDEX(CUEs!$B:$B,INT((ROW()-1)/7)*57+MOD(ROW()-1,7)+50),"")</f>
        <v/>
      </c>
    </row>
    <row r="3576" spans="1:1" x14ac:dyDescent="0.25">
      <c r="A3576" t="str" cm="1">
        <f t="array" ref="A3576">IF(INDEX(CUEs!$A:$A,INT((ROW()-1)/7)*57+MOD(ROW()-1,7)+50)&lt;&gt;"","set "&amp;INDEX(CUEs!$A:$A,INT((ROW()-1)/7)*57+MOD(ROW()-1,7)+50)&amp;"=/ s "&amp;INDEX(CUEs!$B:$B,INT((ROW()-1)/7)*57+MOD(ROW()-1,7)+50),"")</f>
        <v/>
      </c>
    </row>
    <row r="3577" spans="1:1" x14ac:dyDescent="0.25">
      <c r="A3577" t="str" cm="1">
        <f t="array" ref="A3577">IF(INDEX(CUEs!$A:$A,INT((ROW()-1)/7)*57+MOD(ROW()-1,7)+50)&lt;&gt;"","set "&amp;INDEX(CUEs!$A:$A,INT((ROW()-1)/7)*57+MOD(ROW()-1,7)+50)&amp;"=/ s "&amp;INDEX(CUEs!$B:$B,INT((ROW()-1)/7)*57+MOD(ROW()-1,7)+50),"")</f>
        <v/>
      </c>
    </row>
    <row r="3578" spans="1:1" x14ac:dyDescent="0.25">
      <c r="A3578" t="str" cm="1">
        <f t="array" ref="A3578">IF(INDEX(CUEs!$A:$A,INT((ROW()-1)/7)*57+MOD(ROW()-1,7)+50)&lt;&gt;"","set "&amp;INDEX(CUEs!$A:$A,INT((ROW()-1)/7)*57+MOD(ROW()-1,7)+50)&amp;"=/ s "&amp;INDEX(CUEs!$B:$B,INT((ROW()-1)/7)*57+MOD(ROW()-1,7)+50),"")</f>
        <v/>
      </c>
    </row>
    <row r="3579" spans="1:1" x14ac:dyDescent="0.25">
      <c r="A3579" t="str" cm="1">
        <f t="array" ref="A3579">IF(INDEX(CUEs!$A:$A,INT((ROW()-1)/7)*57+MOD(ROW()-1,7)+50)&lt;&gt;"","set "&amp;INDEX(CUEs!$A:$A,INT((ROW()-1)/7)*57+MOD(ROW()-1,7)+50)&amp;"=/ s "&amp;INDEX(CUEs!$B:$B,INT((ROW()-1)/7)*57+MOD(ROW()-1,7)+50),"")</f>
        <v/>
      </c>
    </row>
    <row r="3580" spans="1:1" x14ac:dyDescent="0.25">
      <c r="A3580" t="str" cm="1">
        <f t="array" ref="A3580">IF(INDEX(CUEs!$A:$A,INT((ROW()-1)/7)*57+MOD(ROW()-1,7)+50)&lt;&gt;"","set "&amp;INDEX(CUEs!$A:$A,INT((ROW()-1)/7)*57+MOD(ROW()-1,7)+50)&amp;"=/ s "&amp;INDEX(CUEs!$B:$B,INT((ROW()-1)/7)*57+MOD(ROW()-1,7)+50),"")</f>
        <v/>
      </c>
    </row>
    <row r="3581" spans="1:1" x14ac:dyDescent="0.25">
      <c r="A3581" t="str" cm="1">
        <f t="array" ref="A3581">IF(INDEX(CUEs!$A:$A,INT((ROW()-1)/7)*57+MOD(ROW()-1,7)+50)&lt;&gt;"","set "&amp;INDEX(CUEs!$A:$A,INT((ROW()-1)/7)*57+MOD(ROW()-1,7)+50)&amp;"=/ s "&amp;INDEX(CUEs!$B:$B,INT((ROW()-1)/7)*57+MOD(ROW()-1,7)+50),"")</f>
        <v/>
      </c>
    </row>
    <row r="3582" spans="1:1" x14ac:dyDescent="0.25">
      <c r="A3582" t="str" cm="1">
        <f t="array" ref="A3582">IF(INDEX(CUEs!$A:$A,INT((ROW()-1)/7)*57+MOD(ROW()-1,7)+50)&lt;&gt;"","set "&amp;INDEX(CUEs!$A:$A,INT((ROW()-1)/7)*57+MOD(ROW()-1,7)+50)&amp;"=/ s "&amp;INDEX(CUEs!$B:$B,INT((ROW()-1)/7)*57+MOD(ROW()-1,7)+50),"")</f>
        <v/>
      </c>
    </row>
    <row r="3583" spans="1:1" x14ac:dyDescent="0.25">
      <c r="A3583" t="str" cm="1">
        <f t="array" ref="A3583">IF(INDEX(CUEs!$A:$A,INT((ROW()-1)/7)*57+MOD(ROW()-1,7)+50)&lt;&gt;"","set "&amp;INDEX(CUEs!$A:$A,INT((ROW()-1)/7)*57+MOD(ROW()-1,7)+50)&amp;"=/ s "&amp;INDEX(CUEs!$B:$B,INT((ROW()-1)/7)*57+MOD(ROW()-1,7)+50),"")</f>
        <v/>
      </c>
    </row>
    <row r="3584" spans="1:1" x14ac:dyDescent="0.25">
      <c r="A3584" t="str" cm="1">
        <f t="array" ref="A3584">IF(INDEX(CUEs!$A:$A,INT((ROW()-1)/7)*57+MOD(ROW()-1,7)+50)&lt;&gt;"","set "&amp;INDEX(CUEs!$A:$A,INT((ROW()-1)/7)*57+MOD(ROW()-1,7)+50)&amp;"=/ s "&amp;INDEX(CUEs!$B:$B,INT((ROW()-1)/7)*57+MOD(ROW()-1,7)+50),"")</f>
        <v/>
      </c>
    </row>
    <row r="3585" spans="1:1" x14ac:dyDescent="0.25">
      <c r="A3585" t="str" cm="1">
        <f t="array" ref="A3585">IF(INDEX(CUEs!$A:$A,INT((ROW()-1)/7)*57+MOD(ROW()-1,7)+50)&lt;&gt;"","set "&amp;INDEX(CUEs!$A:$A,INT((ROW()-1)/7)*57+MOD(ROW()-1,7)+50)&amp;"=/ s "&amp;INDEX(CUEs!$B:$B,INT((ROW()-1)/7)*57+MOD(ROW()-1,7)+50),"")</f>
        <v/>
      </c>
    </row>
    <row r="3586" spans="1:1" x14ac:dyDescent="0.25">
      <c r="A3586" t="str" cm="1">
        <f t="array" ref="A3586">IF(INDEX(CUEs!$A:$A,INT((ROW()-1)/7)*57+MOD(ROW()-1,7)+50)&lt;&gt;"","set "&amp;INDEX(CUEs!$A:$A,INT((ROW()-1)/7)*57+MOD(ROW()-1,7)+50)&amp;"=/ s "&amp;INDEX(CUEs!$B:$B,INT((ROW()-1)/7)*57+MOD(ROW()-1,7)+50),"")</f>
        <v/>
      </c>
    </row>
    <row r="3587" spans="1:1" x14ac:dyDescent="0.25">
      <c r="A3587" t="str" cm="1">
        <f t="array" ref="A3587">IF(INDEX(CUEs!$A:$A,INT((ROW()-1)/7)*57+MOD(ROW()-1,7)+50)&lt;&gt;"","set "&amp;INDEX(CUEs!$A:$A,INT((ROW()-1)/7)*57+MOD(ROW()-1,7)+50)&amp;"=/ s "&amp;INDEX(CUEs!$B:$B,INT((ROW()-1)/7)*57+MOD(ROW()-1,7)+50),"")</f>
        <v/>
      </c>
    </row>
    <row r="3588" spans="1:1" x14ac:dyDescent="0.25">
      <c r="A3588" t="str" cm="1">
        <f t="array" ref="A3588">IF(INDEX(CUEs!$A:$A,INT((ROW()-1)/7)*57+MOD(ROW()-1,7)+50)&lt;&gt;"","set "&amp;INDEX(CUEs!$A:$A,INT((ROW()-1)/7)*57+MOD(ROW()-1,7)+50)&amp;"=/ s "&amp;INDEX(CUEs!$B:$B,INT((ROW()-1)/7)*57+MOD(ROW()-1,7)+50),"")</f>
        <v/>
      </c>
    </row>
    <row r="3589" spans="1:1" x14ac:dyDescent="0.25">
      <c r="A3589" t="str" cm="1">
        <f t="array" ref="A3589">IF(INDEX(CUEs!$A:$A,INT((ROW()-1)/7)*57+MOD(ROW()-1,7)+50)&lt;&gt;"","set "&amp;INDEX(CUEs!$A:$A,INT((ROW()-1)/7)*57+MOD(ROW()-1,7)+50)&amp;"=/ s "&amp;INDEX(CUEs!$B:$B,INT((ROW()-1)/7)*57+MOD(ROW()-1,7)+50),"")</f>
        <v/>
      </c>
    </row>
    <row r="3590" spans="1:1" x14ac:dyDescent="0.25">
      <c r="A3590" t="str" cm="1">
        <f t="array" ref="A3590">IF(INDEX(CUEs!$A:$A,INT((ROW()-1)/7)*57+MOD(ROW()-1,7)+50)&lt;&gt;"","set "&amp;INDEX(CUEs!$A:$A,INT((ROW()-1)/7)*57+MOD(ROW()-1,7)+50)&amp;"=/ s "&amp;INDEX(CUEs!$B:$B,INT((ROW()-1)/7)*57+MOD(ROW()-1,7)+50),"")</f>
        <v/>
      </c>
    </row>
    <row r="3591" spans="1:1" x14ac:dyDescent="0.25">
      <c r="A3591" t="str" cm="1">
        <f t="array" ref="A3591">IF(INDEX(CUEs!$A:$A,INT((ROW()-1)/7)*57+MOD(ROW()-1,7)+50)&lt;&gt;"","set "&amp;INDEX(CUEs!$A:$A,INT((ROW()-1)/7)*57+MOD(ROW()-1,7)+50)&amp;"=/ s "&amp;INDEX(CUEs!$B:$B,INT((ROW()-1)/7)*57+MOD(ROW()-1,7)+50),"")</f>
        <v/>
      </c>
    </row>
    <row r="3592" spans="1:1" x14ac:dyDescent="0.25">
      <c r="A3592" t="str" cm="1">
        <f t="array" ref="A3592">IF(INDEX(CUEs!$A:$A,INT((ROW()-1)/7)*57+MOD(ROW()-1,7)+50)&lt;&gt;"","set "&amp;INDEX(CUEs!$A:$A,INT((ROW()-1)/7)*57+MOD(ROW()-1,7)+50)&amp;"=/ s "&amp;INDEX(CUEs!$B:$B,INT((ROW()-1)/7)*57+MOD(ROW()-1,7)+50),"")</f>
        <v/>
      </c>
    </row>
    <row r="3593" spans="1:1" x14ac:dyDescent="0.25">
      <c r="A3593" t="str" cm="1">
        <f t="array" ref="A3593">IF(INDEX(CUEs!$A:$A,INT((ROW()-1)/7)*57+MOD(ROW()-1,7)+50)&lt;&gt;"","set "&amp;INDEX(CUEs!$A:$A,INT((ROW()-1)/7)*57+MOD(ROW()-1,7)+50)&amp;"=/ s "&amp;INDEX(CUEs!$B:$B,INT((ROW()-1)/7)*57+MOD(ROW()-1,7)+50),"")</f>
        <v/>
      </c>
    </row>
    <row r="3594" spans="1:1" x14ac:dyDescent="0.25">
      <c r="A3594" t="str" cm="1">
        <f t="array" ref="A3594">IF(INDEX(CUEs!$A:$A,INT((ROW()-1)/7)*57+MOD(ROW()-1,7)+50)&lt;&gt;"","set "&amp;INDEX(CUEs!$A:$A,INT((ROW()-1)/7)*57+MOD(ROW()-1,7)+50)&amp;"=/ s "&amp;INDEX(CUEs!$B:$B,INT((ROW()-1)/7)*57+MOD(ROW()-1,7)+50),"")</f>
        <v/>
      </c>
    </row>
    <row r="3595" spans="1:1" x14ac:dyDescent="0.25">
      <c r="A3595" t="str" cm="1">
        <f t="array" ref="A3595">IF(INDEX(CUEs!$A:$A,INT((ROW()-1)/7)*57+MOD(ROW()-1,7)+50)&lt;&gt;"","set "&amp;INDEX(CUEs!$A:$A,INT((ROW()-1)/7)*57+MOD(ROW()-1,7)+50)&amp;"=/ s "&amp;INDEX(CUEs!$B:$B,INT((ROW()-1)/7)*57+MOD(ROW()-1,7)+50),"")</f>
        <v/>
      </c>
    </row>
    <row r="3596" spans="1:1" x14ac:dyDescent="0.25">
      <c r="A3596" t="str" cm="1">
        <f t="array" ref="A3596">IF(INDEX(CUEs!$A:$A,INT((ROW()-1)/7)*57+MOD(ROW()-1,7)+50)&lt;&gt;"","set "&amp;INDEX(CUEs!$A:$A,INT((ROW()-1)/7)*57+MOD(ROW()-1,7)+50)&amp;"=/ s "&amp;INDEX(CUEs!$B:$B,INT((ROW()-1)/7)*57+MOD(ROW()-1,7)+50),"")</f>
        <v/>
      </c>
    </row>
    <row r="3597" spans="1:1" x14ac:dyDescent="0.25">
      <c r="A3597" t="str" cm="1">
        <f t="array" ref="A3597">IF(INDEX(CUEs!$A:$A,INT((ROW()-1)/7)*57+MOD(ROW()-1,7)+50)&lt;&gt;"","set "&amp;INDEX(CUEs!$A:$A,INT((ROW()-1)/7)*57+MOD(ROW()-1,7)+50)&amp;"=/ s "&amp;INDEX(CUEs!$B:$B,INT((ROW()-1)/7)*57+MOD(ROW()-1,7)+50),"")</f>
        <v/>
      </c>
    </row>
    <row r="3598" spans="1:1" x14ac:dyDescent="0.25">
      <c r="A3598" t="str" cm="1">
        <f t="array" ref="A3598">IF(INDEX(CUEs!$A:$A,INT((ROW()-1)/7)*57+MOD(ROW()-1,7)+50)&lt;&gt;"","set "&amp;INDEX(CUEs!$A:$A,INT((ROW()-1)/7)*57+MOD(ROW()-1,7)+50)&amp;"=/ s "&amp;INDEX(CUEs!$B:$B,INT((ROW()-1)/7)*57+MOD(ROW()-1,7)+50),"")</f>
        <v/>
      </c>
    </row>
    <row r="3599" spans="1:1" x14ac:dyDescent="0.25">
      <c r="A3599" t="str" cm="1">
        <f t="array" ref="A3599">IF(INDEX(CUEs!$A:$A,INT((ROW()-1)/7)*57+MOD(ROW()-1,7)+50)&lt;&gt;"","set "&amp;INDEX(CUEs!$A:$A,INT((ROW()-1)/7)*57+MOD(ROW()-1,7)+50)&amp;"=/ s "&amp;INDEX(CUEs!$B:$B,INT((ROW()-1)/7)*57+MOD(ROW()-1,7)+50),"")</f>
        <v/>
      </c>
    </row>
    <row r="3600" spans="1:1" x14ac:dyDescent="0.25">
      <c r="A3600" t="str" cm="1">
        <f t="array" ref="A3600">IF(INDEX(CUEs!$A:$A,INT((ROW()-1)/7)*57+MOD(ROW()-1,7)+50)&lt;&gt;"","set "&amp;INDEX(CUEs!$A:$A,INT((ROW()-1)/7)*57+MOD(ROW()-1,7)+50)&amp;"=/ s "&amp;INDEX(CUEs!$B:$B,INT((ROW()-1)/7)*57+MOD(ROW()-1,7)+50),"")</f>
        <v/>
      </c>
    </row>
    <row r="3601" spans="1:1" x14ac:dyDescent="0.25">
      <c r="A3601" t="str" cm="1">
        <f t="array" ref="A3601">IF(INDEX(CUEs!$A:$A,INT((ROW()-1)/7)*57+MOD(ROW()-1,7)+50)&lt;&gt;"","set "&amp;INDEX(CUEs!$A:$A,INT((ROW()-1)/7)*57+MOD(ROW()-1,7)+50)&amp;"=/ s "&amp;INDEX(CUEs!$B:$B,INT((ROW()-1)/7)*57+MOD(ROW()-1,7)+50),"")</f>
        <v/>
      </c>
    </row>
    <row r="3602" spans="1:1" x14ac:dyDescent="0.25">
      <c r="A3602" t="str" cm="1">
        <f t="array" ref="A3602">IF(INDEX(CUEs!$A:$A,INT((ROW()-1)/7)*57+MOD(ROW()-1,7)+50)&lt;&gt;"","set "&amp;INDEX(CUEs!$A:$A,INT((ROW()-1)/7)*57+MOD(ROW()-1,7)+50)&amp;"=/ s "&amp;INDEX(CUEs!$B:$B,INT((ROW()-1)/7)*57+MOD(ROW()-1,7)+50),"")</f>
        <v/>
      </c>
    </row>
    <row r="3603" spans="1:1" x14ac:dyDescent="0.25">
      <c r="A3603" t="str" cm="1">
        <f t="array" ref="A3603">IF(INDEX(CUEs!$A:$A,INT((ROW()-1)/7)*57+MOD(ROW()-1,7)+50)&lt;&gt;"","set "&amp;INDEX(CUEs!$A:$A,INT((ROW()-1)/7)*57+MOD(ROW()-1,7)+50)&amp;"=/ s "&amp;INDEX(CUEs!$B:$B,INT((ROW()-1)/7)*57+MOD(ROW()-1,7)+50),"")</f>
        <v/>
      </c>
    </row>
    <row r="3604" spans="1:1" x14ac:dyDescent="0.25">
      <c r="A3604" t="str" cm="1">
        <f t="array" ref="A3604">IF(INDEX(CUEs!$A:$A,INT((ROW()-1)/7)*57+MOD(ROW()-1,7)+50)&lt;&gt;"","set "&amp;INDEX(CUEs!$A:$A,INT((ROW()-1)/7)*57+MOD(ROW()-1,7)+50)&amp;"=/ s "&amp;INDEX(CUEs!$B:$B,INT((ROW()-1)/7)*57+MOD(ROW()-1,7)+50),"")</f>
        <v/>
      </c>
    </row>
    <row r="3605" spans="1:1" x14ac:dyDescent="0.25">
      <c r="A3605" t="str" cm="1">
        <f t="array" ref="A3605">IF(INDEX(CUEs!$A:$A,INT((ROW()-1)/7)*57+MOD(ROW()-1,7)+50)&lt;&gt;"","set "&amp;INDEX(CUEs!$A:$A,INT((ROW()-1)/7)*57+MOD(ROW()-1,7)+50)&amp;"=/ s "&amp;INDEX(CUEs!$B:$B,INT((ROW()-1)/7)*57+MOD(ROW()-1,7)+50),"")</f>
        <v/>
      </c>
    </row>
    <row r="3606" spans="1:1" x14ac:dyDescent="0.25">
      <c r="A3606" t="str" cm="1">
        <f t="array" ref="A3606">IF(INDEX(CUEs!$A:$A,INT((ROW()-1)/7)*57+MOD(ROW()-1,7)+50)&lt;&gt;"","set "&amp;INDEX(CUEs!$A:$A,INT((ROW()-1)/7)*57+MOD(ROW()-1,7)+50)&amp;"=/ s "&amp;INDEX(CUEs!$B:$B,INT((ROW()-1)/7)*57+MOD(ROW()-1,7)+50),"")</f>
        <v/>
      </c>
    </row>
    <row r="3607" spans="1:1" x14ac:dyDescent="0.25">
      <c r="A3607" t="str" cm="1">
        <f t="array" ref="A3607">IF(INDEX(CUEs!$A:$A,INT((ROW()-1)/7)*57+MOD(ROW()-1,7)+50)&lt;&gt;"","set "&amp;INDEX(CUEs!$A:$A,INT((ROW()-1)/7)*57+MOD(ROW()-1,7)+50)&amp;"=/ s "&amp;INDEX(CUEs!$B:$B,INT((ROW()-1)/7)*57+MOD(ROW()-1,7)+50),"")</f>
        <v/>
      </c>
    </row>
    <row r="3608" spans="1:1" x14ac:dyDescent="0.25">
      <c r="A3608" t="str" cm="1">
        <f t="array" ref="A3608">IF(INDEX(CUEs!$A:$A,INT((ROW()-1)/7)*57+MOD(ROW()-1,7)+50)&lt;&gt;"","set "&amp;INDEX(CUEs!$A:$A,INT((ROW()-1)/7)*57+MOD(ROW()-1,7)+50)&amp;"=/ s "&amp;INDEX(CUEs!$B:$B,INT((ROW()-1)/7)*57+MOD(ROW()-1,7)+50),"")</f>
        <v/>
      </c>
    </row>
    <row r="3609" spans="1:1" x14ac:dyDescent="0.25">
      <c r="A3609" t="str" cm="1">
        <f t="array" ref="A3609">IF(INDEX(CUEs!$A:$A,INT((ROW()-1)/7)*57+MOD(ROW()-1,7)+50)&lt;&gt;"","set "&amp;INDEX(CUEs!$A:$A,INT((ROW()-1)/7)*57+MOD(ROW()-1,7)+50)&amp;"=/ s "&amp;INDEX(CUEs!$B:$B,INT((ROW()-1)/7)*57+MOD(ROW()-1,7)+50),"")</f>
        <v/>
      </c>
    </row>
    <row r="3610" spans="1:1" x14ac:dyDescent="0.25">
      <c r="A3610" t="str" cm="1">
        <f t="array" ref="A3610">IF(INDEX(CUEs!$A:$A,INT((ROW()-1)/7)*57+MOD(ROW()-1,7)+50)&lt;&gt;"","set "&amp;INDEX(CUEs!$A:$A,INT((ROW()-1)/7)*57+MOD(ROW()-1,7)+50)&amp;"=/ s "&amp;INDEX(CUEs!$B:$B,INT((ROW()-1)/7)*57+MOD(ROW()-1,7)+50),"")</f>
        <v/>
      </c>
    </row>
    <row r="3611" spans="1:1" x14ac:dyDescent="0.25">
      <c r="A3611" t="str" cm="1">
        <f t="array" ref="A3611">IF(INDEX(CUEs!$A:$A,INT((ROW()-1)/7)*57+MOD(ROW()-1,7)+50)&lt;&gt;"","set "&amp;INDEX(CUEs!$A:$A,INT((ROW()-1)/7)*57+MOD(ROW()-1,7)+50)&amp;"=/ s "&amp;INDEX(CUEs!$B:$B,INT((ROW()-1)/7)*57+MOD(ROW()-1,7)+50),"")</f>
        <v/>
      </c>
    </row>
    <row r="3612" spans="1:1" x14ac:dyDescent="0.25">
      <c r="A3612" t="str" cm="1">
        <f t="array" ref="A3612">IF(INDEX(CUEs!$A:$A,INT((ROW()-1)/7)*57+MOD(ROW()-1,7)+50)&lt;&gt;"","set "&amp;INDEX(CUEs!$A:$A,INT((ROW()-1)/7)*57+MOD(ROW()-1,7)+50)&amp;"=/ s "&amp;INDEX(CUEs!$B:$B,INT((ROW()-1)/7)*57+MOD(ROW()-1,7)+50),"")</f>
        <v/>
      </c>
    </row>
    <row r="3613" spans="1:1" x14ac:dyDescent="0.25">
      <c r="A3613" t="str" cm="1">
        <f t="array" ref="A3613">IF(INDEX(CUEs!$A:$A,INT((ROW()-1)/7)*57+MOD(ROW()-1,7)+50)&lt;&gt;"","set "&amp;INDEX(CUEs!$A:$A,INT((ROW()-1)/7)*57+MOD(ROW()-1,7)+50)&amp;"=/ s "&amp;INDEX(CUEs!$B:$B,INT((ROW()-1)/7)*57+MOD(ROW()-1,7)+50),"")</f>
        <v/>
      </c>
    </row>
    <row r="3614" spans="1:1" x14ac:dyDescent="0.25">
      <c r="A3614" t="str" cm="1">
        <f t="array" ref="A3614">IF(INDEX(CUEs!$A:$A,INT((ROW()-1)/7)*57+MOD(ROW()-1,7)+50)&lt;&gt;"","set "&amp;INDEX(CUEs!$A:$A,INT((ROW()-1)/7)*57+MOD(ROW()-1,7)+50)&amp;"=/ s "&amp;INDEX(CUEs!$B:$B,INT((ROW()-1)/7)*57+MOD(ROW()-1,7)+50),"")</f>
        <v/>
      </c>
    </row>
    <row r="3615" spans="1:1" x14ac:dyDescent="0.25">
      <c r="A3615" t="str" cm="1">
        <f t="array" ref="A3615">IF(INDEX(CUEs!$A:$A,INT((ROW()-1)/7)*57+MOD(ROW()-1,7)+50)&lt;&gt;"","set "&amp;INDEX(CUEs!$A:$A,INT((ROW()-1)/7)*57+MOD(ROW()-1,7)+50)&amp;"=/ s "&amp;INDEX(CUEs!$B:$B,INT((ROW()-1)/7)*57+MOD(ROW()-1,7)+50),"")</f>
        <v/>
      </c>
    </row>
    <row r="3616" spans="1:1" x14ac:dyDescent="0.25">
      <c r="A3616" t="str" cm="1">
        <f t="array" ref="A3616">IF(INDEX(CUEs!$A:$A,INT((ROW()-1)/7)*57+MOD(ROW()-1,7)+50)&lt;&gt;"","set "&amp;INDEX(CUEs!$A:$A,INT((ROW()-1)/7)*57+MOD(ROW()-1,7)+50)&amp;"=/ s "&amp;INDEX(CUEs!$B:$B,INT((ROW()-1)/7)*57+MOD(ROW()-1,7)+50),"")</f>
        <v/>
      </c>
    </row>
    <row r="3617" spans="1:1" x14ac:dyDescent="0.25">
      <c r="A3617" t="str" cm="1">
        <f t="array" ref="A3617">IF(INDEX(CUEs!$A:$A,INT((ROW()-1)/7)*57+MOD(ROW()-1,7)+50)&lt;&gt;"","set "&amp;INDEX(CUEs!$A:$A,INT((ROW()-1)/7)*57+MOD(ROW()-1,7)+50)&amp;"=/ s "&amp;INDEX(CUEs!$B:$B,INT((ROW()-1)/7)*57+MOD(ROW()-1,7)+50),"")</f>
        <v/>
      </c>
    </row>
    <row r="3618" spans="1:1" x14ac:dyDescent="0.25">
      <c r="A3618" t="str" cm="1">
        <f t="array" ref="A3618">IF(INDEX(CUEs!$A:$A,INT((ROW()-1)/7)*57+MOD(ROW()-1,7)+50)&lt;&gt;"","set "&amp;INDEX(CUEs!$A:$A,INT((ROW()-1)/7)*57+MOD(ROW()-1,7)+50)&amp;"=/ s "&amp;INDEX(CUEs!$B:$B,INT((ROW()-1)/7)*57+MOD(ROW()-1,7)+50),"")</f>
        <v/>
      </c>
    </row>
    <row r="3619" spans="1:1" x14ac:dyDescent="0.25">
      <c r="A3619" t="str" cm="1">
        <f t="array" ref="A3619">IF(INDEX(CUEs!$A:$A,INT((ROW()-1)/7)*57+MOD(ROW()-1,7)+50)&lt;&gt;"","set "&amp;INDEX(CUEs!$A:$A,INT((ROW()-1)/7)*57+MOD(ROW()-1,7)+50)&amp;"=/ s "&amp;INDEX(CUEs!$B:$B,INT((ROW()-1)/7)*57+MOD(ROW()-1,7)+50),"")</f>
        <v/>
      </c>
    </row>
    <row r="3620" spans="1:1" x14ac:dyDescent="0.25">
      <c r="A3620" t="str" cm="1">
        <f t="array" ref="A3620">IF(INDEX(CUEs!$A:$A,INT((ROW()-1)/7)*57+MOD(ROW()-1,7)+50)&lt;&gt;"","set "&amp;INDEX(CUEs!$A:$A,INT((ROW()-1)/7)*57+MOD(ROW()-1,7)+50)&amp;"=/ s "&amp;INDEX(CUEs!$B:$B,INT((ROW()-1)/7)*57+MOD(ROW()-1,7)+50),"")</f>
        <v/>
      </c>
    </row>
    <row r="3621" spans="1:1" x14ac:dyDescent="0.25">
      <c r="A3621" t="str" cm="1">
        <f t="array" ref="A3621">IF(INDEX(CUEs!$A:$A,INT((ROW()-1)/7)*57+MOD(ROW()-1,7)+50)&lt;&gt;"","set "&amp;INDEX(CUEs!$A:$A,INT((ROW()-1)/7)*57+MOD(ROW()-1,7)+50)&amp;"=/ s "&amp;INDEX(CUEs!$B:$B,INT((ROW()-1)/7)*57+MOD(ROW()-1,7)+50),"")</f>
        <v/>
      </c>
    </row>
    <row r="3622" spans="1:1" x14ac:dyDescent="0.25">
      <c r="A3622" t="str" cm="1">
        <f t="array" ref="A3622">IF(INDEX(CUEs!$A:$A,INT((ROW()-1)/7)*57+MOD(ROW()-1,7)+50)&lt;&gt;"","set "&amp;INDEX(CUEs!$A:$A,INT((ROW()-1)/7)*57+MOD(ROW()-1,7)+50)&amp;"=/ s "&amp;INDEX(CUEs!$B:$B,INT((ROW()-1)/7)*57+MOD(ROW()-1,7)+50),"")</f>
        <v/>
      </c>
    </row>
    <row r="3623" spans="1:1" x14ac:dyDescent="0.25">
      <c r="A3623" t="str" cm="1">
        <f t="array" ref="A3623">IF(INDEX(CUEs!$A:$A,INT((ROW()-1)/7)*57+MOD(ROW()-1,7)+50)&lt;&gt;"","set "&amp;INDEX(CUEs!$A:$A,INT((ROW()-1)/7)*57+MOD(ROW()-1,7)+50)&amp;"=/ s "&amp;INDEX(CUEs!$B:$B,INT((ROW()-1)/7)*57+MOD(ROW()-1,7)+50),"")</f>
        <v/>
      </c>
    </row>
    <row r="3624" spans="1:1" x14ac:dyDescent="0.25">
      <c r="A3624" t="str" cm="1">
        <f t="array" ref="A3624">IF(INDEX(CUEs!$A:$A,INT((ROW()-1)/7)*57+MOD(ROW()-1,7)+50)&lt;&gt;"","set "&amp;INDEX(CUEs!$A:$A,INT((ROW()-1)/7)*57+MOD(ROW()-1,7)+50)&amp;"=/ s "&amp;INDEX(CUEs!$B:$B,INT((ROW()-1)/7)*57+MOD(ROW()-1,7)+50),"")</f>
        <v/>
      </c>
    </row>
    <row r="3625" spans="1:1" x14ac:dyDescent="0.25">
      <c r="A3625" t="str" cm="1">
        <f t="array" ref="A3625">IF(INDEX(CUEs!$A:$A,INT((ROW()-1)/7)*57+MOD(ROW()-1,7)+50)&lt;&gt;"","set "&amp;INDEX(CUEs!$A:$A,INT((ROW()-1)/7)*57+MOD(ROW()-1,7)+50)&amp;"=/ s "&amp;INDEX(CUEs!$B:$B,INT((ROW()-1)/7)*57+MOD(ROW()-1,7)+50),"")</f>
        <v/>
      </c>
    </row>
    <row r="3626" spans="1:1" x14ac:dyDescent="0.25">
      <c r="A3626" t="str" cm="1">
        <f t="array" ref="A3626">IF(INDEX(CUEs!$A:$A,INT((ROW()-1)/7)*57+MOD(ROW()-1,7)+50)&lt;&gt;"","set "&amp;INDEX(CUEs!$A:$A,INT((ROW()-1)/7)*57+MOD(ROW()-1,7)+50)&amp;"=/ s "&amp;INDEX(CUEs!$B:$B,INT((ROW()-1)/7)*57+MOD(ROW()-1,7)+50),"")</f>
        <v/>
      </c>
    </row>
    <row r="3627" spans="1:1" x14ac:dyDescent="0.25">
      <c r="A3627" t="str" cm="1">
        <f t="array" ref="A3627">IF(INDEX(CUEs!$A:$A,INT((ROW()-1)/7)*57+MOD(ROW()-1,7)+50)&lt;&gt;"","set "&amp;INDEX(CUEs!$A:$A,INT((ROW()-1)/7)*57+MOD(ROW()-1,7)+50)&amp;"=/ s "&amp;INDEX(CUEs!$B:$B,INT((ROW()-1)/7)*57+MOD(ROW()-1,7)+50),"")</f>
        <v/>
      </c>
    </row>
    <row r="3628" spans="1:1" x14ac:dyDescent="0.25">
      <c r="A3628" t="str" cm="1">
        <f t="array" ref="A3628">IF(INDEX(CUEs!$A:$A,INT((ROW()-1)/7)*57+MOD(ROW()-1,7)+50)&lt;&gt;"","set "&amp;INDEX(CUEs!$A:$A,INT((ROW()-1)/7)*57+MOD(ROW()-1,7)+50)&amp;"=/ s "&amp;INDEX(CUEs!$B:$B,INT((ROW()-1)/7)*57+MOD(ROW()-1,7)+50),"")</f>
        <v/>
      </c>
    </row>
    <row r="3629" spans="1:1" x14ac:dyDescent="0.25">
      <c r="A3629" t="str" cm="1">
        <f t="array" ref="A3629">IF(INDEX(CUEs!$A:$A,INT((ROW()-1)/7)*57+MOD(ROW()-1,7)+50)&lt;&gt;"","set "&amp;INDEX(CUEs!$A:$A,INT((ROW()-1)/7)*57+MOD(ROW()-1,7)+50)&amp;"=/ s "&amp;INDEX(CUEs!$B:$B,INT((ROW()-1)/7)*57+MOD(ROW()-1,7)+50),"")</f>
        <v/>
      </c>
    </row>
    <row r="3630" spans="1:1" x14ac:dyDescent="0.25">
      <c r="A3630" t="str" cm="1">
        <f t="array" ref="A3630">IF(INDEX(CUEs!$A:$A,INT((ROW()-1)/7)*57+MOD(ROW()-1,7)+50)&lt;&gt;"","set "&amp;INDEX(CUEs!$A:$A,INT((ROW()-1)/7)*57+MOD(ROW()-1,7)+50)&amp;"=/ s "&amp;INDEX(CUEs!$B:$B,INT((ROW()-1)/7)*57+MOD(ROW()-1,7)+50),"")</f>
        <v/>
      </c>
    </row>
    <row r="3631" spans="1:1" x14ac:dyDescent="0.25">
      <c r="A3631" t="str" cm="1">
        <f t="array" ref="A3631">IF(INDEX(CUEs!$A:$A,INT((ROW()-1)/7)*57+MOD(ROW()-1,7)+50)&lt;&gt;"","set "&amp;INDEX(CUEs!$A:$A,INT((ROW()-1)/7)*57+MOD(ROW()-1,7)+50)&amp;"=/ s "&amp;INDEX(CUEs!$B:$B,INT((ROW()-1)/7)*57+MOD(ROW()-1,7)+50),"")</f>
        <v/>
      </c>
    </row>
    <row r="3632" spans="1:1" x14ac:dyDescent="0.25">
      <c r="A3632" t="str" cm="1">
        <f t="array" ref="A3632">IF(INDEX(CUEs!$A:$A,INT((ROW()-1)/7)*57+MOD(ROW()-1,7)+50)&lt;&gt;"","set "&amp;INDEX(CUEs!$A:$A,INT((ROW()-1)/7)*57+MOD(ROW()-1,7)+50)&amp;"=/ s "&amp;INDEX(CUEs!$B:$B,INT((ROW()-1)/7)*57+MOD(ROW()-1,7)+50),"")</f>
        <v/>
      </c>
    </row>
    <row r="3633" spans="1:1" x14ac:dyDescent="0.25">
      <c r="A3633" t="str" cm="1">
        <f t="array" ref="A3633">IF(INDEX(CUEs!$A:$A,INT((ROW()-1)/7)*57+MOD(ROW()-1,7)+50)&lt;&gt;"","set "&amp;INDEX(CUEs!$A:$A,INT((ROW()-1)/7)*57+MOD(ROW()-1,7)+50)&amp;"=/ s "&amp;INDEX(CUEs!$B:$B,INT((ROW()-1)/7)*57+MOD(ROW()-1,7)+50),"")</f>
        <v/>
      </c>
    </row>
    <row r="3634" spans="1:1" x14ac:dyDescent="0.25">
      <c r="A3634" t="str" cm="1">
        <f t="array" ref="A3634">IF(INDEX(CUEs!$A:$A,INT((ROW()-1)/7)*57+MOD(ROW()-1,7)+50)&lt;&gt;"","set "&amp;INDEX(CUEs!$A:$A,INT((ROW()-1)/7)*57+MOD(ROW()-1,7)+50)&amp;"=/ s "&amp;INDEX(CUEs!$B:$B,INT((ROW()-1)/7)*57+MOD(ROW()-1,7)+50),"")</f>
        <v/>
      </c>
    </row>
    <row r="3635" spans="1:1" x14ac:dyDescent="0.25">
      <c r="A3635" t="str" cm="1">
        <f t="array" ref="A3635">IF(INDEX(CUEs!$A:$A,INT((ROW()-1)/7)*57+MOD(ROW()-1,7)+50)&lt;&gt;"","set "&amp;INDEX(CUEs!$A:$A,INT((ROW()-1)/7)*57+MOD(ROW()-1,7)+50)&amp;"=/ s "&amp;INDEX(CUEs!$B:$B,INT((ROW()-1)/7)*57+MOD(ROW()-1,7)+50),"")</f>
        <v/>
      </c>
    </row>
    <row r="3636" spans="1:1" x14ac:dyDescent="0.25">
      <c r="A3636" t="str" cm="1">
        <f t="array" ref="A3636">IF(INDEX(CUEs!$A:$A,INT((ROW()-1)/7)*57+MOD(ROW()-1,7)+50)&lt;&gt;"","set "&amp;INDEX(CUEs!$A:$A,INT((ROW()-1)/7)*57+MOD(ROW()-1,7)+50)&amp;"=/ s "&amp;INDEX(CUEs!$B:$B,INT((ROW()-1)/7)*57+MOD(ROW()-1,7)+50),"")</f>
        <v/>
      </c>
    </row>
    <row r="3637" spans="1:1" x14ac:dyDescent="0.25">
      <c r="A3637" t="str" cm="1">
        <f t="array" ref="A3637">IF(INDEX(CUEs!$A:$A,INT((ROW()-1)/7)*57+MOD(ROW()-1,7)+50)&lt;&gt;"","set "&amp;INDEX(CUEs!$A:$A,INT((ROW()-1)/7)*57+MOD(ROW()-1,7)+50)&amp;"=/ s "&amp;INDEX(CUEs!$B:$B,INT((ROW()-1)/7)*57+MOD(ROW()-1,7)+50),"")</f>
        <v/>
      </c>
    </row>
    <row r="3638" spans="1:1" x14ac:dyDescent="0.25">
      <c r="A3638" t="str" cm="1">
        <f t="array" ref="A3638">IF(INDEX(CUEs!$A:$A,INT((ROW()-1)/7)*57+MOD(ROW()-1,7)+50)&lt;&gt;"","set "&amp;INDEX(CUEs!$A:$A,INT((ROW()-1)/7)*57+MOD(ROW()-1,7)+50)&amp;"=/ s "&amp;INDEX(CUEs!$B:$B,INT((ROW()-1)/7)*57+MOD(ROW()-1,7)+50),"")</f>
        <v/>
      </c>
    </row>
    <row r="3639" spans="1:1" x14ac:dyDescent="0.25">
      <c r="A3639" t="str" cm="1">
        <f t="array" ref="A3639">IF(INDEX(CUEs!$A:$A,INT((ROW()-1)/7)*57+MOD(ROW()-1,7)+50)&lt;&gt;"","set "&amp;INDEX(CUEs!$A:$A,INT((ROW()-1)/7)*57+MOD(ROW()-1,7)+50)&amp;"=/ s "&amp;INDEX(CUEs!$B:$B,INT((ROW()-1)/7)*57+MOD(ROW()-1,7)+50),"")</f>
        <v/>
      </c>
    </row>
    <row r="3640" spans="1:1" x14ac:dyDescent="0.25">
      <c r="A3640" t="str" cm="1">
        <f t="array" ref="A3640">IF(INDEX(CUEs!$A:$A,INT((ROW()-1)/7)*57+MOD(ROW()-1,7)+50)&lt;&gt;"","set "&amp;INDEX(CUEs!$A:$A,INT((ROW()-1)/7)*57+MOD(ROW()-1,7)+50)&amp;"=/ s "&amp;INDEX(CUEs!$B:$B,INT((ROW()-1)/7)*57+MOD(ROW()-1,7)+50),"")</f>
        <v/>
      </c>
    </row>
    <row r="3641" spans="1:1" x14ac:dyDescent="0.25">
      <c r="A3641" t="str" cm="1">
        <f t="array" ref="A3641">IF(INDEX(CUEs!$A:$A,INT((ROW()-1)/7)*57+MOD(ROW()-1,7)+50)&lt;&gt;"","set "&amp;INDEX(CUEs!$A:$A,INT((ROW()-1)/7)*57+MOD(ROW()-1,7)+50)&amp;"=/ s "&amp;INDEX(CUEs!$B:$B,INT((ROW()-1)/7)*57+MOD(ROW()-1,7)+50),"")</f>
        <v/>
      </c>
    </row>
    <row r="3642" spans="1:1" x14ac:dyDescent="0.25">
      <c r="A3642" t="str" cm="1">
        <f t="array" ref="A3642">IF(INDEX(CUEs!$A:$A,INT((ROW()-1)/7)*57+MOD(ROW()-1,7)+50)&lt;&gt;"","set "&amp;INDEX(CUEs!$A:$A,INT((ROW()-1)/7)*57+MOD(ROW()-1,7)+50)&amp;"=/ s "&amp;INDEX(CUEs!$B:$B,INT((ROW()-1)/7)*57+MOD(ROW()-1,7)+50),"")</f>
        <v/>
      </c>
    </row>
    <row r="3643" spans="1:1" x14ac:dyDescent="0.25">
      <c r="A3643" t="str" cm="1">
        <f t="array" ref="A3643">IF(INDEX(CUEs!$A:$A,INT((ROW()-1)/7)*57+MOD(ROW()-1,7)+50)&lt;&gt;"","set "&amp;INDEX(CUEs!$A:$A,INT((ROW()-1)/7)*57+MOD(ROW()-1,7)+50)&amp;"=/ s "&amp;INDEX(CUEs!$B:$B,INT((ROW()-1)/7)*57+MOD(ROW()-1,7)+50),"")</f>
        <v/>
      </c>
    </row>
    <row r="3644" spans="1:1" x14ac:dyDescent="0.25">
      <c r="A3644" t="str" cm="1">
        <f t="array" ref="A3644">IF(INDEX(CUEs!$A:$A,INT((ROW()-1)/7)*57+MOD(ROW()-1,7)+50)&lt;&gt;"","set "&amp;INDEX(CUEs!$A:$A,INT((ROW()-1)/7)*57+MOD(ROW()-1,7)+50)&amp;"=/ s "&amp;INDEX(CUEs!$B:$B,INT((ROW()-1)/7)*57+MOD(ROW()-1,7)+50),"")</f>
        <v/>
      </c>
    </row>
    <row r="3645" spans="1:1" x14ac:dyDescent="0.25">
      <c r="A3645" t="str" cm="1">
        <f t="array" ref="A3645">IF(INDEX(CUEs!$A:$A,INT((ROW()-1)/7)*57+MOD(ROW()-1,7)+50)&lt;&gt;"","set "&amp;INDEX(CUEs!$A:$A,INT((ROW()-1)/7)*57+MOD(ROW()-1,7)+50)&amp;"=/ s "&amp;INDEX(CUEs!$B:$B,INT((ROW()-1)/7)*57+MOD(ROW()-1,7)+50),"")</f>
        <v/>
      </c>
    </row>
    <row r="3646" spans="1:1" x14ac:dyDescent="0.25">
      <c r="A3646" t="str" cm="1">
        <f t="array" ref="A3646">IF(INDEX(CUEs!$A:$A,INT((ROW()-1)/7)*57+MOD(ROW()-1,7)+50)&lt;&gt;"","set "&amp;INDEX(CUEs!$A:$A,INT((ROW()-1)/7)*57+MOD(ROW()-1,7)+50)&amp;"=/ s "&amp;INDEX(CUEs!$B:$B,INT((ROW()-1)/7)*57+MOD(ROW()-1,7)+50),"")</f>
        <v/>
      </c>
    </row>
    <row r="3647" spans="1:1" x14ac:dyDescent="0.25">
      <c r="A3647" t="str" cm="1">
        <f t="array" ref="A3647">IF(INDEX(CUEs!$A:$A,INT((ROW()-1)/7)*57+MOD(ROW()-1,7)+50)&lt;&gt;"","set "&amp;INDEX(CUEs!$A:$A,INT((ROW()-1)/7)*57+MOD(ROW()-1,7)+50)&amp;"=/ s "&amp;INDEX(CUEs!$B:$B,INT((ROW()-1)/7)*57+MOD(ROW()-1,7)+50),"")</f>
        <v/>
      </c>
    </row>
    <row r="3648" spans="1:1" x14ac:dyDescent="0.25">
      <c r="A3648" t="str" cm="1">
        <f t="array" ref="A3648">IF(INDEX(CUEs!$A:$A,INT((ROW()-1)/7)*57+MOD(ROW()-1,7)+50)&lt;&gt;"","set "&amp;INDEX(CUEs!$A:$A,INT((ROW()-1)/7)*57+MOD(ROW()-1,7)+50)&amp;"=/ s "&amp;INDEX(CUEs!$B:$B,INT((ROW()-1)/7)*57+MOD(ROW()-1,7)+50),"")</f>
        <v/>
      </c>
    </row>
    <row r="3649" spans="1:1" x14ac:dyDescent="0.25">
      <c r="A3649" t="str" cm="1">
        <f t="array" ref="A3649">IF(INDEX(CUEs!$A:$A,INT((ROW()-1)/7)*57+MOD(ROW()-1,7)+50)&lt;&gt;"","set "&amp;INDEX(CUEs!$A:$A,INT((ROW()-1)/7)*57+MOD(ROW()-1,7)+50)&amp;"=/ s "&amp;INDEX(CUEs!$B:$B,INT((ROW()-1)/7)*57+MOD(ROW()-1,7)+50),"")</f>
        <v/>
      </c>
    </row>
    <row r="3650" spans="1:1" x14ac:dyDescent="0.25">
      <c r="A3650" t="str" cm="1">
        <f t="array" ref="A3650">IF(INDEX(CUEs!$A:$A,INT((ROW()-1)/7)*57+MOD(ROW()-1,7)+50)&lt;&gt;"","set "&amp;INDEX(CUEs!$A:$A,INT((ROW()-1)/7)*57+MOD(ROW()-1,7)+50)&amp;"=/ s "&amp;INDEX(CUEs!$B:$B,INT((ROW()-1)/7)*57+MOD(ROW()-1,7)+50),"")</f>
        <v/>
      </c>
    </row>
    <row r="3651" spans="1:1" x14ac:dyDescent="0.25">
      <c r="A3651" t="str" cm="1">
        <f t="array" ref="A3651">IF(INDEX(CUEs!$A:$A,INT((ROW()-1)/7)*57+MOD(ROW()-1,7)+50)&lt;&gt;"","set "&amp;INDEX(CUEs!$A:$A,INT((ROW()-1)/7)*57+MOD(ROW()-1,7)+50)&amp;"=/ s "&amp;INDEX(CUEs!$B:$B,INT((ROW()-1)/7)*57+MOD(ROW()-1,7)+50),"")</f>
        <v/>
      </c>
    </row>
    <row r="3652" spans="1:1" x14ac:dyDescent="0.25">
      <c r="A3652" t="str" cm="1">
        <f t="array" ref="A3652">IF(INDEX(CUEs!$A:$A,INT((ROW()-1)/7)*57+MOD(ROW()-1,7)+50)&lt;&gt;"","set "&amp;INDEX(CUEs!$A:$A,INT((ROW()-1)/7)*57+MOD(ROW()-1,7)+50)&amp;"=/ s "&amp;INDEX(CUEs!$B:$B,INT((ROW()-1)/7)*57+MOD(ROW()-1,7)+50),"")</f>
        <v/>
      </c>
    </row>
    <row r="3653" spans="1:1" x14ac:dyDescent="0.25">
      <c r="A3653" t="str" cm="1">
        <f t="array" ref="A3653">IF(INDEX(CUEs!$A:$A,INT((ROW()-1)/7)*57+MOD(ROW()-1,7)+50)&lt;&gt;"","set "&amp;INDEX(CUEs!$A:$A,INT((ROW()-1)/7)*57+MOD(ROW()-1,7)+50)&amp;"=/ s "&amp;INDEX(CUEs!$B:$B,INT((ROW()-1)/7)*57+MOD(ROW()-1,7)+50),"")</f>
        <v/>
      </c>
    </row>
    <row r="3654" spans="1:1" x14ac:dyDescent="0.25">
      <c r="A3654" t="str" cm="1">
        <f t="array" ref="A3654">IF(INDEX(CUEs!$A:$A,INT((ROW()-1)/7)*57+MOD(ROW()-1,7)+50)&lt;&gt;"","set "&amp;INDEX(CUEs!$A:$A,INT((ROW()-1)/7)*57+MOD(ROW()-1,7)+50)&amp;"=/ s "&amp;INDEX(CUEs!$B:$B,INT((ROW()-1)/7)*57+MOD(ROW()-1,7)+50),"")</f>
        <v/>
      </c>
    </row>
    <row r="3655" spans="1:1" x14ac:dyDescent="0.25">
      <c r="A3655" t="str" cm="1">
        <f t="array" ref="A3655">IF(INDEX(CUEs!$A:$A,INT((ROW()-1)/7)*57+MOD(ROW()-1,7)+50)&lt;&gt;"","set "&amp;INDEX(CUEs!$A:$A,INT((ROW()-1)/7)*57+MOD(ROW()-1,7)+50)&amp;"=/ s "&amp;INDEX(CUEs!$B:$B,INT((ROW()-1)/7)*57+MOD(ROW()-1,7)+50),"")</f>
        <v/>
      </c>
    </row>
    <row r="3656" spans="1:1" x14ac:dyDescent="0.25">
      <c r="A3656" t="str" cm="1">
        <f t="array" ref="A3656">IF(INDEX(CUEs!$A:$A,INT((ROW()-1)/7)*57+MOD(ROW()-1,7)+50)&lt;&gt;"","set "&amp;INDEX(CUEs!$A:$A,INT((ROW()-1)/7)*57+MOD(ROW()-1,7)+50)&amp;"=/ s "&amp;INDEX(CUEs!$B:$B,INT((ROW()-1)/7)*57+MOD(ROW()-1,7)+50),"")</f>
        <v/>
      </c>
    </row>
    <row r="3657" spans="1:1" x14ac:dyDescent="0.25">
      <c r="A3657" t="str" cm="1">
        <f t="array" ref="A3657">IF(INDEX(CUEs!$A:$A,INT((ROW()-1)/7)*57+MOD(ROW()-1,7)+50)&lt;&gt;"","set "&amp;INDEX(CUEs!$A:$A,INT((ROW()-1)/7)*57+MOD(ROW()-1,7)+50)&amp;"=/ s "&amp;INDEX(CUEs!$B:$B,INT((ROW()-1)/7)*57+MOD(ROW()-1,7)+50),"")</f>
        <v/>
      </c>
    </row>
    <row r="3658" spans="1:1" x14ac:dyDescent="0.25">
      <c r="A3658" t="str" cm="1">
        <f t="array" ref="A3658">IF(INDEX(CUEs!$A:$A,INT((ROW()-1)/7)*57+MOD(ROW()-1,7)+50)&lt;&gt;"","set "&amp;INDEX(CUEs!$A:$A,INT((ROW()-1)/7)*57+MOD(ROW()-1,7)+50)&amp;"=/ s "&amp;INDEX(CUEs!$B:$B,INT((ROW()-1)/7)*57+MOD(ROW()-1,7)+50),"")</f>
        <v/>
      </c>
    </row>
    <row r="3659" spans="1:1" x14ac:dyDescent="0.25">
      <c r="A3659" t="str" cm="1">
        <f t="array" ref="A3659">IF(INDEX(CUEs!$A:$A,INT((ROW()-1)/7)*57+MOD(ROW()-1,7)+50)&lt;&gt;"","set "&amp;INDEX(CUEs!$A:$A,INT((ROW()-1)/7)*57+MOD(ROW()-1,7)+50)&amp;"=/ s "&amp;INDEX(CUEs!$B:$B,INT((ROW()-1)/7)*57+MOD(ROW()-1,7)+50),"")</f>
        <v/>
      </c>
    </row>
    <row r="3660" spans="1:1" x14ac:dyDescent="0.25">
      <c r="A3660" t="str" cm="1">
        <f t="array" ref="A3660">IF(INDEX(CUEs!$A:$A,INT((ROW()-1)/7)*57+MOD(ROW()-1,7)+50)&lt;&gt;"","set "&amp;INDEX(CUEs!$A:$A,INT((ROW()-1)/7)*57+MOD(ROW()-1,7)+50)&amp;"=/ s "&amp;INDEX(CUEs!$B:$B,INT((ROW()-1)/7)*57+MOD(ROW()-1,7)+50),"")</f>
        <v/>
      </c>
    </row>
    <row r="3661" spans="1:1" x14ac:dyDescent="0.25">
      <c r="A3661" t="str" cm="1">
        <f t="array" ref="A3661">IF(INDEX(CUEs!$A:$A,INT((ROW()-1)/7)*57+MOD(ROW()-1,7)+50)&lt;&gt;"","set "&amp;INDEX(CUEs!$A:$A,INT((ROW()-1)/7)*57+MOD(ROW()-1,7)+50)&amp;"=/ s "&amp;INDEX(CUEs!$B:$B,INT((ROW()-1)/7)*57+MOD(ROW()-1,7)+50),"")</f>
        <v/>
      </c>
    </row>
    <row r="3662" spans="1:1" x14ac:dyDescent="0.25">
      <c r="A3662" t="str" cm="1">
        <f t="array" ref="A3662">IF(INDEX(CUEs!$A:$A,INT((ROW()-1)/7)*57+MOD(ROW()-1,7)+50)&lt;&gt;"","set "&amp;INDEX(CUEs!$A:$A,INT((ROW()-1)/7)*57+MOD(ROW()-1,7)+50)&amp;"=/ s "&amp;INDEX(CUEs!$B:$B,INT((ROW()-1)/7)*57+MOD(ROW()-1,7)+50),"")</f>
        <v/>
      </c>
    </row>
    <row r="3663" spans="1:1" x14ac:dyDescent="0.25">
      <c r="A3663" t="str" cm="1">
        <f t="array" ref="A3663">IF(INDEX(CUEs!$A:$A,INT((ROW()-1)/7)*57+MOD(ROW()-1,7)+50)&lt;&gt;"","set "&amp;INDEX(CUEs!$A:$A,INT((ROW()-1)/7)*57+MOD(ROW()-1,7)+50)&amp;"=/ s "&amp;INDEX(CUEs!$B:$B,INT((ROW()-1)/7)*57+MOD(ROW()-1,7)+50),"")</f>
        <v/>
      </c>
    </row>
    <row r="3664" spans="1:1" x14ac:dyDescent="0.25">
      <c r="A3664" t="str" cm="1">
        <f t="array" ref="A3664">IF(INDEX(CUEs!$A:$A,INT((ROW()-1)/7)*57+MOD(ROW()-1,7)+50)&lt;&gt;"","set "&amp;INDEX(CUEs!$A:$A,INT((ROW()-1)/7)*57+MOD(ROW()-1,7)+50)&amp;"=/ s "&amp;INDEX(CUEs!$B:$B,INT((ROW()-1)/7)*57+MOD(ROW()-1,7)+50),"")</f>
        <v/>
      </c>
    </row>
    <row r="3665" spans="1:1" x14ac:dyDescent="0.25">
      <c r="A3665" t="str" cm="1">
        <f t="array" ref="A3665">IF(INDEX(CUEs!$A:$A,INT((ROW()-1)/7)*57+MOD(ROW()-1,7)+50)&lt;&gt;"","set "&amp;INDEX(CUEs!$A:$A,INT((ROW()-1)/7)*57+MOD(ROW()-1,7)+50)&amp;"=/ s "&amp;INDEX(CUEs!$B:$B,INT((ROW()-1)/7)*57+MOD(ROW()-1,7)+50),"")</f>
        <v/>
      </c>
    </row>
    <row r="3666" spans="1:1" x14ac:dyDescent="0.25">
      <c r="A3666" t="str" cm="1">
        <f t="array" ref="A3666">IF(INDEX(CUEs!$A:$A,INT((ROW()-1)/7)*57+MOD(ROW()-1,7)+50)&lt;&gt;"","set "&amp;INDEX(CUEs!$A:$A,INT((ROW()-1)/7)*57+MOD(ROW()-1,7)+50)&amp;"=/ s "&amp;INDEX(CUEs!$B:$B,INT((ROW()-1)/7)*57+MOD(ROW()-1,7)+50),"")</f>
        <v/>
      </c>
    </row>
    <row r="3667" spans="1:1" x14ac:dyDescent="0.25">
      <c r="A3667" t="str" cm="1">
        <f t="array" ref="A3667">IF(INDEX(CUEs!$A:$A,INT((ROW()-1)/7)*57+MOD(ROW()-1,7)+50)&lt;&gt;"","set "&amp;INDEX(CUEs!$A:$A,INT((ROW()-1)/7)*57+MOD(ROW()-1,7)+50)&amp;"=/ s "&amp;INDEX(CUEs!$B:$B,INT((ROW()-1)/7)*57+MOD(ROW()-1,7)+50),"")</f>
        <v/>
      </c>
    </row>
    <row r="3668" spans="1:1" x14ac:dyDescent="0.25">
      <c r="A3668" t="str" cm="1">
        <f t="array" ref="A3668">IF(INDEX(CUEs!$A:$A,INT((ROW()-1)/7)*57+MOD(ROW()-1,7)+50)&lt;&gt;"","set "&amp;INDEX(CUEs!$A:$A,INT((ROW()-1)/7)*57+MOD(ROW()-1,7)+50)&amp;"=/ s "&amp;INDEX(CUEs!$B:$B,INT((ROW()-1)/7)*57+MOD(ROW()-1,7)+50),"")</f>
        <v/>
      </c>
    </row>
    <row r="3669" spans="1:1" x14ac:dyDescent="0.25">
      <c r="A3669" t="str" cm="1">
        <f t="array" ref="A3669">IF(INDEX(CUEs!$A:$A,INT((ROW()-1)/7)*57+MOD(ROW()-1,7)+50)&lt;&gt;"","set "&amp;INDEX(CUEs!$A:$A,INT((ROW()-1)/7)*57+MOD(ROW()-1,7)+50)&amp;"=/ s "&amp;INDEX(CUEs!$B:$B,INT((ROW()-1)/7)*57+MOD(ROW()-1,7)+50),"")</f>
        <v/>
      </c>
    </row>
    <row r="3670" spans="1:1" x14ac:dyDescent="0.25">
      <c r="A3670" t="str" cm="1">
        <f t="array" ref="A3670">IF(INDEX(CUEs!$A:$A,INT((ROW()-1)/7)*57+MOD(ROW()-1,7)+50)&lt;&gt;"","set "&amp;INDEX(CUEs!$A:$A,INT((ROW()-1)/7)*57+MOD(ROW()-1,7)+50)&amp;"=/ s "&amp;INDEX(CUEs!$B:$B,INT((ROW()-1)/7)*57+MOD(ROW()-1,7)+50),"")</f>
        <v/>
      </c>
    </row>
    <row r="3671" spans="1:1" x14ac:dyDescent="0.25">
      <c r="A3671" t="str" cm="1">
        <f t="array" ref="A3671">IF(INDEX(CUEs!$A:$A,INT((ROW()-1)/7)*57+MOD(ROW()-1,7)+50)&lt;&gt;"","set "&amp;INDEX(CUEs!$A:$A,INT((ROW()-1)/7)*57+MOD(ROW()-1,7)+50)&amp;"=/ s "&amp;INDEX(CUEs!$B:$B,INT((ROW()-1)/7)*57+MOD(ROW()-1,7)+50),"")</f>
        <v/>
      </c>
    </row>
    <row r="3672" spans="1:1" x14ac:dyDescent="0.25">
      <c r="A3672" t="str" cm="1">
        <f t="array" ref="A3672">IF(INDEX(CUEs!$A:$A,INT((ROW()-1)/7)*57+MOD(ROW()-1,7)+50)&lt;&gt;"","set "&amp;INDEX(CUEs!$A:$A,INT((ROW()-1)/7)*57+MOD(ROW()-1,7)+50)&amp;"=/ s "&amp;INDEX(CUEs!$B:$B,INT((ROW()-1)/7)*57+MOD(ROW()-1,7)+50),"")</f>
        <v/>
      </c>
    </row>
    <row r="3673" spans="1:1" x14ac:dyDescent="0.25">
      <c r="A3673" t="str" cm="1">
        <f t="array" ref="A3673">IF(INDEX(CUEs!$A:$A,INT((ROW()-1)/7)*57+MOD(ROW()-1,7)+50)&lt;&gt;"","set "&amp;INDEX(CUEs!$A:$A,INT((ROW()-1)/7)*57+MOD(ROW()-1,7)+50)&amp;"=/ s "&amp;INDEX(CUEs!$B:$B,INT((ROW()-1)/7)*57+MOD(ROW()-1,7)+50),"")</f>
        <v/>
      </c>
    </row>
    <row r="3674" spans="1:1" x14ac:dyDescent="0.25">
      <c r="A3674" t="str" cm="1">
        <f t="array" ref="A3674">IF(INDEX(CUEs!$A:$A,INT((ROW()-1)/7)*57+MOD(ROW()-1,7)+50)&lt;&gt;"","set "&amp;INDEX(CUEs!$A:$A,INT((ROW()-1)/7)*57+MOD(ROW()-1,7)+50)&amp;"=/ s "&amp;INDEX(CUEs!$B:$B,INT((ROW()-1)/7)*57+MOD(ROW()-1,7)+50),"")</f>
        <v/>
      </c>
    </row>
    <row r="3675" spans="1:1" x14ac:dyDescent="0.25">
      <c r="A3675" t="str" cm="1">
        <f t="array" ref="A3675">IF(INDEX(CUEs!$A:$A,INT((ROW()-1)/7)*57+MOD(ROW()-1,7)+50)&lt;&gt;"","set "&amp;INDEX(CUEs!$A:$A,INT((ROW()-1)/7)*57+MOD(ROW()-1,7)+50)&amp;"=/ s "&amp;INDEX(CUEs!$B:$B,INT((ROW()-1)/7)*57+MOD(ROW()-1,7)+50),"")</f>
        <v/>
      </c>
    </row>
    <row r="3676" spans="1:1" x14ac:dyDescent="0.25">
      <c r="A3676" t="str" cm="1">
        <f t="array" ref="A3676">IF(INDEX(CUEs!$A:$A,INT((ROW()-1)/7)*57+MOD(ROW()-1,7)+50)&lt;&gt;"","set "&amp;INDEX(CUEs!$A:$A,INT((ROW()-1)/7)*57+MOD(ROW()-1,7)+50)&amp;"=/ s "&amp;INDEX(CUEs!$B:$B,INT((ROW()-1)/7)*57+MOD(ROW()-1,7)+50),"")</f>
        <v/>
      </c>
    </row>
    <row r="3677" spans="1:1" x14ac:dyDescent="0.25">
      <c r="A3677" t="str" cm="1">
        <f t="array" ref="A3677">IF(INDEX(CUEs!$A:$A,INT((ROW()-1)/7)*57+MOD(ROW()-1,7)+50)&lt;&gt;"","set "&amp;INDEX(CUEs!$A:$A,INT((ROW()-1)/7)*57+MOD(ROW()-1,7)+50)&amp;"=/ s "&amp;INDEX(CUEs!$B:$B,INT((ROW()-1)/7)*57+MOD(ROW()-1,7)+50),"")</f>
        <v/>
      </c>
    </row>
    <row r="3678" spans="1:1" x14ac:dyDescent="0.25">
      <c r="A3678" t="str" cm="1">
        <f t="array" ref="A3678">IF(INDEX(CUEs!$A:$A,INT((ROW()-1)/7)*57+MOD(ROW()-1,7)+50)&lt;&gt;"","set "&amp;INDEX(CUEs!$A:$A,INT((ROW()-1)/7)*57+MOD(ROW()-1,7)+50)&amp;"=/ s "&amp;INDEX(CUEs!$B:$B,INT((ROW()-1)/7)*57+MOD(ROW()-1,7)+50),"")</f>
        <v/>
      </c>
    </row>
    <row r="3679" spans="1:1" x14ac:dyDescent="0.25">
      <c r="A3679" t="str" cm="1">
        <f t="array" ref="A3679">IF(INDEX(CUEs!$A:$A,INT((ROW()-1)/7)*57+MOD(ROW()-1,7)+50)&lt;&gt;"","set "&amp;INDEX(CUEs!$A:$A,INT((ROW()-1)/7)*57+MOD(ROW()-1,7)+50)&amp;"=/ s "&amp;INDEX(CUEs!$B:$B,INT((ROW()-1)/7)*57+MOD(ROW()-1,7)+50),"")</f>
        <v/>
      </c>
    </row>
    <row r="3680" spans="1:1" x14ac:dyDescent="0.25">
      <c r="A3680" t="str" cm="1">
        <f t="array" ref="A3680">IF(INDEX(CUEs!$A:$A,INT((ROW()-1)/7)*57+MOD(ROW()-1,7)+50)&lt;&gt;"","set "&amp;INDEX(CUEs!$A:$A,INT((ROW()-1)/7)*57+MOD(ROW()-1,7)+50)&amp;"=/ s "&amp;INDEX(CUEs!$B:$B,INT((ROW()-1)/7)*57+MOD(ROW()-1,7)+50),"")</f>
        <v/>
      </c>
    </row>
    <row r="3681" spans="1:1" x14ac:dyDescent="0.25">
      <c r="A3681" t="str" cm="1">
        <f t="array" ref="A3681">IF(INDEX(CUEs!$A:$A,INT((ROW()-1)/7)*57+MOD(ROW()-1,7)+50)&lt;&gt;"","set "&amp;INDEX(CUEs!$A:$A,INT((ROW()-1)/7)*57+MOD(ROW()-1,7)+50)&amp;"=/ s "&amp;INDEX(CUEs!$B:$B,INT((ROW()-1)/7)*57+MOD(ROW()-1,7)+50),"")</f>
        <v/>
      </c>
    </row>
    <row r="3682" spans="1:1" x14ac:dyDescent="0.25">
      <c r="A3682" t="str" cm="1">
        <f t="array" ref="A3682">IF(INDEX(CUEs!$A:$A,INT((ROW()-1)/7)*57+MOD(ROW()-1,7)+50)&lt;&gt;"","set "&amp;INDEX(CUEs!$A:$A,INT((ROW()-1)/7)*57+MOD(ROW()-1,7)+50)&amp;"=/ s "&amp;INDEX(CUEs!$B:$B,INT((ROW()-1)/7)*57+MOD(ROW()-1,7)+50),"")</f>
        <v/>
      </c>
    </row>
    <row r="3683" spans="1:1" x14ac:dyDescent="0.25">
      <c r="A3683" t="str" cm="1">
        <f t="array" ref="A3683">IF(INDEX(CUEs!$A:$A,INT((ROW()-1)/7)*57+MOD(ROW()-1,7)+50)&lt;&gt;"","set "&amp;INDEX(CUEs!$A:$A,INT((ROW()-1)/7)*57+MOD(ROW()-1,7)+50)&amp;"=/ s "&amp;INDEX(CUEs!$B:$B,INT((ROW()-1)/7)*57+MOD(ROW()-1,7)+50),"")</f>
        <v/>
      </c>
    </row>
    <row r="3684" spans="1:1" x14ac:dyDescent="0.25">
      <c r="A3684" t="str" cm="1">
        <f t="array" ref="A3684">IF(INDEX(CUEs!$A:$A,INT((ROW()-1)/7)*57+MOD(ROW()-1,7)+50)&lt;&gt;"","set "&amp;INDEX(CUEs!$A:$A,INT((ROW()-1)/7)*57+MOD(ROW()-1,7)+50)&amp;"=/ s "&amp;INDEX(CUEs!$B:$B,INT((ROW()-1)/7)*57+MOD(ROW()-1,7)+50),"")</f>
        <v/>
      </c>
    </row>
    <row r="3685" spans="1:1" x14ac:dyDescent="0.25">
      <c r="A3685" t="str" cm="1">
        <f t="array" ref="A3685">IF(INDEX(CUEs!$A:$A,INT((ROW()-1)/7)*57+MOD(ROW()-1,7)+50)&lt;&gt;"","set "&amp;INDEX(CUEs!$A:$A,INT((ROW()-1)/7)*57+MOD(ROW()-1,7)+50)&amp;"=/ s "&amp;INDEX(CUEs!$B:$B,INT((ROW()-1)/7)*57+MOD(ROW()-1,7)+50),"")</f>
        <v/>
      </c>
    </row>
    <row r="3686" spans="1:1" x14ac:dyDescent="0.25">
      <c r="A3686" t="str" cm="1">
        <f t="array" ref="A3686">IF(INDEX(CUEs!$A:$A,INT((ROW()-1)/7)*57+MOD(ROW()-1,7)+50)&lt;&gt;"","set "&amp;INDEX(CUEs!$A:$A,INT((ROW()-1)/7)*57+MOD(ROW()-1,7)+50)&amp;"=/ s "&amp;INDEX(CUEs!$B:$B,INT((ROW()-1)/7)*57+MOD(ROW()-1,7)+50),"")</f>
        <v/>
      </c>
    </row>
    <row r="3687" spans="1:1" x14ac:dyDescent="0.25">
      <c r="A3687" t="str" cm="1">
        <f t="array" ref="A3687">IF(INDEX(CUEs!$A:$A,INT((ROW()-1)/7)*57+MOD(ROW()-1,7)+50)&lt;&gt;"","set "&amp;INDEX(CUEs!$A:$A,INT((ROW()-1)/7)*57+MOD(ROW()-1,7)+50)&amp;"=/ s "&amp;INDEX(CUEs!$B:$B,INT((ROW()-1)/7)*57+MOD(ROW()-1,7)+50),"")</f>
        <v/>
      </c>
    </row>
    <row r="3688" spans="1:1" x14ac:dyDescent="0.25">
      <c r="A3688" t="str" cm="1">
        <f t="array" ref="A3688">IF(INDEX(CUEs!$A:$A,INT((ROW()-1)/7)*57+MOD(ROW()-1,7)+50)&lt;&gt;"","set "&amp;INDEX(CUEs!$A:$A,INT((ROW()-1)/7)*57+MOD(ROW()-1,7)+50)&amp;"=/ s "&amp;INDEX(CUEs!$B:$B,INT((ROW()-1)/7)*57+MOD(ROW()-1,7)+50),"")</f>
        <v/>
      </c>
    </row>
    <row r="3689" spans="1:1" x14ac:dyDescent="0.25">
      <c r="A3689" t="str" cm="1">
        <f t="array" ref="A3689">IF(INDEX(CUEs!$A:$A,INT((ROW()-1)/7)*57+MOD(ROW()-1,7)+50)&lt;&gt;"","set "&amp;INDEX(CUEs!$A:$A,INT((ROW()-1)/7)*57+MOD(ROW()-1,7)+50)&amp;"=/ s "&amp;INDEX(CUEs!$B:$B,INT((ROW()-1)/7)*57+MOD(ROW()-1,7)+50),"")</f>
        <v/>
      </c>
    </row>
    <row r="3690" spans="1:1" x14ac:dyDescent="0.25">
      <c r="A3690" t="str" cm="1">
        <f t="array" ref="A3690">IF(INDEX(CUEs!$A:$A,INT((ROW()-1)/7)*57+MOD(ROW()-1,7)+50)&lt;&gt;"","set "&amp;INDEX(CUEs!$A:$A,INT((ROW()-1)/7)*57+MOD(ROW()-1,7)+50)&amp;"=/ s "&amp;INDEX(CUEs!$B:$B,INT((ROW()-1)/7)*57+MOD(ROW()-1,7)+50),"")</f>
        <v/>
      </c>
    </row>
    <row r="3691" spans="1:1" x14ac:dyDescent="0.25">
      <c r="A3691" t="str" cm="1">
        <f t="array" ref="A3691">IF(INDEX(CUEs!$A:$A,INT((ROW()-1)/7)*57+MOD(ROW()-1,7)+50)&lt;&gt;"","set "&amp;INDEX(CUEs!$A:$A,INT((ROW()-1)/7)*57+MOD(ROW()-1,7)+50)&amp;"=/ s "&amp;INDEX(CUEs!$B:$B,INT((ROW()-1)/7)*57+MOD(ROW()-1,7)+50),"")</f>
        <v/>
      </c>
    </row>
    <row r="3692" spans="1:1" x14ac:dyDescent="0.25">
      <c r="A3692" t="str" cm="1">
        <f t="array" ref="A3692">IF(INDEX(CUEs!$A:$A,INT((ROW()-1)/7)*57+MOD(ROW()-1,7)+50)&lt;&gt;"","set "&amp;INDEX(CUEs!$A:$A,INT((ROW()-1)/7)*57+MOD(ROW()-1,7)+50)&amp;"=/ s "&amp;INDEX(CUEs!$B:$B,INT((ROW()-1)/7)*57+MOD(ROW()-1,7)+50),"")</f>
        <v/>
      </c>
    </row>
    <row r="3693" spans="1:1" x14ac:dyDescent="0.25">
      <c r="A3693" t="str" cm="1">
        <f t="array" ref="A3693">IF(INDEX(CUEs!$A:$A,INT((ROW()-1)/7)*57+MOD(ROW()-1,7)+50)&lt;&gt;"","set "&amp;INDEX(CUEs!$A:$A,INT((ROW()-1)/7)*57+MOD(ROW()-1,7)+50)&amp;"=/ s "&amp;INDEX(CUEs!$B:$B,INT((ROW()-1)/7)*57+MOD(ROW()-1,7)+50),"")</f>
        <v/>
      </c>
    </row>
    <row r="3694" spans="1:1" x14ac:dyDescent="0.25">
      <c r="A3694" t="str" cm="1">
        <f t="array" ref="A3694">IF(INDEX(CUEs!$A:$A,INT((ROW()-1)/7)*57+MOD(ROW()-1,7)+50)&lt;&gt;"","set "&amp;INDEX(CUEs!$A:$A,INT((ROW()-1)/7)*57+MOD(ROW()-1,7)+50)&amp;"=/ s "&amp;INDEX(CUEs!$B:$B,INT((ROW()-1)/7)*57+MOD(ROW()-1,7)+50),"")</f>
        <v/>
      </c>
    </row>
    <row r="3695" spans="1:1" x14ac:dyDescent="0.25">
      <c r="A3695" t="str" cm="1">
        <f t="array" ref="A3695">IF(INDEX(CUEs!$A:$A,INT((ROW()-1)/7)*57+MOD(ROW()-1,7)+50)&lt;&gt;"","set "&amp;INDEX(CUEs!$A:$A,INT((ROW()-1)/7)*57+MOD(ROW()-1,7)+50)&amp;"=/ s "&amp;INDEX(CUEs!$B:$B,INT((ROW()-1)/7)*57+MOD(ROW()-1,7)+50),"")</f>
        <v/>
      </c>
    </row>
    <row r="3696" spans="1:1" x14ac:dyDescent="0.25">
      <c r="A3696" t="str" cm="1">
        <f t="array" ref="A3696">IF(INDEX(CUEs!$A:$A,INT((ROW()-1)/7)*57+MOD(ROW()-1,7)+50)&lt;&gt;"","set "&amp;INDEX(CUEs!$A:$A,INT((ROW()-1)/7)*57+MOD(ROW()-1,7)+50)&amp;"=/ s "&amp;INDEX(CUEs!$B:$B,INT((ROW()-1)/7)*57+MOD(ROW()-1,7)+50),"")</f>
        <v/>
      </c>
    </row>
    <row r="3697" spans="1:1" x14ac:dyDescent="0.25">
      <c r="A3697" t="str" cm="1">
        <f t="array" ref="A3697">IF(INDEX(CUEs!$A:$A,INT((ROW()-1)/7)*57+MOD(ROW()-1,7)+50)&lt;&gt;"","set "&amp;INDEX(CUEs!$A:$A,INT((ROW()-1)/7)*57+MOD(ROW()-1,7)+50)&amp;"=/ s "&amp;INDEX(CUEs!$B:$B,INT((ROW()-1)/7)*57+MOD(ROW()-1,7)+50),"")</f>
        <v/>
      </c>
    </row>
    <row r="3698" spans="1:1" x14ac:dyDescent="0.25">
      <c r="A3698" t="str" cm="1">
        <f t="array" ref="A3698">IF(INDEX(CUEs!$A:$A,INT((ROW()-1)/7)*57+MOD(ROW()-1,7)+50)&lt;&gt;"","set "&amp;INDEX(CUEs!$A:$A,INT((ROW()-1)/7)*57+MOD(ROW()-1,7)+50)&amp;"=/ s "&amp;INDEX(CUEs!$B:$B,INT((ROW()-1)/7)*57+MOD(ROW()-1,7)+50),"")</f>
        <v/>
      </c>
    </row>
    <row r="3699" spans="1:1" x14ac:dyDescent="0.25">
      <c r="A3699" t="str" cm="1">
        <f t="array" ref="A3699">IF(INDEX(CUEs!$A:$A,INT((ROW()-1)/7)*57+MOD(ROW()-1,7)+50)&lt;&gt;"","set "&amp;INDEX(CUEs!$A:$A,INT((ROW()-1)/7)*57+MOD(ROW()-1,7)+50)&amp;"=/ s "&amp;INDEX(CUEs!$B:$B,INT((ROW()-1)/7)*57+MOD(ROW()-1,7)+50),"")</f>
        <v/>
      </c>
    </row>
    <row r="3700" spans="1:1" x14ac:dyDescent="0.25">
      <c r="A3700" t="str" cm="1">
        <f t="array" ref="A3700">IF(INDEX(CUEs!$A:$A,INT((ROW()-1)/7)*57+MOD(ROW()-1,7)+50)&lt;&gt;"","set "&amp;INDEX(CUEs!$A:$A,INT((ROW()-1)/7)*57+MOD(ROW()-1,7)+50)&amp;"=/ s "&amp;INDEX(CUEs!$B:$B,INT((ROW()-1)/7)*57+MOD(ROW()-1,7)+50),"")</f>
        <v/>
      </c>
    </row>
    <row r="3701" spans="1:1" x14ac:dyDescent="0.25">
      <c r="A3701" t="str" cm="1">
        <f t="array" ref="A3701">IF(INDEX(CUEs!$A:$A,INT((ROW()-1)/7)*57+MOD(ROW()-1,7)+50)&lt;&gt;"","set "&amp;INDEX(CUEs!$A:$A,INT((ROW()-1)/7)*57+MOD(ROW()-1,7)+50)&amp;"=/ s "&amp;INDEX(CUEs!$B:$B,INT((ROW()-1)/7)*57+MOD(ROW()-1,7)+50),"")</f>
        <v/>
      </c>
    </row>
    <row r="3702" spans="1:1" x14ac:dyDescent="0.25">
      <c r="A3702" t="str" cm="1">
        <f t="array" ref="A3702">IF(INDEX(CUEs!$A:$A,INT((ROW()-1)/7)*57+MOD(ROW()-1,7)+50)&lt;&gt;"","set "&amp;INDEX(CUEs!$A:$A,INT((ROW()-1)/7)*57+MOD(ROW()-1,7)+50)&amp;"=/ s "&amp;INDEX(CUEs!$B:$B,INT((ROW()-1)/7)*57+MOD(ROW()-1,7)+50),"")</f>
        <v/>
      </c>
    </row>
    <row r="3703" spans="1:1" x14ac:dyDescent="0.25">
      <c r="A3703" t="str" cm="1">
        <f t="array" ref="A3703">IF(INDEX(CUEs!$A:$A,INT((ROW()-1)/7)*57+MOD(ROW()-1,7)+50)&lt;&gt;"","set "&amp;INDEX(CUEs!$A:$A,INT((ROW()-1)/7)*57+MOD(ROW()-1,7)+50)&amp;"=/ s "&amp;INDEX(CUEs!$B:$B,INT((ROW()-1)/7)*57+MOD(ROW()-1,7)+50),"")</f>
        <v/>
      </c>
    </row>
    <row r="3704" spans="1:1" x14ac:dyDescent="0.25">
      <c r="A3704" t="str" cm="1">
        <f t="array" ref="A3704">IF(INDEX(CUEs!$A:$A,INT((ROW()-1)/7)*57+MOD(ROW()-1,7)+50)&lt;&gt;"","set "&amp;INDEX(CUEs!$A:$A,INT((ROW()-1)/7)*57+MOD(ROW()-1,7)+50)&amp;"=/ s "&amp;INDEX(CUEs!$B:$B,INT((ROW()-1)/7)*57+MOD(ROW()-1,7)+50),"")</f>
        <v/>
      </c>
    </row>
    <row r="3705" spans="1:1" x14ac:dyDescent="0.25">
      <c r="A3705" t="str" cm="1">
        <f t="array" ref="A3705">IF(INDEX(CUEs!$A:$A,INT((ROW()-1)/7)*57+MOD(ROW()-1,7)+50)&lt;&gt;"","set "&amp;INDEX(CUEs!$A:$A,INT((ROW()-1)/7)*57+MOD(ROW()-1,7)+50)&amp;"=/ s "&amp;INDEX(CUEs!$B:$B,INT((ROW()-1)/7)*57+MOD(ROW()-1,7)+50),"")</f>
        <v/>
      </c>
    </row>
    <row r="3706" spans="1:1" x14ac:dyDescent="0.25">
      <c r="A3706" t="str" cm="1">
        <f t="array" ref="A3706">IF(INDEX(CUEs!$A:$A,INT((ROW()-1)/7)*57+MOD(ROW()-1,7)+50)&lt;&gt;"","set "&amp;INDEX(CUEs!$A:$A,INT((ROW()-1)/7)*57+MOD(ROW()-1,7)+50)&amp;"=/ s "&amp;INDEX(CUEs!$B:$B,INT((ROW()-1)/7)*57+MOD(ROW()-1,7)+50),"")</f>
        <v/>
      </c>
    </row>
    <row r="3707" spans="1:1" x14ac:dyDescent="0.25">
      <c r="A3707" t="str" cm="1">
        <f t="array" ref="A3707">IF(INDEX(CUEs!$A:$A,INT((ROW()-1)/7)*57+MOD(ROW()-1,7)+50)&lt;&gt;"","set "&amp;INDEX(CUEs!$A:$A,INT((ROW()-1)/7)*57+MOD(ROW()-1,7)+50)&amp;"=/ s "&amp;INDEX(CUEs!$B:$B,INT((ROW()-1)/7)*57+MOD(ROW()-1,7)+50),"")</f>
        <v/>
      </c>
    </row>
    <row r="3708" spans="1:1" x14ac:dyDescent="0.25">
      <c r="A3708" t="str" cm="1">
        <f t="array" ref="A3708">IF(INDEX(CUEs!$A:$A,INT((ROW()-1)/7)*57+MOD(ROW()-1,7)+50)&lt;&gt;"","set "&amp;INDEX(CUEs!$A:$A,INT((ROW()-1)/7)*57+MOD(ROW()-1,7)+50)&amp;"=/ s "&amp;INDEX(CUEs!$B:$B,INT((ROW()-1)/7)*57+MOD(ROW()-1,7)+50),"")</f>
        <v/>
      </c>
    </row>
    <row r="3709" spans="1:1" x14ac:dyDescent="0.25">
      <c r="A3709" t="str" cm="1">
        <f t="array" ref="A3709">IF(INDEX(CUEs!$A:$A,INT((ROW()-1)/7)*57+MOD(ROW()-1,7)+50)&lt;&gt;"","set "&amp;INDEX(CUEs!$A:$A,INT((ROW()-1)/7)*57+MOD(ROW()-1,7)+50)&amp;"=/ s "&amp;INDEX(CUEs!$B:$B,INT((ROW()-1)/7)*57+MOD(ROW()-1,7)+50),"")</f>
        <v/>
      </c>
    </row>
    <row r="3710" spans="1:1" x14ac:dyDescent="0.25">
      <c r="A3710" t="str" cm="1">
        <f t="array" ref="A3710">IF(INDEX(CUEs!$A:$A,INT((ROW()-1)/7)*57+MOD(ROW()-1,7)+50)&lt;&gt;"","set "&amp;INDEX(CUEs!$A:$A,INT((ROW()-1)/7)*57+MOD(ROW()-1,7)+50)&amp;"=/ s "&amp;INDEX(CUEs!$B:$B,INT((ROW()-1)/7)*57+MOD(ROW()-1,7)+50),"")</f>
        <v/>
      </c>
    </row>
    <row r="3711" spans="1:1" x14ac:dyDescent="0.25">
      <c r="A3711" t="str" cm="1">
        <f t="array" ref="A3711">IF(INDEX(CUEs!$A:$A,INT((ROW()-1)/7)*57+MOD(ROW()-1,7)+50)&lt;&gt;"","set "&amp;INDEX(CUEs!$A:$A,INT((ROW()-1)/7)*57+MOD(ROW()-1,7)+50)&amp;"=/ s "&amp;INDEX(CUEs!$B:$B,INT((ROW()-1)/7)*57+MOD(ROW()-1,7)+50),"")</f>
        <v/>
      </c>
    </row>
    <row r="3712" spans="1:1" x14ac:dyDescent="0.25">
      <c r="A3712" t="str" cm="1">
        <f t="array" ref="A3712">IF(INDEX(CUEs!$A:$A,INT((ROW()-1)/7)*57+MOD(ROW()-1,7)+50)&lt;&gt;"","set "&amp;INDEX(CUEs!$A:$A,INT((ROW()-1)/7)*57+MOD(ROW()-1,7)+50)&amp;"=/ s "&amp;INDEX(CUEs!$B:$B,INT((ROW()-1)/7)*57+MOD(ROW()-1,7)+50),"")</f>
        <v/>
      </c>
    </row>
    <row r="3713" spans="1:1" x14ac:dyDescent="0.25">
      <c r="A3713" t="str" cm="1">
        <f t="array" ref="A3713">IF(INDEX(CUEs!$A:$A,INT((ROW()-1)/7)*57+MOD(ROW()-1,7)+50)&lt;&gt;"","set "&amp;INDEX(CUEs!$A:$A,INT((ROW()-1)/7)*57+MOD(ROW()-1,7)+50)&amp;"=/ s "&amp;INDEX(CUEs!$B:$B,INT((ROW()-1)/7)*57+MOD(ROW()-1,7)+50),"")</f>
        <v/>
      </c>
    </row>
    <row r="3714" spans="1:1" x14ac:dyDescent="0.25">
      <c r="A3714" t="str" cm="1">
        <f t="array" ref="A3714">IF(INDEX(CUEs!$A:$A,INT((ROW()-1)/7)*57+MOD(ROW()-1,7)+50)&lt;&gt;"","set "&amp;INDEX(CUEs!$A:$A,INT((ROW()-1)/7)*57+MOD(ROW()-1,7)+50)&amp;"=/ s "&amp;INDEX(CUEs!$B:$B,INT((ROW()-1)/7)*57+MOD(ROW()-1,7)+50),"")</f>
        <v/>
      </c>
    </row>
    <row r="3715" spans="1:1" x14ac:dyDescent="0.25">
      <c r="A3715" t="str" cm="1">
        <f t="array" ref="A3715">IF(INDEX(CUEs!$A:$A,INT((ROW()-1)/7)*57+MOD(ROW()-1,7)+50)&lt;&gt;"","set "&amp;INDEX(CUEs!$A:$A,INT((ROW()-1)/7)*57+MOD(ROW()-1,7)+50)&amp;"=/ s "&amp;INDEX(CUEs!$B:$B,INT((ROW()-1)/7)*57+MOD(ROW()-1,7)+50),"")</f>
        <v/>
      </c>
    </row>
    <row r="3716" spans="1:1" x14ac:dyDescent="0.25">
      <c r="A3716" t="str" cm="1">
        <f t="array" ref="A3716">IF(INDEX(CUEs!$A:$A,INT((ROW()-1)/7)*57+MOD(ROW()-1,7)+50)&lt;&gt;"","set "&amp;INDEX(CUEs!$A:$A,INT((ROW()-1)/7)*57+MOD(ROW()-1,7)+50)&amp;"=/ s "&amp;INDEX(CUEs!$B:$B,INT((ROW()-1)/7)*57+MOD(ROW()-1,7)+50),"")</f>
        <v/>
      </c>
    </row>
    <row r="3717" spans="1:1" x14ac:dyDescent="0.25">
      <c r="A3717" t="str" cm="1">
        <f t="array" ref="A3717">IF(INDEX(CUEs!$A:$A,INT((ROW()-1)/7)*57+MOD(ROW()-1,7)+50)&lt;&gt;"","set "&amp;INDEX(CUEs!$A:$A,INT((ROW()-1)/7)*57+MOD(ROW()-1,7)+50)&amp;"=/ s "&amp;INDEX(CUEs!$B:$B,INT((ROW()-1)/7)*57+MOD(ROW()-1,7)+50),"")</f>
        <v/>
      </c>
    </row>
    <row r="3718" spans="1:1" x14ac:dyDescent="0.25">
      <c r="A3718" t="str" cm="1">
        <f t="array" ref="A3718">IF(INDEX(CUEs!$A:$A,INT((ROW()-1)/7)*57+MOD(ROW()-1,7)+50)&lt;&gt;"","set "&amp;INDEX(CUEs!$A:$A,INT((ROW()-1)/7)*57+MOD(ROW()-1,7)+50)&amp;"=/ s "&amp;INDEX(CUEs!$B:$B,INT((ROW()-1)/7)*57+MOD(ROW()-1,7)+50),"")</f>
        <v/>
      </c>
    </row>
    <row r="3719" spans="1:1" x14ac:dyDescent="0.25">
      <c r="A3719" t="str" cm="1">
        <f t="array" ref="A3719">IF(INDEX(CUEs!$A:$A,INT((ROW()-1)/7)*57+MOD(ROW()-1,7)+50)&lt;&gt;"","set "&amp;INDEX(CUEs!$A:$A,INT((ROW()-1)/7)*57+MOD(ROW()-1,7)+50)&amp;"=/ s "&amp;INDEX(CUEs!$B:$B,INT((ROW()-1)/7)*57+MOD(ROW()-1,7)+50),"")</f>
        <v/>
      </c>
    </row>
    <row r="3720" spans="1:1" x14ac:dyDescent="0.25">
      <c r="A3720" t="str" cm="1">
        <f t="array" ref="A3720">IF(INDEX(CUEs!$A:$A,INT((ROW()-1)/7)*57+MOD(ROW()-1,7)+50)&lt;&gt;"","set "&amp;INDEX(CUEs!$A:$A,INT((ROW()-1)/7)*57+MOD(ROW()-1,7)+50)&amp;"=/ s "&amp;INDEX(CUEs!$B:$B,INT((ROW()-1)/7)*57+MOD(ROW()-1,7)+50),"")</f>
        <v/>
      </c>
    </row>
    <row r="3721" spans="1:1" x14ac:dyDescent="0.25">
      <c r="A3721" t="str" cm="1">
        <f t="array" ref="A3721">IF(INDEX(CUEs!$A:$A,INT((ROW()-1)/7)*57+MOD(ROW()-1,7)+50)&lt;&gt;"","set "&amp;INDEX(CUEs!$A:$A,INT((ROW()-1)/7)*57+MOD(ROW()-1,7)+50)&amp;"=/ s "&amp;INDEX(CUEs!$B:$B,INT((ROW()-1)/7)*57+MOD(ROW()-1,7)+50),"")</f>
        <v/>
      </c>
    </row>
    <row r="3722" spans="1:1" x14ac:dyDescent="0.25">
      <c r="A3722" t="str" cm="1">
        <f t="array" ref="A3722">IF(INDEX(CUEs!$A:$A,INT((ROW()-1)/7)*57+MOD(ROW()-1,7)+50)&lt;&gt;"","set "&amp;INDEX(CUEs!$A:$A,INT((ROW()-1)/7)*57+MOD(ROW()-1,7)+50)&amp;"=/ s "&amp;INDEX(CUEs!$B:$B,INT((ROW()-1)/7)*57+MOD(ROW()-1,7)+50),"")</f>
        <v/>
      </c>
    </row>
    <row r="3723" spans="1:1" x14ac:dyDescent="0.25">
      <c r="A3723" t="str" cm="1">
        <f t="array" ref="A3723">IF(INDEX(CUEs!$A:$A,INT((ROW()-1)/7)*57+MOD(ROW()-1,7)+50)&lt;&gt;"","set "&amp;INDEX(CUEs!$A:$A,INT((ROW()-1)/7)*57+MOD(ROW()-1,7)+50)&amp;"=/ s "&amp;INDEX(CUEs!$B:$B,INT((ROW()-1)/7)*57+MOD(ROW()-1,7)+50),"")</f>
        <v/>
      </c>
    </row>
    <row r="3724" spans="1:1" x14ac:dyDescent="0.25">
      <c r="A3724" t="str" cm="1">
        <f t="array" ref="A3724">IF(INDEX(CUEs!$A:$A,INT((ROW()-1)/7)*57+MOD(ROW()-1,7)+50)&lt;&gt;"","set "&amp;INDEX(CUEs!$A:$A,INT((ROW()-1)/7)*57+MOD(ROW()-1,7)+50)&amp;"=/ s "&amp;INDEX(CUEs!$B:$B,INT((ROW()-1)/7)*57+MOD(ROW()-1,7)+50),"")</f>
        <v/>
      </c>
    </row>
    <row r="3725" spans="1:1" x14ac:dyDescent="0.25">
      <c r="A3725" t="str" cm="1">
        <f t="array" ref="A3725">IF(INDEX(CUEs!$A:$A,INT((ROW()-1)/7)*57+MOD(ROW()-1,7)+50)&lt;&gt;"","set "&amp;INDEX(CUEs!$A:$A,INT((ROW()-1)/7)*57+MOD(ROW()-1,7)+50)&amp;"=/ s "&amp;INDEX(CUEs!$B:$B,INT((ROW()-1)/7)*57+MOD(ROW()-1,7)+50),"")</f>
        <v/>
      </c>
    </row>
    <row r="3726" spans="1:1" x14ac:dyDescent="0.25">
      <c r="A3726" t="str" cm="1">
        <f t="array" ref="A3726">IF(INDEX(CUEs!$A:$A,INT((ROW()-1)/7)*57+MOD(ROW()-1,7)+50)&lt;&gt;"","set "&amp;INDEX(CUEs!$A:$A,INT((ROW()-1)/7)*57+MOD(ROW()-1,7)+50)&amp;"=/ s "&amp;INDEX(CUEs!$B:$B,INT((ROW()-1)/7)*57+MOD(ROW()-1,7)+50),"")</f>
        <v/>
      </c>
    </row>
    <row r="3727" spans="1:1" x14ac:dyDescent="0.25">
      <c r="A3727" t="str" cm="1">
        <f t="array" ref="A3727">IF(INDEX(CUEs!$A:$A,INT((ROW()-1)/7)*57+MOD(ROW()-1,7)+50)&lt;&gt;"","set "&amp;INDEX(CUEs!$A:$A,INT((ROW()-1)/7)*57+MOD(ROW()-1,7)+50)&amp;"=/ s "&amp;INDEX(CUEs!$B:$B,INT((ROW()-1)/7)*57+MOD(ROW()-1,7)+50),"")</f>
        <v/>
      </c>
    </row>
    <row r="3728" spans="1:1" x14ac:dyDescent="0.25">
      <c r="A3728" t="str" cm="1">
        <f t="array" ref="A3728">IF(INDEX(CUEs!$A:$A,INT((ROW()-1)/7)*57+MOD(ROW()-1,7)+50)&lt;&gt;"","set "&amp;INDEX(CUEs!$A:$A,INT((ROW()-1)/7)*57+MOD(ROW()-1,7)+50)&amp;"=/ s "&amp;INDEX(CUEs!$B:$B,INT((ROW()-1)/7)*57+MOD(ROW()-1,7)+50),"")</f>
        <v/>
      </c>
    </row>
    <row r="3729" spans="1:1" x14ac:dyDescent="0.25">
      <c r="A3729" t="str" cm="1">
        <f t="array" ref="A3729">IF(INDEX(CUEs!$A:$A,INT((ROW()-1)/7)*57+MOD(ROW()-1,7)+50)&lt;&gt;"","set "&amp;INDEX(CUEs!$A:$A,INT((ROW()-1)/7)*57+MOD(ROW()-1,7)+50)&amp;"=/ s "&amp;INDEX(CUEs!$B:$B,INT((ROW()-1)/7)*57+MOD(ROW()-1,7)+50),"")</f>
        <v/>
      </c>
    </row>
    <row r="3730" spans="1:1" x14ac:dyDescent="0.25">
      <c r="A3730" t="str" cm="1">
        <f t="array" ref="A3730">IF(INDEX(CUEs!$A:$A,INT((ROW()-1)/7)*57+MOD(ROW()-1,7)+50)&lt;&gt;"","set "&amp;INDEX(CUEs!$A:$A,INT((ROW()-1)/7)*57+MOD(ROW()-1,7)+50)&amp;"=/ s "&amp;INDEX(CUEs!$B:$B,INT((ROW()-1)/7)*57+MOD(ROW()-1,7)+50),"")</f>
        <v/>
      </c>
    </row>
    <row r="3731" spans="1:1" x14ac:dyDescent="0.25">
      <c r="A3731" t="str" cm="1">
        <f t="array" ref="A3731">IF(INDEX(CUEs!$A:$A,INT((ROW()-1)/7)*57+MOD(ROW()-1,7)+50)&lt;&gt;"","set "&amp;INDEX(CUEs!$A:$A,INT((ROW()-1)/7)*57+MOD(ROW()-1,7)+50)&amp;"=/ s "&amp;INDEX(CUEs!$B:$B,INT((ROW()-1)/7)*57+MOD(ROW()-1,7)+50),"")</f>
        <v/>
      </c>
    </row>
    <row r="3732" spans="1:1" x14ac:dyDescent="0.25">
      <c r="A3732" t="str" cm="1">
        <f t="array" ref="A3732">IF(INDEX(CUEs!$A:$A,INT((ROW()-1)/7)*57+MOD(ROW()-1,7)+50)&lt;&gt;"","set "&amp;INDEX(CUEs!$A:$A,INT((ROW()-1)/7)*57+MOD(ROW()-1,7)+50)&amp;"=/ s "&amp;INDEX(CUEs!$B:$B,INT((ROW()-1)/7)*57+MOD(ROW()-1,7)+50),"")</f>
        <v/>
      </c>
    </row>
    <row r="3733" spans="1:1" x14ac:dyDescent="0.25">
      <c r="A3733" t="str" cm="1">
        <f t="array" ref="A3733">IF(INDEX(CUEs!$A:$A,INT((ROW()-1)/7)*57+MOD(ROW()-1,7)+50)&lt;&gt;"","set "&amp;INDEX(CUEs!$A:$A,INT((ROW()-1)/7)*57+MOD(ROW()-1,7)+50)&amp;"=/ s "&amp;INDEX(CUEs!$B:$B,INT((ROW()-1)/7)*57+MOD(ROW()-1,7)+50),"")</f>
        <v/>
      </c>
    </row>
    <row r="3734" spans="1:1" x14ac:dyDescent="0.25">
      <c r="A3734" t="str" cm="1">
        <f t="array" ref="A3734">IF(INDEX(CUEs!$A:$A,INT((ROW()-1)/7)*57+MOD(ROW()-1,7)+50)&lt;&gt;"","set "&amp;INDEX(CUEs!$A:$A,INT((ROW()-1)/7)*57+MOD(ROW()-1,7)+50)&amp;"=/ s "&amp;INDEX(CUEs!$B:$B,INT((ROW()-1)/7)*57+MOD(ROW()-1,7)+50),"")</f>
        <v/>
      </c>
    </row>
    <row r="3735" spans="1:1" x14ac:dyDescent="0.25">
      <c r="A3735" t="str" cm="1">
        <f t="array" ref="A3735">IF(INDEX(CUEs!$A:$A,INT((ROW()-1)/7)*57+MOD(ROW()-1,7)+50)&lt;&gt;"","set "&amp;INDEX(CUEs!$A:$A,INT((ROW()-1)/7)*57+MOD(ROW()-1,7)+50)&amp;"=/ s "&amp;INDEX(CUEs!$B:$B,INT((ROW()-1)/7)*57+MOD(ROW()-1,7)+50),"")</f>
        <v/>
      </c>
    </row>
    <row r="3736" spans="1:1" x14ac:dyDescent="0.25">
      <c r="A3736" t="str" cm="1">
        <f t="array" ref="A3736">IF(INDEX(CUEs!$A:$A,INT((ROW()-1)/7)*57+MOD(ROW()-1,7)+50)&lt;&gt;"","set "&amp;INDEX(CUEs!$A:$A,INT((ROW()-1)/7)*57+MOD(ROW()-1,7)+50)&amp;"=/ s "&amp;INDEX(CUEs!$B:$B,INT((ROW()-1)/7)*57+MOD(ROW()-1,7)+50),"")</f>
        <v/>
      </c>
    </row>
    <row r="3737" spans="1:1" x14ac:dyDescent="0.25">
      <c r="A3737" t="str" cm="1">
        <f t="array" ref="A3737">IF(INDEX(CUEs!$A:$A,INT((ROW()-1)/7)*57+MOD(ROW()-1,7)+50)&lt;&gt;"","set "&amp;INDEX(CUEs!$A:$A,INT((ROW()-1)/7)*57+MOD(ROW()-1,7)+50)&amp;"=/ s "&amp;INDEX(CUEs!$B:$B,INT((ROW()-1)/7)*57+MOD(ROW()-1,7)+50),"")</f>
        <v/>
      </c>
    </row>
    <row r="3738" spans="1:1" x14ac:dyDescent="0.25">
      <c r="A3738" t="str" cm="1">
        <f t="array" ref="A3738">IF(INDEX(CUEs!$A:$A,INT((ROW()-1)/7)*57+MOD(ROW()-1,7)+50)&lt;&gt;"","set "&amp;INDEX(CUEs!$A:$A,INT((ROW()-1)/7)*57+MOD(ROW()-1,7)+50)&amp;"=/ s "&amp;INDEX(CUEs!$B:$B,INT((ROW()-1)/7)*57+MOD(ROW()-1,7)+50),"")</f>
        <v/>
      </c>
    </row>
    <row r="3739" spans="1:1" x14ac:dyDescent="0.25">
      <c r="A3739" t="str" cm="1">
        <f t="array" ref="A3739">IF(INDEX(CUEs!$A:$A,INT((ROW()-1)/7)*57+MOD(ROW()-1,7)+50)&lt;&gt;"","set "&amp;INDEX(CUEs!$A:$A,INT((ROW()-1)/7)*57+MOD(ROW()-1,7)+50)&amp;"=/ s "&amp;INDEX(CUEs!$B:$B,INT((ROW()-1)/7)*57+MOD(ROW()-1,7)+50),"")</f>
        <v/>
      </c>
    </row>
    <row r="3740" spans="1:1" x14ac:dyDescent="0.25">
      <c r="A3740" t="str" cm="1">
        <f t="array" ref="A3740">IF(INDEX(CUEs!$A:$A,INT((ROW()-1)/7)*57+MOD(ROW()-1,7)+50)&lt;&gt;"","set "&amp;INDEX(CUEs!$A:$A,INT((ROW()-1)/7)*57+MOD(ROW()-1,7)+50)&amp;"=/ s "&amp;INDEX(CUEs!$B:$B,INT((ROW()-1)/7)*57+MOD(ROW()-1,7)+50),"")</f>
        <v/>
      </c>
    </row>
    <row r="3741" spans="1:1" x14ac:dyDescent="0.25">
      <c r="A3741" t="str" cm="1">
        <f t="array" ref="A3741">IF(INDEX(CUEs!$A:$A,INT((ROW()-1)/7)*57+MOD(ROW()-1,7)+50)&lt;&gt;"","set "&amp;INDEX(CUEs!$A:$A,INT((ROW()-1)/7)*57+MOD(ROW()-1,7)+50)&amp;"=/ s "&amp;INDEX(CUEs!$B:$B,INT((ROW()-1)/7)*57+MOD(ROW()-1,7)+50),"")</f>
        <v/>
      </c>
    </row>
    <row r="3742" spans="1:1" x14ac:dyDescent="0.25">
      <c r="A3742" t="str" cm="1">
        <f t="array" ref="A3742">IF(INDEX(CUEs!$A:$A,INT((ROW()-1)/7)*57+MOD(ROW()-1,7)+50)&lt;&gt;"","set "&amp;INDEX(CUEs!$A:$A,INT((ROW()-1)/7)*57+MOD(ROW()-1,7)+50)&amp;"=/ s "&amp;INDEX(CUEs!$B:$B,INT((ROW()-1)/7)*57+MOD(ROW()-1,7)+50),"")</f>
        <v/>
      </c>
    </row>
    <row r="3743" spans="1:1" x14ac:dyDescent="0.25">
      <c r="A3743" t="str" cm="1">
        <f t="array" ref="A3743">IF(INDEX(CUEs!$A:$A,INT((ROW()-1)/7)*57+MOD(ROW()-1,7)+50)&lt;&gt;"","set "&amp;INDEX(CUEs!$A:$A,INT((ROW()-1)/7)*57+MOD(ROW()-1,7)+50)&amp;"=/ s "&amp;INDEX(CUEs!$B:$B,INT((ROW()-1)/7)*57+MOD(ROW()-1,7)+50),"")</f>
        <v/>
      </c>
    </row>
    <row r="3744" spans="1:1" x14ac:dyDescent="0.25">
      <c r="A3744" t="str" cm="1">
        <f t="array" ref="A3744">IF(INDEX(CUEs!$A:$A,INT((ROW()-1)/7)*57+MOD(ROW()-1,7)+50)&lt;&gt;"","set "&amp;INDEX(CUEs!$A:$A,INT((ROW()-1)/7)*57+MOD(ROW()-1,7)+50)&amp;"=/ s "&amp;INDEX(CUEs!$B:$B,INT((ROW()-1)/7)*57+MOD(ROW()-1,7)+50),"")</f>
        <v/>
      </c>
    </row>
    <row r="3745" spans="1:1" x14ac:dyDescent="0.25">
      <c r="A3745" t="str" cm="1">
        <f t="array" ref="A3745">IF(INDEX(CUEs!$A:$A,INT((ROW()-1)/7)*57+MOD(ROW()-1,7)+50)&lt;&gt;"","set "&amp;INDEX(CUEs!$A:$A,INT((ROW()-1)/7)*57+MOD(ROW()-1,7)+50)&amp;"=/ s "&amp;INDEX(CUEs!$B:$B,INT((ROW()-1)/7)*57+MOD(ROW()-1,7)+50),"")</f>
        <v/>
      </c>
    </row>
    <row r="3746" spans="1:1" x14ac:dyDescent="0.25">
      <c r="A3746" t="str" cm="1">
        <f t="array" ref="A3746">IF(INDEX(CUEs!$A:$A,INT((ROW()-1)/7)*57+MOD(ROW()-1,7)+50)&lt;&gt;"","set "&amp;INDEX(CUEs!$A:$A,INT((ROW()-1)/7)*57+MOD(ROW()-1,7)+50)&amp;"=/ s "&amp;INDEX(CUEs!$B:$B,INT((ROW()-1)/7)*57+MOD(ROW()-1,7)+50),"")</f>
        <v/>
      </c>
    </row>
    <row r="3747" spans="1:1" x14ac:dyDescent="0.25">
      <c r="A3747" t="str" cm="1">
        <f t="array" ref="A3747">IF(INDEX(CUEs!$A:$A,INT((ROW()-1)/7)*57+MOD(ROW()-1,7)+50)&lt;&gt;"","set "&amp;INDEX(CUEs!$A:$A,INT((ROW()-1)/7)*57+MOD(ROW()-1,7)+50)&amp;"=/ s "&amp;INDEX(CUEs!$B:$B,INT((ROW()-1)/7)*57+MOD(ROW()-1,7)+50),"")</f>
        <v/>
      </c>
    </row>
    <row r="3748" spans="1:1" x14ac:dyDescent="0.25">
      <c r="A3748" t="str" cm="1">
        <f t="array" ref="A3748">IF(INDEX(CUEs!$A:$A,INT((ROW()-1)/7)*57+MOD(ROW()-1,7)+50)&lt;&gt;"","set "&amp;INDEX(CUEs!$A:$A,INT((ROW()-1)/7)*57+MOD(ROW()-1,7)+50)&amp;"=/ s "&amp;INDEX(CUEs!$B:$B,INT((ROW()-1)/7)*57+MOD(ROW()-1,7)+50),"")</f>
        <v/>
      </c>
    </row>
    <row r="3749" spans="1:1" x14ac:dyDescent="0.25">
      <c r="A3749" t="str" cm="1">
        <f t="array" ref="A3749">IF(INDEX(CUEs!$A:$A,INT((ROW()-1)/7)*57+MOD(ROW()-1,7)+50)&lt;&gt;"","set "&amp;INDEX(CUEs!$A:$A,INT((ROW()-1)/7)*57+MOD(ROW()-1,7)+50)&amp;"=/ s "&amp;INDEX(CUEs!$B:$B,INT((ROW()-1)/7)*57+MOD(ROW()-1,7)+50),"")</f>
        <v/>
      </c>
    </row>
    <row r="3750" spans="1:1" x14ac:dyDescent="0.25">
      <c r="A3750" t="str" cm="1">
        <f t="array" ref="A3750">IF(INDEX(CUEs!$A:$A,INT((ROW()-1)/7)*57+MOD(ROW()-1,7)+50)&lt;&gt;"","set "&amp;INDEX(CUEs!$A:$A,INT((ROW()-1)/7)*57+MOD(ROW()-1,7)+50)&amp;"=/ s "&amp;INDEX(CUEs!$B:$B,INT((ROW()-1)/7)*57+MOD(ROW()-1,7)+50),"")</f>
        <v/>
      </c>
    </row>
    <row r="3751" spans="1:1" x14ac:dyDescent="0.25">
      <c r="A3751" t="str" cm="1">
        <f t="array" ref="A3751">IF(INDEX(CUEs!$A:$A,INT((ROW()-1)/7)*57+MOD(ROW()-1,7)+50)&lt;&gt;"","set "&amp;INDEX(CUEs!$A:$A,INT((ROW()-1)/7)*57+MOD(ROW()-1,7)+50)&amp;"=/ s "&amp;INDEX(CUEs!$B:$B,INT((ROW()-1)/7)*57+MOD(ROW()-1,7)+50),"")</f>
        <v/>
      </c>
    </row>
    <row r="3752" spans="1:1" x14ac:dyDescent="0.25">
      <c r="A3752" t="str" cm="1">
        <f t="array" ref="A3752">IF(INDEX(CUEs!$A:$A,INT((ROW()-1)/7)*57+MOD(ROW()-1,7)+50)&lt;&gt;"","set "&amp;INDEX(CUEs!$A:$A,INT((ROW()-1)/7)*57+MOD(ROW()-1,7)+50)&amp;"=/ s "&amp;INDEX(CUEs!$B:$B,INT((ROW()-1)/7)*57+MOD(ROW()-1,7)+50),"")</f>
        <v/>
      </c>
    </row>
    <row r="3753" spans="1:1" x14ac:dyDescent="0.25">
      <c r="A3753" t="str" cm="1">
        <f t="array" ref="A3753">IF(INDEX(CUEs!$A:$A,INT((ROW()-1)/7)*57+MOD(ROW()-1,7)+50)&lt;&gt;"","set "&amp;INDEX(CUEs!$A:$A,INT((ROW()-1)/7)*57+MOD(ROW()-1,7)+50)&amp;"=/ s "&amp;INDEX(CUEs!$B:$B,INT((ROW()-1)/7)*57+MOD(ROW()-1,7)+50),"")</f>
        <v/>
      </c>
    </row>
    <row r="3754" spans="1:1" x14ac:dyDescent="0.25">
      <c r="A3754" t="str" cm="1">
        <f t="array" ref="A3754">IF(INDEX(CUEs!$A:$A,INT((ROW()-1)/7)*57+MOD(ROW()-1,7)+50)&lt;&gt;"","set "&amp;INDEX(CUEs!$A:$A,INT((ROW()-1)/7)*57+MOD(ROW()-1,7)+50)&amp;"=/ s "&amp;INDEX(CUEs!$B:$B,INT((ROW()-1)/7)*57+MOD(ROW()-1,7)+50),"")</f>
        <v/>
      </c>
    </row>
    <row r="3755" spans="1:1" x14ac:dyDescent="0.25">
      <c r="A3755" t="str" cm="1">
        <f t="array" ref="A3755">IF(INDEX(CUEs!$A:$A,INT((ROW()-1)/7)*57+MOD(ROW()-1,7)+50)&lt;&gt;"","set "&amp;INDEX(CUEs!$A:$A,INT((ROW()-1)/7)*57+MOD(ROW()-1,7)+50)&amp;"=/ s "&amp;INDEX(CUEs!$B:$B,INT((ROW()-1)/7)*57+MOD(ROW()-1,7)+50),"")</f>
        <v/>
      </c>
    </row>
    <row r="3756" spans="1:1" x14ac:dyDescent="0.25">
      <c r="A3756" t="str" cm="1">
        <f t="array" ref="A3756">IF(INDEX(CUEs!$A:$A,INT((ROW()-1)/7)*57+MOD(ROW()-1,7)+50)&lt;&gt;"","set "&amp;INDEX(CUEs!$A:$A,INT((ROW()-1)/7)*57+MOD(ROW()-1,7)+50)&amp;"=/ s "&amp;INDEX(CUEs!$B:$B,INT((ROW()-1)/7)*57+MOD(ROW()-1,7)+50),"")</f>
        <v/>
      </c>
    </row>
    <row r="3757" spans="1:1" x14ac:dyDescent="0.25">
      <c r="A3757" t="str" cm="1">
        <f t="array" ref="A3757">IF(INDEX(CUEs!$A:$A,INT((ROW()-1)/7)*57+MOD(ROW()-1,7)+50)&lt;&gt;"","set "&amp;INDEX(CUEs!$A:$A,INT((ROW()-1)/7)*57+MOD(ROW()-1,7)+50)&amp;"=/ s "&amp;INDEX(CUEs!$B:$B,INT((ROW()-1)/7)*57+MOD(ROW()-1,7)+50),"")</f>
        <v/>
      </c>
    </row>
    <row r="3758" spans="1:1" x14ac:dyDescent="0.25">
      <c r="A3758" t="str" cm="1">
        <f t="array" ref="A3758">IF(INDEX(CUEs!$A:$A,INT((ROW()-1)/7)*57+MOD(ROW()-1,7)+50)&lt;&gt;"","set "&amp;INDEX(CUEs!$A:$A,INT((ROW()-1)/7)*57+MOD(ROW()-1,7)+50)&amp;"=/ s "&amp;INDEX(CUEs!$B:$B,INT((ROW()-1)/7)*57+MOD(ROW()-1,7)+50),"")</f>
        <v/>
      </c>
    </row>
    <row r="3759" spans="1:1" x14ac:dyDescent="0.25">
      <c r="A3759" t="str" cm="1">
        <f t="array" ref="A3759">IF(INDEX(CUEs!$A:$A,INT((ROW()-1)/7)*57+MOD(ROW()-1,7)+50)&lt;&gt;"","set "&amp;INDEX(CUEs!$A:$A,INT((ROW()-1)/7)*57+MOD(ROW()-1,7)+50)&amp;"=/ s "&amp;INDEX(CUEs!$B:$B,INT((ROW()-1)/7)*57+MOD(ROW()-1,7)+50),"")</f>
        <v/>
      </c>
    </row>
    <row r="3760" spans="1:1" x14ac:dyDescent="0.25">
      <c r="A3760" t="str" cm="1">
        <f t="array" ref="A3760">IF(INDEX(CUEs!$A:$A,INT((ROW()-1)/7)*57+MOD(ROW()-1,7)+50)&lt;&gt;"","set "&amp;INDEX(CUEs!$A:$A,INT((ROW()-1)/7)*57+MOD(ROW()-1,7)+50)&amp;"=/ s "&amp;INDEX(CUEs!$B:$B,INT((ROW()-1)/7)*57+MOD(ROW()-1,7)+50),"")</f>
        <v/>
      </c>
    </row>
    <row r="3761" spans="1:1" x14ac:dyDescent="0.25">
      <c r="A3761" t="str" cm="1">
        <f t="array" ref="A3761">IF(INDEX(CUEs!$A:$A,INT((ROW()-1)/7)*57+MOD(ROW()-1,7)+50)&lt;&gt;"","set "&amp;INDEX(CUEs!$A:$A,INT((ROW()-1)/7)*57+MOD(ROW()-1,7)+50)&amp;"=/ s "&amp;INDEX(CUEs!$B:$B,INT((ROW()-1)/7)*57+MOD(ROW()-1,7)+50),"")</f>
        <v/>
      </c>
    </row>
    <row r="3762" spans="1:1" x14ac:dyDescent="0.25">
      <c r="A3762" t="str" cm="1">
        <f t="array" ref="A3762">IF(INDEX(CUEs!$A:$A,INT((ROW()-1)/7)*57+MOD(ROW()-1,7)+50)&lt;&gt;"","set "&amp;INDEX(CUEs!$A:$A,INT((ROW()-1)/7)*57+MOD(ROW()-1,7)+50)&amp;"=/ s "&amp;INDEX(CUEs!$B:$B,INT((ROW()-1)/7)*57+MOD(ROW()-1,7)+50),"")</f>
        <v/>
      </c>
    </row>
    <row r="3763" spans="1:1" x14ac:dyDescent="0.25">
      <c r="A3763" t="str" cm="1">
        <f t="array" ref="A3763">IF(INDEX(CUEs!$A:$A,INT((ROW()-1)/7)*57+MOD(ROW()-1,7)+50)&lt;&gt;"","set "&amp;INDEX(CUEs!$A:$A,INT((ROW()-1)/7)*57+MOD(ROW()-1,7)+50)&amp;"=/ s "&amp;INDEX(CUEs!$B:$B,INT((ROW()-1)/7)*57+MOD(ROW()-1,7)+50),"")</f>
        <v/>
      </c>
    </row>
    <row r="3764" spans="1:1" x14ac:dyDescent="0.25">
      <c r="A3764" t="str" cm="1">
        <f t="array" ref="A3764">IF(INDEX(CUEs!$A:$A,INT((ROW()-1)/7)*57+MOD(ROW()-1,7)+50)&lt;&gt;"","set "&amp;INDEX(CUEs!$A:$A,INT((ROW()-1)/7)*57+MOD(ROW()-1,7)+50)&amp;"=/ s "&amp;INDEX(CUEs!$B:$B,INT((ROW()-1)/7)*57+MOD(ROW()-1,7)+50),"")</f>
        <v/>
      </c>
    </row>
    <row r="3765" spans="1:1" x14ac:dyDescent="0.25">
      <c r="A3765" t="str" cm="1">
        <f t="array" ref="A3765">IF(INDEX(CUEs!$A:$A,INT((ROW()-1)/7)*57+MOD(ROW()-1,7)+50)&lt;&gt;"","set "&amp;INDEX(CUEs!$A:$A,INT((ROW()-1)/7)*57+MOD(ROW()-1,7)+50)&amp;"=/ s "&amp;INDEX(CUEs!$B:$B,INT((ROW()-1)/7)*57+MOD(ROW()-1,7)+50),"")</f>
        <v/>
      </c>
    </row>
    <row r="3766" spans="1:1" x14ac:dyDescent="0.25">
      <c r="A3766" t="str" cm="1">
        <f t="array" ref="A3766">IF(INDEX(CUEs!$A:$A,INT((ROW()-1)/7)*57+MOD(ROW()-1,7)+50)&lt;&gt;"","set "&amp;INDEX(CUEs!$A:$A,INT((ROW()-1)/7)*57+MOD(ROW()-1,7)+50)&amp;"=/ s "&amp;INDEX(CUEs!$B:$B,INT((ROW()-1)/7)*57+MOD(ROW()-1,7)+50),"")</f>
        <v/>
      </c>
    </row>
    <row r="3767" spans="1:1" x14ac:dyDescent="0.25">
      <c r="A3767" t="str" cm="1">
        <f t="array" ref="A3767">IF(INDEX(CUEs!$A:$A,INT((ROW()-1)/7)*57+MOD(ROW()-1,7)+50)&lt;&gt;"","set "&amp;INDEX(CUEs!$A:$A,INT((ROW()-1)/7)*57+MOD(ROW()-1,7)+50)&amp;"=/ s "&amp;INDEX(CUEs!$B:$B,INT((ROW()-1)/7)*57+MOD(ROW()-1,7)+50),"")</f>
        <v/>
      </c>
    </row>
    <row r="3768" spans="1:1" x14ac:dyDescent="0.25">
      <c r="A3768" t="str" cm="1">
        <f t="array" ref="A3768">IF(INDEX(CUEs!$A:$A,INT((ROW()-1)/7)*57+MOD(ROW()-1,7)+50)&lt;&gt;"","set "&amp;INDEX(CUEs!$A:$A,INT((ROW()-1)/7)*57+MOD(ROW()-1,7)+50)&amp;"=/ s "&amp;INDEX(CUEs!$B:$B,INT((ROW()-1)/7)*57+MOD(ROW()-1,7)+50),"")</f>
        <v/>
      </c>
    </row>
    <row r="3769" spans="1:1" x14ac:dyDescent="0.25">
      <c r="A3769" t="str" cm="1">
        <f t="array" ref="A3769">IF(INDEX(CUEs!$A:$A,INT((ROW()-1)/7)*57+MOD(ROW()-1,7)+50)&lt;&gt;"","set "&amp;INDEX(CUEs!$A:$A,INT((ROW()-1)/7)*57+MOD(ROW()-1,7)+50)&amp;"=/ s "&amp;INDEX(CUEs!$B:$B,INT((ROW()-1)/7)*57+MOD(ROW()-1,7)+50),"")</f>
        <v/>
      </c>
    </row>
    <row r="3770" spans="1:1" x14ac:dyDescent="0.25">
      <c r="A3770" t="str" cm="1">
        <f t="array" ref="A3770">IF(INDEX(CUEs!$A:$A,INT((ROW()-1)/7)*57+MOD(ROW()-1,7)+50)&lt;&gt;"","set "&amp;INDEX(CUEs!$A:$A,INT((ROW()-1)/7)*57+MOD(ROW()-1,7)+50)&amp;"=/ s "&amp;INDEX(CUEs!$B:$B,INT((ROW()-1)/7)*57+MOD(ROW()-1,7)+50),"")</f>
        <v/>
      </c>
    </row>
    <row r="3771" spans="1:1" x14ac:dyDescent="0.25">
      <c r="A3771" t="str" cm="1">
        <f t="array" ref="A3771">IF(INDEX(CUEs!$A:$A,INT((ROW()-1)/7)*57+MOD(ROW()-1,7)+50)&lt;&gt;"","set "&amp;INDEX(CUEs!$A:$A,INT((ROW()-1)/7)*57+MOD(ROW()-1,7)+50)&amp;"=/ s "&amp;INDEX(CUEs!$B:$B,INT((ROW()-1)/7)*57+MOD(ROW()-1,7)+50),"")</f>
        <v/>
      </c>
    </row>
    <row r="3772" spans="1:1" x14ac:dyDescent="0.25">
      <c r="A3772" t="str" cm="1">
        <f t="array" ref="A3772">IF(INDEX(CUEs!$A:$A,INT((ROW()-1)/7)*57+MOD(ROW()-1,7)+50)&lt;&gt;"","set "&amp;INDEX(CUEs!$A:$A,INT((ROW()-1)/7)*57+MOD(ROW()-1,7)+50)&amp;"=/ s "&amp;INDEX(CUEs!$B:$B,INT((ROW()-1)/7)*57+MOD(ROW()-1,7)+50),"")</f>
        <v/>
      </c>
    </row>
    <row r="3773" spans="1:1" x14ac:dyDescent="0.25">
      <c r="A3773" t="str" cm="1">
        <f t="array" ref="A3773">IF(INDEX(CUEs!$A:$A,INT((ROW()-1)/7)*57+MOD(ROW()-1,7)+50)&lt;&gt;"","set "&amp;INDEX(CUEs!$A:$A,INT((ROW()-1)/7)*57+MOD(ROW()-1,7)+50)&amp;"=/ s "&amp;INDEX(CUEs!$B:$B,INT((ROW()-1)/7)*57+MOD(ROW()-1,7)+50),"")</f>
        <v/>
      </c>
    </row>
    <row r="3774" spans="1:1" x14ac:dyDescent="0.25">
      <c r="A3774" t="str" cm="1">
        <f t="array" ref="A3774">IF(INDEX(CUEs!$A:$A,INT((ROW()-1)/7)*57+MOD(ROW()-1,7)+50)&lt;&gt;"","set "&amp;INDEX(CUEs!$A:$A,INT((ROW()-1)/7)*57+MOD(ROW()-1,7)+50)&amp;"=/ s "&amp;INDEX(CUEs!$B:$B,INT((ROW()-1)/7)*57+MOD(ROW()-1,7)+50),"")</f>
        <v/>
      </c>
    </row>
    <row r="3775" spans="1:1" x14ac:dyDescent="0.25">
      <c r="A3775" t="str" cm="1">
        <f t="array" ref="A3775">IF(INDEX(CUEs!$A:$A,INT((ROW()-1)/7)*57+MOD(ROW()-1,7)+50)&lt;&gt;"","set "&amp;INDEX(CUEs!$A:$A,INT((ROW()-1)/7)*57+MOD(ROW()-1,7)+50)&amp;"=/ s "&amp;INDEX(CUEs!$B:$B,INT((ROW()-1)/7)*57+MOD(ROW()-1,7)+50),"")</f>
        <v/>
      </c>
    </row>
    <row r="3776" spans="1:1" x14ac:dyDescent="0.25">
      <c r="A3776" t="str" cm="1">
        <f t="array" ref="A3776">IF(INDEX(CUEs!$A:$A,INT((ROW()-1)/7)*57+MOD(ROW()-1,7)+50)&lt;&gt;"","set "&amp;INDEX(CUEs!$A:$A,INT((ROW()-1)/7)*57+MOD(ROW()-1,7)+50)&amp;"=/ s "&amp;INDEX(CUEs!$B:$B,INT((ROW()-1)/7)*57+MOD(ROW()-1,7)+50),"")</f>
        <v/>
      </c>
    </row>
    <row r="3777" spans="1:1" x14ac:dyDescent="0.25">
      <c r="A3777" t="str" cm="1">
        <f t="array" ref="A3777">IF(INDEX(CUEs!$A:$A,INT((ROW()-1)/7)*57+MOD(ROW()-1,7)+50)&lt;&gt;"","set "&amp;INDEX(CUEs!$A:$A,INT((ROW()-1)/7)*57+MOD(ROW()-1,7)+50)&amp;"=/ s "&amp;INDEX(CUEs!$B:$B,INT((ROW()-1)/7)*57+MOD(ROW()-1,7)+50),"")</f>
        <v/>
      </c>
    </row>
    <row r="3778" spans="1:1" x14ac:dyDescent="0.25">
      <c r="A3778" t="str" cm="1">
        <f t="array" ref="A3778">IF(INDEX(CUEs!$A:$A,INT((ROW()-1)/7)*57+MOD(ROW()-1,7)+50)&lt;&gt;"","set "&amp;INDEX(CUEs!$A:$A,INT((ROW()-1)/7)*57+MOD(ROW()-1,7)+50)&amp;"=/ s "&amp;INDEX(CUEs!$B:$B,INT((ROW()-1)/7)*57+MOD(ROW()-1,7)+50),"")</f>
        <v/>
      </c>
    </row>
    <row r="3779" spans="1:1" x14ac:dyDescent="0.25">
      <c r="A3779" t="str" cm="1">
        <f t="array" ref="A3779">IF(INDEX(CUEs!$A:$A,INT((ROW()-1)/7)*57+MOD(ROW()-1,7)+50)&lt;&gt;"","set "&amp;INDEX(CUEs!$A:$A,INT((ROW()-1)/7)*57+MOD(ROW()-1,7)+50)&amp;"=/ s "&amp;INDEX(CUEs!$B:$B,INT((ROW()-1)/7)*57+MOD(ROW()-1,7)+50),"")</f>
        <v/>
      </c>
    </row>
    <row r="3780" spans="1:1" x14ac:dyDescent="0.25">
      <c r="A3780" t="str" cm="1">
        <f t="array" ref="A3780">IF(INDEX(CUEs!$A:$A,INT((ROW()-1)/7)*57+MOD(ROW()-1,7)+50)&lt;&gt;"","set "&amp;INDEX(CUEs!$A:$A,INT((ROW()-1)/7)*57+MOD(ROW()-1,7)+50)&amp;"=/ s "&amp;INDEX(CUEs!$B:$B,INT((ROW()-1)/7)*57+MOD(ROW()-1,7)+50),"")</f>
        <v/>
      </c>
    </row>
    <row r="3781" spans="1:1" x14ac:dyDescent="0.25">
      <c r="A3781" t="str" cm="1">
        <f t="array" ref="A3781">IF(INDEX(CUEs!$A:$A,INT((ROW()-1)/7)*57+MOD(ROW()-1,7)+50)&lt;&gt;"","set "&amp;INDEX(CUEs!$A:$A,INT((ROW()-1)/7)*57+MOD(ROW()-1,7)+50)&amp;"=/ s "&amp;INDEX(CUEs!$B:$B,INT((ROW()-1)/7)*57+MOD(ROW()-1,7)+50),"")</f>
        <v/>
      </c>
    </row>
    <row r="3782" spans="1:1" x14ac:dyDescent="0.25">
      <c r="A3782" t="str" cm="1">
        <f t="array" ref="A3782">IF(INDEX(CUEs!$A:$A,INT((ROW()-1)/7)*57+MOD(ROW()-1,7)+50)&lt;&gt;"","set "&amp;INDEX(CUEs!$A:$A,INT((ROW()-1)/7)*57+MOD(ROW()-1,7)+50)&amp;"=/ s "&amp;INDEX(CUEs!$B:$B,INT((ROW()-1)/7)*57+MOD(ROW()-1,7)+50),"")</f>
        <v/>
      </c>
    </row>
    <row r="3783" spans="1:1" x14ac:dyDescent="0.25">
      <c r="A3783" t="str" cm="1">
        <f t="array" ref="A3783">IF(INDEX(CUEs!$A:$A,INT((ROW()-1)/7)*57+MOD(ROW()-1,7)+50)&lt;&gt;"","set "&amp;INDEX(CUEs!$A:$A,INT((ROW()-1)/7)*57+MOD(ROW()-1,7)+50)&amp;"=/ s "&amp;INDEX(CUEs!$B:$B,INT((ROW()-1)/7)*57+MOD(ROW()-1,7)+50),"")</f>
        <v/>
      </c>
    </row>
    <row r="3784" spans="1:1" x14ac:dyDescent="0.25">
      <c r="A3784" t="str" cm="1">
        <f t="array" ref="A3784">IF(INDEX(CUEs!$A:$A,INT((ROW()-1)/7)*57+MOD(ROW()-1,7)+50)&lt;&gt;"","set "&amp;INDEX(CUEs!$A:$A,INT((ROW()-1)/7)*57+MOD(ROW()-1,7)+50)&amp;"=/ s "&amp;INDEX(CUEs!$B:$B,INT((ROW()-1)/7)*57+MOD(ROW()-1,7)+50),"")</f>
        <v/>
      </c>
    </row>
    <row r="3785" spans="1:1" x14ac:dyDescent="0.25">
      <c r="A3785" t="str" cm="1">
        <f t="array" ref="A3785">IF(INDEX(CUEs!$A:$A,INT((ROW()-1)/7)*57+MOD(ROW()-1,7)+50)&lt;&gt;"","set "&amp;INDEX(CUEs!$A:$A,INT((ROW()-1)/7)*57+MOD(ROW()-1,7)+50)&amp;"=/ s "&amp;INDEX(CUEs!$B:$B,INT((ROW()-1)/7)*57+MOD(ROW()-1,7)+50),"")</f>
        <v/>
      </c>
    </row>
    <row r="3786" spans="1:1" x14ac:dyDescent="0.25">
      <c r="A3786" t="str" cm="1">
        <f t="array" ref="A3786">IF(INDEX(CUEs!$A:$A,INT((ROW()-1)/7)*57+MOD(ROW()-1,7)+50)&lt;&gt;"","set "&amp;INDEX(CUEs!$A:$A,INT((ROW()-1)/7)*57+MOD(ROW()-1,7)+50)&amp;"=/ s "&amp;INDEX(CUEs!$B:$B,INT((ROW()-1)/7)*57+MOD(ROW()-1,7)+50),"")</f>
        <v/>
      </c>
    </row>
    <row r="3787" spans="1:1" x14ac:dyDescent="0.25">
      <c r="A3787" t="str" cm="1">
        <f t="array" ref="A3787">IF(INDEX(CUEs!$A:$A,INT((ROW()-1)/7)*57+MOD(ROW()-1,7)+50)&lt;&gt;"","set "&amp;INDEX(CUEs!$A:$A,INT((ROW()-1)/7)*57+MOD(ROW()-1,7)+50)&amp;"=/ s "&amp;INDEX(CUEs!$B:$B,INT((ROW()-1)/7)*57+MOD(ROW()-1,7)+50),"")</f>
        <v/>
      </c>
    </row>
    <row r="3788" spans="1:1" x14ac:dyDescent="0.25">
      <c r="A3788" t="str" cm="1">
        <f t="array" ref="A3788">IF(INDEX(CUEs!$A:$A,INT((ROW()-1)/7)*57+MOD(ROW()-1,7)+50)&lt;&gt;"","set "&amp;INDEX(CUEs!$A:$A,INT((ROW()-1)/7)*57+MOD(ROW()-1,7)+50)&amp;"=/ s "&amp;INDEX(CUEs!$B:$B,INT((ROW()-1)/7)*57+MOD(ROW()-1,7)+50),"")</f>
        <v/>
      </c>
    </row>
    <row r="3789" spans="1:1" x14ac:dyDescent="0.25">
      <c r="A3789" t="str" cm="1">
        <f t="array" ref="A3789">IF(INDEX(CUEs!$A:$A,INT((ROW()-1)/7)*57+MOD(ROW()-1,7)+50)&lt;&gt;"","set "&amp;INDEX(CUEs!$A:$A,INT((ROW()-1)/7)*57+MOD(ROW()-1,7)+50)&amp;"=/ s "&amp;INDEX(CUEs!$B:$B,INT((ROW()-1)/7)*57+MOD(ROW()-1,7)+50),"")</f>
        <v/>
      </c>
    </row>
    <row r="3790" spans="1:1" x14ac:dyDescent="0.25">
      <c r="A3790" t="str" cm="1">
        <f t="array" ref="A3790">IF(INDEX(CUEs!$A:$A,INT((ROW()-1)/7)*57+MOD(ROW()-1,7)+50)&lt;&gt;"","set "&amp;INDEX(CUEs!$A:$A,INT((ROW()-1)/7)*57+MOD(ROW()-1,7)+50)&amp;"=/ s "&amp;INDEX(CUEs!$B:$B,INT((ROW()-1)/7)*57+MOD(ROW()-1,7)+50),"")</f>
        <v/>
      </c>
    </row>
    <row r="3791" spans="1:1" x14ac:dyDescent="0.25">
      <c r="A3791" t="str" cm="1">
        <f t="array" ref="A3791">IF(INDEX(CUEs!$A:$A,INT((ROW()-1)/7)*57+MOD(ROW()-1,7)+50)&lt;&gt;"","set "&amp;INDEX(CUEs!$A:$A,INT((ROW()-1)/7)*57+MOD(ROW()-1,7)+50)&amp;"=/ s "&amp;INDEX(CUEs!$B:$B,INT((ROW()-1)/7)*57+MOD(ROW()-1,7)+50),"")</f>
        <v/>
      </c>
    </row>
    <row r="3792" spans="1:1" x14ac:dyDescent="0.25">
      <c r="A3792" t="str" cm="1">
        <f t="array" ref="A3792">IF(INDEX(CUEs!$A:$A,INT((ROW()-1)/7)*57+MOD(ROW()-1,7)+50)&lt;&gt;"","set "&amp;INDEX(CUEs!$A:$A,INT((ROW()-1)/7)*57+MOD(ROW()-1,7)+50)&amp;"=/ s "&amp;INDEX(CUEs!$B:$B,INT((ROW()-1)/7)*57+MOD(ROW()-1,7)+50),"")</f>
        <v/>
      </c>
    </row>
    <row r="3793" spans="1:1" x14ac:dyDescent="0.25">
      <c r="A3793" t="str" cm="1">
        <f t="array" ref="A3793">IF(INDEX(CUEs!$A:$A,INT((ROW()-1)/7)*57+MOD(ROW()-1,7)+50)&lt;&gt;"","set "&amp;INDEX(CUEs!$A:$A,INT((ROW()-1)/7)*57+MOD(ROW()-1,7)+50)&amp;"=/ s "&amp;INDEX(CUEs!$B:$B,INT((ROW()-1)/7)*57+MOD(ROW()-1,7)+50),"")</f>
        <v/>
      </c>
    </row>
    <row r="3794" spans="1:1" x14ac:dyDescent="0.25">
      <c r="A3794" t="str" cm="1">
        <f t="array" ref="A3794">IF(INDEX(CUEs!$A:$A,INT((ROW()-1)/7)*57+MOD(ROW()-1,7)+50)&lt;&gt;"","set "&amp;INDEX(CUEs!$A:$A,INT((ROW()-1)/7)*57+MOD(ROW()-1,7)+50)&amp;"=/ s "&amp;INDEX(CUEs!$B:$B,INT((ROW()-1)/7)*57+MOD(ROW()-1,7)+50),"")</f>
        <v/>
      </c>
    </row>
    <row r="3795" spans="1:1" x14ac:dyDescent="0.25">
      <c r="A3795" t="str" cm="1">
        <f t="array" ref="A3795">IF(INDEX(CUEs!$A:$A,INT((ROW()-1)/7)*57+MOD(ROW()-1,7)+50)&lt;&gt;"","set "&amp;INDEX(CUEs!$A:$A,INT((ROW()-1)/7)*57+MOD(ROW()-1,7)+50)&amp;"=/ s "&amp;INDEX(CUEs!$B:$B,INT((ROW()-1)/7)*57+MOD(ROW()-1,7)+50),"")</f>
        <v/>
      </c>
    </row>
    <row r="3796" spans="1:1" x14ac:dyDescent="0.25">
      <c r="A3796" t="str" cm="1">
        <f t="array" ref="A3796">IF(INDEX(CUEs!$A:$A,INT((ROW()-1)/7)*57+MOD(ROW()-1,7)+50)&lt;&gt;"","set "&amp;INDEX(CUEs!$A:$A,INT((ROW()-1)/7)*57+MOD(ROW()-1,7)+50)&amp;"=/ s "&amp;INDEX(CUEs!$B:$B,INT((ROW()-1)/7)*57+MOD(ROW()-1,7)+50),"")</f>
        <v/>
      </c>
    </row>
    <row r="3797" spans="1:1" x14ac:dyDescent="0.25">
      <c r="A3797" t="str" cm="1">
        <f t="array" ref="A3797">IF(INDEX(CUEs!$A:$A,INT((ROW()-1)/7)*57+MOD(ROW()-1,7)+50)&lt;&gt;"","set "&amp;INDEX(CUEs!$A:$A,INT((ROW()-1)/7)*57+MOD(ROW()-1,7)+50)&amp;"=/ s "&amp;INDEX(CUEs!$B:$B,INT((ROW()-1)/7)*57+MOD(ROW()-1,7)+50),"")</f>
        <v/>
      </c>
    </row>
    <row r="3798" spans="1:1" x14ac:dyDescent="0.25">
      <c r="A3798" t="str" cm="1">
        <f t="array" ref="A3798">IF(INDEX(CUEs!$A:$A,INT((ROW()-1)/7)*57+MOD(ROW()-1,7)+50)&lt;&gt;"","set "&amp;INDEX(CUEs!$A:$A,INT((ROW()-1)/7)*57+MOD(ROW()-1,7)+50)&amp;"=/ s "&amp;INDEX(CUEs!$B:$B,INT((ROW()-1)/7)*57+MOD(ROW()-1,7)+50),"")</f>
        <v/>
      </c>
    </row>
    <row r="3799" spans="1:1" x14ac:dyDescent="0.25">
      <c r="A3799" t="str" cm="1">
        <f t="array" ref="A3799">IF(INDEX(CUEs!$A:$A,INT((ROW()-1)/7)*57+MOD(ROW()-1,7)+50)&lt;&gt;"","set "&amp;INDEX(CUEs!$A:$A,INT((ROW()-1)/7)*57+MOD(ROW()-1,7)+50)&amp;"=/ s "&amp;INDEX(CUEs!$B:$B,INT((ROW()-1)/7)*57+MOD(ROW()-1,7)+50),"")</f>
        <v/>
      </c>
    </row>
    <row r="3800" spans="1:1" x14ac:dyDescent="0.25">
      <c r="A3800" t="str" cm="1">
        <f t="array" ref="A3800">IF(INDEX(CUEs!$A:$A,INT((ROW()-1)/7)*57+MOD(ROW()-1,7)+50)&lt;&gt;"","set "&amp;INDEX(CUEs!$A:$A,INT((ROW()-1)/7)*57+MOD(ROW()-1,7)+50)&amp;"=/ s "&amp;INDEX(CUEs!$B:$B,INT((ROW()-1)/7)*57+MOD(ROW()-1,7)+50),"")</f>
        <v/>
      </c>
    </row>
    <row r="3801" spans="1:1" x14ac:dyDescent="0.25">
      <c r="A3801" t="str" cm="1">
        <f t="array" ref="A3801">IF(INDEX(CUEs!$A:$A,INT((ROW()-1)/7)*57+MOD(ROW()-1,7)+50)&lt;&gt;"","set "&amp;INDEX(CUEs!$A:$A,INT((ROW()-1)/7)*57+MOD(ROW()-1,7)+50)&amp;"=/ s "&amp;INDEX(CUEs!$B:$B,INT((ROW()-1)/7)*57+MOD(ROW()-1,7)+50),"")</f>
        <v/>
      </c>
    </row>
    <row r="3802" spans="1:1" x14ac:dyDescent="0.25">
      <c r="A3802" t="str" cm="1">
        <f t="array" ref="A3802">IF(INDEX(CUEs!$A:$A,INT((ROW()-1)/7)*57+MOD(ROW()-1,7)+50)&lt;&gt;"","set "&amp;INDEX(CUEs!$A:$A,INT((ROW()-1)/7)*57+MOD(ROW()-1,7)+50)&amp;"=/ s "&amp;INDEX(CUEs!$B:$B,INT((ROW()-1)/7)*57+MOD(ROW()-1,7)+50),"")</f>
        <v/>
      </c>
    </row>
    <row r="3803" spans="1:1" x14ac:dyDescent="0.25">
      <c r="A3803" t="str" cm="1">
        <f t="array" ref="A3803">IF(INDEX(CUEs!$A:$A,INT((ROW()-1)/7)*57+MOD(ROW()-1,7)+50)&lt;&gt;"","set "&amp;INDEX(CUEs!$A:$A,INT((ROW()-1)/7)*57+MOD(ROW()-1,7)+50)&amp;"=/ s "&amp;INDEX(CUEs!$B:$B,INT((ROW()-1)/7)*57+MOD(ROW()-1,7)+50),"")</f>
        <v/>
      </c>
    </row>
    <row r="3804" spans="1:1" x14ac:dyDescent="0.25">
      <c r="A3804" t="str" cm="1">
        <f t="array" ref="A3804">IF(INDEX(CUEs!$A:$A,INT((ROW()-1)/7)*57+MOD(ROW()-1,7)+50)&lt;&gt;"","set "&amp;INDEX(CUEs!$A:$A,INT((ROW()-1)/7)*57+MOD(ROW()-1,7)+50)&amp;"=/ s "&amp;INDEX(CUEs!$B:$B,INT((ROW()-1)/7)*57+MOD(ROW()-1,7)+50),"")</f>
        <v/>
      </c>
    </row>
    <row r="3805" spans="1:1" x14ac:dyDescent="0.25">
      <c r="A3805" t="str" cm="1">
        <f t="array" ref="A3805">IF(INDEX(CUEs!$A:$A,INT((ROW()-1)/7)*57+MOD(ROW()-1,7)+50)&lt;&gt;"","set "&amp;INDEX(CUEs!$A:$A,INT((ROW()-1)/7)*57+MOD(ROW()-1,7)+50)&amp;"=/ s "&amp;INDEX(CUEs!$B:$B,INT((ROW()-1)/7)*57+MOD(ROW()-1,7)+50),"")</f>
        <v/>
      </c>
    </row>
    <row r="3806" spans="1:1" x14ac:dyDescent="0.25">
      <c r="A3806" t="str" cm="1">
        <f t="array" ref="A3806">IF(INDEX(CUEs!$A:$A,INT((ROW()-1)/7)*57+MOD(ROW()-1,7)+50)&lt;&gt;"","set "&amp;INDEX(CUEs!$A:$A,INT((ROW()-1)/7)*57+MOD(ROW()-1,7)+50)&amp;"=/ s "&amp;INDEX(CUEs!$B:$B,INT((ROW()-1)/7)*57+MOD(ROW()-1,7)+50),"")</f>
        <v/>
      </c>
    </row>
    <row r="3807" spans="1:1" x14ac:dyDescent="0.25">
      <c r="A3807" t="str" cm="1">
        <f t="array" ref="A3807">IF(INDEX(CUEs!$A:$A,INT((ROW()-1)/7)*57+MOD(ROW()-1,7)+50)&lt;&gt;"","set "&amp;INDEX(CUEs!$A:$A,INT((ROW()-1)/7)*57+MOD(ROW()-1,7)+50)&amp;"=/ s "&amp;INDEX(CUEs!$B:$B,INT((ROW()-1)/7)*57+MOD(ROW()-1,7)+50),"")</f>
        <v/>
      </c>
    </row>
    <row r="3808" spans="1:1" x14ac:dyDescent="0.25">
      <c r="A3808" t="str" cm="1">
        <f t="array" ref="A3808">IF(INDEX(CUEs!$A:$A,INT((ROW()-1)/7)*57+MOD(ROW()-1,7)+50)&lt;&gt;"","set "&amp;INDEX(CUEs!$A:$A,INT((ROW()-1)/7)*57+MOD(ROW()-1,7)+50)&amp;"=/ s "&amp;INDEX(CUEs!$B:$B,INT((ROW()-1)/7)*57+MOD(ROW()-1,7)+50),"")</f>
        <v/>
      </c>
    </row>
    <row r="3809" spans="1:1" x14ac:dyDescent="0.25">
      <c r="A3809" t="str" cm="1">
        <f t="array" ref="A3809">IF(INDEX(CUEs!$A:$A,INT((ROW()-1)/7)*57+MOD(ROW()-1,7)+50)&lt;&gt;"","set "&amp;INDEX(CUEs!$A:$A,INT((ROW()-1)/7)*57+MOD(ROW()-1,7)+50)&amp;"=/ s "&amp;INDEX(CUEs!$B:$B,INT((ROW()-1)/7)*57+MOD(ROW()-1,7)+50),"")</f>
        <v/>
      </c>
    </row>
    <row r="3810" spans="1:1" x14ac:dyDescent="0.25">
      <c r="A3810" t="str" cm="1">
        <f t="array" ref="A3810">IF(INDEX(CUEs!$A:$A,INT((ROW()-1)/7)*57+MOD(ROW()-1,7)+50)&lt;&gt;"","set "&amp;INDEX(CUEs!$A:$A,INT((ROW()-1)/7)*57+MOD(ROW()-1,7)+50)&amp;"=/ s "&amp;INDEX(CUEs!$B:$B,INT((ROW()-1)/7)*57+MOD(ROW()-1,7)+50),"")</f>
        <v/>
      </c>
    </row>
    <row r="3811" spans="1:1" x14ac:dyDescent="0.25">
      <c r="A3811" t="str" cm="1">
        <f t="array" ref="A3811">IF(INDEX(CUEs!$A:$A,INT((ROW()-1)/7)*57+MOD(ROW()-1,7)+50)&lt;&gt;"","set "&amp;INDEX(CUEs!$A:$A,INT((ROW()-1)/7)*57+MOD(ROW()-1,7)+50)&amp;"=/ s "&amp;INDEX(CUEs!$B:$B,INT((ROW()-1)/7)*57+MOD(ROW()-1,7)+50),"")</f>
        <v/>
      </c>
    </row>
    <row r="3812" spans="1:1" x14ac:dyDescent="0.25">
      <c r="A3812" t="str" cm="1">
        <f t="array" ref="A3812">IF(INDEX(CUEs!$A:$A,INT((ROW()-1)/7)*57+MOD(ROW()-1,7)+50)&lt;&gt;"","set "&amp;INDEX(CUEs!$A:$A,INT((ROW()-1)/7)*57+MOD(ROW()-1,7)+50)&amp;"=/ s "&amp;INDEX(CUEs!$B:$B,INT((ROW()-1)/7)*57+MOD(ROW()-1,7)+50),"")</f>
        <v/>
      </c>
    </row>
    <row r="3813" spans="1:1" x14ac:dyDescent="0.25">
      <c r="A3813" t="str" cm="1">
        <f t="array" ref="A3813">IF(INDEX(CUEs!$A:$A,INT((ROW()-1)/7)*57+MOD(ROW()-1,7)+50)&lt;&gt;"","set "&amp;INDEX(CUEs!$A:$A,INT((ROW()-1)/7)*57+MOD(ROW()-1,7)+50)&amp;"=/ s "&amp;INDEX(CUEs!$B:$B,INT((ROW()-1)/7)*57+MOD(ROW()-1,7)+50),"")</f>
        <v/>
      </c>
    </row>
    <row r="3814" spans="1:1" x14ac:dyDescent="0.25">
      <c r="A3814" t="str" cm="1">
        <f t="array" ref="A3814">IF(INDEX(CUEs!$A:$A,INT((ROW()-1)/7)*57+MOD(ROW()-1,7)+50)&lt;&gt;"","set "&amp;INDEX(CUEs!$A:$A,INT((ROW()-1)/7)*57+MOD(ROW()-1,7)+50)&amp;"=/ s "&amp;INDEX(CUEs!$B:$B,INT((ROW()-1)/7)*57+MOD(ROW()-1,7)+50),"")</f>
        <v/>
      </c>
    </row>
    <row r="3815" spans="1:1" x14ac:dyDescent="0.25">
      <c r="A3815" t="str" cm="1">
        <f t="array" ref="A3815">IF(INDEX(CUEs!$A:$A,INT((ROW()-1)/7)*57+MOD(ROW()-1,7)+50)&lt;&gt;"","set "&amp;INDEX(CUEs!$A:$A,INT((ROW()-1)/7)*57+MOD(ROW()-1,7)+50)&amp;"=/ s "&amp;INDEX(CUEs!$B:$B,INT((ROW()-1)/7)*57+MOD(ROW()-1,7)+50),"")</f>
        <v/>
      </c>
    </row>
    <row r="3816" spans="1:1" x14ac:dyDescent="0.25">
      <c r="A3816" t="str" cm="1">
        <f t="array" ref="A3816">IF(INDEX(CUEs!$A:$A,INT((ROW()-1)/7)*57+MOD(ROW()-1,7)+50)&lt;&gt;"","set "&amp;INDEX(CUEs!$A:$A,INT((ROW()-1)/7)*57+MOD(ROW()-1,7)+50)&amp;"=/ s "&amp;INDEX(CUEs!$B:$B,INT((ROW()-1)/7)*57+MOD(ROW()-1,7)+50),"")</f>
        <v/>
      </c>
    </row>
    <row r="3817" spans="1:1" x14ac:dyDescent="0.25">
      <c r="A3817" t="str" cm="1">
        <f t="array" ref="A3817">IF(INDEX(CUEs!$A:$A,INT((ROW()-1)/7)*57+MOD(ROW()-1,7)+50)&lt;&gt;"","set "&amp;INDEX(CUEs!$A:$A,INT((ROW()-1)/7)*57+MOD(ROW()-1,7)+50)&amp;"=/ s "&amp;INDEX(CUEs!$B:$B,INT((ROW()-1)/7)*57+MOD(ROW()-1,7)+50),"")</f>
        <v/>
      </c>
    </row>
    <row r="3818" spans="1:1" x14ac:dyDescent="0.25">
      <c r="A3818" t="str" cm="1">
        <f t="array" ref="A3818">IF(INDEX(CUEs!$A:$A,INT((ROW()-1)/7)*57+MOD(ROW()-1,7)+50)&lt;&gt;"","set "&amp;INDEX(CUEs!$A:$A,INT((ROW()-1)/7)*57+MOD(ROW()-1,7)+50)&amp;"=/ s "&amp;INDEX(CUEs!$B:$B,INT((ROW()-1)/7)*57+MOD(ROW()-1,7)+50),"")</f>
        <v/>
      </c>
    </row>
    <row r="3819" spans="1:1" x14ac:dyDescent="0.25">
      <c r="A3819" t="str" cm="1">
        <f t="array" ref="A3819">IF(INDEX(CUEs!$A:$A,INT((ROW()-1)/7)*57+MOD(ROW()-1,7)+50)&lt;&gt;"","set "&amp;INDEX(CUEs!$A:$A,INT((ROW()-1)/7)*57+MOD(ROW()-1,7)+50)&amp;"=/ s "&amp;INDEX(CUEs!$B:$B,INT((ROW()-1)/7)*57+MOD(ROW()-1,7)+50),"")</f>
        <v/>
      </c>
    </row>
    <row r="3820" spans="1:1" x14ac:dyDescent="0.25">
      <c r="A3820" t="str" cm="1">
        <f t="array" ref="A3820">IF(INDEX(CUEs!$A:$A,INT((ROW()-1)/7)*57+MOD(ROW()-1,7)+50)&lt;&gt;"","set "&amp;INDEX(CUEs!$A:$A,INT((ROW()-1)/7)*57+MOD(ROW()-1,7)+50)&amp;"=/ s "&amp;INDEX(CUEs!$B:$B,INT((ROW()-1)/7)*57+MOD(ROW()-1,7)+50),"")</f>
        <v/>
      </c>
    </row>
    <row r="3821" spans="1:1" x14ac:dyDescent="0.25">
      <c r="A3821" t="str" cm="1">
        <f t="array" ref="A3821">IF(INDEX(CUEs!$A:$A,INT((ROW()-1)/7)*57+MOD(ROW()-1,7)+50)&lt;&gt;"","set "&amp;INDEX(CUEs!$A:$A,INT((ROW()-1)/7)*57+MOD(ROW()-1,7)+50)&amp;"=/ s "&amp;INDEX(CUEs!$B:$B,INT((ROW()-1)/7)*57+MOD(ROW()-1,7)+50),"")</f>
        <v/>
      </c>
    </row>
    <row r="3822" spans="1:1" x14ac:dyDescent="0.25">
      <c r="A3822" t="str" cm="1">
        <f t="array" ref="A3822">IF(INDEX(CUEs!$A:$A,INT((ROW()-1)/7)*57+MOD(ROW()-1,7)+50)&lt;&gt;"","set "&amp;INDEX(CUEs!$A:$A,INT((ROW()-1)/7)*57+MOD(ROW()-1,7)+50)&amp;"=/ s "&amp;INDEX(CUEs!$B:$B,INT((ROW()-1)/7)*57+MOD(ROW()-1,7)+50),"")</f>
        <v/>
      </c>
    </row>
    <row r="3823" spans="1:1" x14ac:dyDescent="0.25">
      <c r="A3823" t="str" cm="1">
        <f t="array" ref="A3823">IF(INDEX(CUEs!$A:$A,INT((ROW()-1)/7)*57+MOD(ROW()-1,7)+50)&lt;&gt;"","set "&amp;INDEX(CUEs!$A:$A,INT((ROW()-1)/7)*57+MOD(ROW()-1,7)+50)&amp;"=/ s "&amp;INDEX(CUEs!$B:$B,INT((ROW()-1)/7)*57+MOD(ROW()-1,7)+50),"")</f>
        <v/>
      </c>
    </row>
    <row r="3824" spans="1:1" x14ac:dyDescent="0.25">
      <c r="A3824" t="str" cm="1">
        <f t="array" ref="A3824">IF(INDEX(CUEs!$A:$A,INT((ROW()-1)/7)*57+MOD(ROW()-1,7)+50)&lt;&gt;"","set "&amp;INDEX(CUEs!$A:$A,INT((ROW()-1)/7)*57+MOD(ROW()-1,7)+50)&amp;"=/ s "&amp;INDEX(CUEs!$B:$B,INT((ROW()-1)/7)*57+MOD(ROW()-1,7)+50),"")</f>
        <v/>
      </c>
    </row>
    <row r="3825" spans="1:1" x14ac:dyDescent="0.25">
      <c r="A3825" t="str" cm="1">
        <f t="array" ref="A3825">IF(INDEX(CUEs!$A:$A,INT((ROW()-1)/7)*57+MOD(ROW()-1,7)+50)&lt;&gt;"","set "&amp;INDEX(CUEs!$A:$A,INT((ROW()-1)/7)*57+MOD(ROW()-1,7)+50)&amp;"=/ s "&amp;INDEX(CUEs!$B:$B,INT((ROW()-1)/7)*57+MOD(ROW()-1,7)+50),"")</f>
        <v/>
      </c>
    </row>
    <row r="3826" spans="1:1" x14ac:dyDescent="0.25">
      <c r="A3826" t="str" cm="1">
        <f t="array" ref="A3826">IF(INDEX(CUEs!$A:$A,INT((ROW()-1)/7)*57+MOD(ROW()-1,7)+50)&lt;&gt;"","set "&amp;INDEX(CUEs!$A:$A,INT((ROW()-1)/7)*57+MOD(ROW()-1,7)+50)&amp;"=/ s "&amp;INDEX(CUEs!$B:$B,INT((ROW()-1)/7)*57+MOD(ROW()-1,7)+50),"")</f>
        <v/>
      </c>
    </row>
    <row r="3827" spans="1:1" x14ac:dyDescent="0.25">
      <c r="A3827" t="str" cm="1">
        <f t="array" ref="A3827">IF(INDEX(CUEs!$A:$A,INT((ROW()-1)/7)*57+MOD(ROW()-1,7)+50)&lt;&gt;"","set "&amp;INDEX(CUEs!$A:$A,INT((ROW()-1)/7)*57+MOD(ROW()-1,7)+50)&amp;"=/ s "&amp;INDEX(CUEs!$B:$B,INT((ROW()-1)/7)*57+MOD(ROW()-1,7)+50),"")</f>
        <v/>
      </c>
    </row>
    <row r="3828" spans="1:1" x14ac:dyDescent="0.25">
      <c r="A3828" t="str" cm="1">
        <f t="array" ref="A3828">IF(INDEX(CUEs!$A:$A,INT((ROW()-1)/7)*57+MOD(ROW()-1,7)+50)&lt;&gt;"","set "&amp;INDEX(CUEs!$A:$A,INT((ROW()-1)/7)*57+MOD(ROW()-1,7)+50)&amp;"=/ s "&amp;INDEX(CUEs!$B:$B,INT((ROW()-1)/7)*57+MOD(ROW()-1,7)+50),"")</f>
        <v/>
      </c>
    </row>
    <row r="3829" spans="1:1" x14ac:dyDescent="0.25">
      <c r="A3829" t="str" cm="1">
        <f t="array" ref="A3829">IF(INDEX(CUEs!$A:$A,INT((ROW()-1)/7)*57+MOD(ROW()-1,7)+50)&lt;&gt;"","set "&amp;INDEX(CUEs!$A:$A,INT((ROW()-1)/7)*57+MOD(ROW()-1,7)+50)&amp;"=/ s "&amp;INDEX(CUEs!$B:$B,INT((ROW()-1)/7)*57+MOD(ROW()-1,7)+50),"")</f>
        <v/>
      </c>
    </row>
    <row r="3830" spans="1:1" x14ac:dyDescent="0.25">
      <c r="A3830" t="str" cm="1">
        <f t="array" ref="A3830">IF(INDEX(CUEs!$A:$A,INT((ROW()-1)/7)*57+MOD(ROW()-1,7)+50)&lt;&gt;"","set "&amp;INDEX(CUEs!$A:$A,INT((ROW()-1)/7)*57+MOD(ROW()-1,7)+50)&amp;"=/ s "&amp;INDEX(CUEs!$B:$B,INT((ROW()-1)/7)*57+MOD(ROW()-1,7)+50),"")</f>
        <v/>
      </c>
    </row>
    <row r="3831" spans="1:1" x14ac:dyDescent="0.25">
      <c r="A3831" t="str" cm="1">
        <f t="array" ref="A3831">IF(INDEX(CUEs!$A:$A,INT((ROW()-1)/7)*57+MOD(ROW()-1,7)+50)&lt;&gt;"","set "&amp;INDEX(CUEs!$A:$A,INT((ROW()-1)/7)*57+MOD(ROW()-1,7)+50)&amp;"=/ s "&amp;INDEX(CUEs!$B:$B,INT((ROW()-1)/7)*57+MOD(ROW()-1,7)+50),"")</f>
        <v/>
      </c>
    </row>
    <row r="3832" spans="1:1" x14ac:dyDescent="0.25">
      <c r="A3832" t="str" cm="1">
        <f t="array" ref="A3832">IF(INDEX(CUEs!$A:$A,INT((ROW()-1)/7)*57+MOD(ROW()-1,7)+50)&lt;&gt;"","set "&amp;INDEX(CUEs!$A:$A,INT((ROW()-1)/7)*57+MOD(ROW()-1,7)+50)&amp;"=/ s "&amp;INDEX(CUEs!$B:$B,INT((ROW()-1)/7)*57+MOD(ROW()-1,7)+50),"")</f>
        <v/>
      </c>
    </row>
    <row r="3833" spans="1:1" x14ac:dyDescent="0.25">
      <c r="A3833" t="str" cm="1">
        <f t="array" ref="A3833">IF(INDEX(CUEs!$A:$A,INT((ROW()-1)/7)*57+MOD(ROW()-1,7)+50)&lt;&gt;"","set "&amp;INDEX(CUEs!$A:$A,INT((ROW()-1)/7)*57+MOD(ROW()-1,7)+50)&amp;"=/ s "&amp;INDEX(CUEs!$B:$B,INT((ROW()-1)/7)*57+MOD(ROW()-1,7)+50),"")</f>
        <v/>
      </c>
    </row>
    <row r="3834" spans="1:1" x14ac:dyDescent="0.25">
      <c r="A3834" t="str" cm="1">
        <f t="array" ref="A3834">IF(INDEX(CUEs!$A:$A,INT((ROW()-1)/7)*57+MOD(ROW()-1,7)+50)&lt;&gt;"","set "&amp;INDEX(CUEs!$A:$A,INT((ROW()-1)/7)*57+MOD(ROW()-1,7)+50)&amp;"=/ s "&amp;INDEX(CUEs!$B:$B,INT((ROW()-1)/7)*57+MOD(ROW()-1,7)+50),"")</f>
        <v/>
      </c>
    </row>
    <row r="3835" spans="1:1" x14ac:dyDescent="0.25">
      <c r="A3835" t="str" cm="1">
        <f t="array" ref="A3835">IF(INDEX(CUEs!$A:$A,INT((ROW()-1)/7)*57+MOD(ROW()-1,7)+50)&lt;&gt;"","set "&amp;INDEX(CUEs!$A:$A,INT((ROW()-1)/7)*57+MOD(ROW()-1,7)+50)&amp;"=/ s "&amp;INDEX(CUEs!$B:$B,INT((ROW()-1)/7)*57+MOD(ROW()-1,7)+50),"")</f>
        <v/>
      </c>
    </row>
    <row r="3836" spans="1:1" x14ac:dyDescent="0.25">
      <c r="A3836" t="str" cm="1">
        <f t="array" ref="A3836">IF(INDEX(CUEs!$A:$A,INT((ROW()-1)/7)*57+MOD(ROW()-1,7)+50)&lt;&gt;"","set "&amp;INDEX(CUEs!$A:$A,INT((ROW()-1)/7)*57+MOD(ROW()-1,7)+50)&amp;"=/ s "&amp;INDEX(CUEs!$B:$B,INT((ROW()-1)/7)*57+MOD(ROW()-1,7)+50),"")</f>
        <v/>
      </c>
    </row>
    <row r="3837" spans="1:1" x14ac:dyDescent="0.25">
      <c r="A3837" t="str" cm="1">
        <f t="array" ref="A3837">IF(INDEX(CUEs!$A:$A,INT((ROW()-1)/7)*57+MOD(ROW()-1,7)+50)&lt;&gt;"","set "&amp;INDEX(CUEs!$A:$A,INT((ROW()-1)/7)*57+MOD(ROW()-1,7)+50)&amp;"=/ s "&amp;INDEX(CUEs!$B:$B,INT((ROW()-1)/7)*57+MOD(ROW()-1,7)+50),"")</f>
        <v/>
      </c>
    </row>
    <row r="3838" spans="1:1" x14ac:dyDescent="0.25">
      <c r="A3838" t="str" cm="1">
        <f t="array" ref="A3838">IF(INDEX(CUEs!$A:$A,INT((ROW()-1)/7)*57+MOD(ROW()-1,7)+50)&lt;&gt;"","set "&amp;INDEX(CUEs!$A:$A,INT((ROW()-1)/7)*57+MOD(ROW()-1,7)+50)&amp;"=/ s "&amp;INDEX(CUEs!$B:$B,INT((ROW()-1)/7)*57+MOD(ROW()-1,7)+50),"")</f>
        <v/>
      </c>
    </row>
    <row r="3839" spans="1:1" x14ac:dyDescent="0.25">
      <c r="A3839" t="str" cm="1">
        <f t="array" ref="A3839">IF(INDEX(CUEs!$A:$A,INT((ROW()-1)/7)*57+MOD(ROW()-1,7)+50)&lt;&gt;"","set "&amp;INDEX(CUEs!$A:$A,INT((ROW()-1)/7)*57+MOD(ROW()-1,7)+50)&amp;"=/ s "&amp;INDEX(CUEs!$B:$B,INT((ROW()-1)/7)*57+MOD(ROW()-1,7)+50),"")</f>
        <v/>
      </c>
    </row>
    <row r="3840" spans="1:1" x14ac:dyDescent="0.25">
      <c r="A3840" t="str" cm="1">
        <f t="array" ref="A3840">IF(INDEX(CUEs!$A:$A,INT((ROW()-1)/7)*57+MOD(ROW()-1,7)+50)&lt;&gt;"","set "&amp;INDEX(CUEs!$A:$A,INT((ROW()-1)/7)*57+MOD(ROW()-1,7)+50)&amp;"=/ s "&amp;INDEX(CUEs!$B:$B,INT((ROW()-1)/7)*57+MOD(ROW()-1,7)+50),"")</f>
        <v/>
      </c>
    </row>
    <row r="3841" spans="1:1" x14ac:dyDescent="0.25">
      <c r="A3841" t="str" cm="1">
        <f t="array" ref="A3841">IF(INDEX(CUEs!$A:$A,INT((ROW()-1)/7)*57+MOD(ROW()-1,7)+50)&lt;&gt;"","set "&amp;INDEX(CUEs!$A:$A,INT((ROW()-1)/7)*57+MOD(ROW()-1,7)+50)&amp;"=/ s "&amp;INDEX(CUEs!$B:$B,INT((ROW()-1)/7)*57+MOD(ROW()-1,7)+50),"")</f>
        <v/>
      </c>
    </row>
    <row r="3842" spans="1:1" x14ac:dyDescent="0.25">
      <c r="A3842" t="str" cm="1">
        <f t="array" ref="A3842">IF(INDEX(CUEs!$A:$A,INT((ROW()-1)/7)*57+MOD(ROW()-1,7)+50)&lt;&gt;"","set "&amp;INDEX(CUEs!$A:$A,INT((ROW()-1)/7)*57+MOD(ROW()-1,7)+50)&amp;"=/ s "&amp;INDEX(CUEs!$B:$B,INT((ROW()-1)/7)*57+MOD(ROW()-1,7)+50),"")</f>
        <v/>
      </c>
    </row>
    <row r="3843" spans="1:1" x14ac:dyDescent="0.25">
      <c r="A3843" t="str" cm="1">
        <f t="array" ref="A3843">IF(INDEX(CUEs!$A:$A,INT((ROW()-1)/7)*57+MOD(ROW()-1,7)+50)&lt;&gt;"","set "&amp;INDEX(CUEs!$A:$A,INT((ROW()-1)/7)*57+MOD(ROW()-1,7)+50)&amp;"=/ s "&amp;INDEX(CUEs!$B:$B,INT((ROW()-1)/7)*57+MOD(ROW()-1,7)+50),"")</f>
        <v/>
      </c>
    </row>
    <row r="3844" spans="1:1" x14ac:dyDescent="0.25">
      <c r="A3844" t="str" cm="1">
        <f t="array" ref="A3844">IF(INDEX(CUEs!$A:$A,INT((ROW()-1)/7)*57+MOD(ROW()-1,7)+50)&lt;&gt;"","set "&amp;INDEX(CUEs!$A:$A,INT((ROW()-1)/7)*57+MOD(ROW()-1,7)+50)&amp;"=/ s "&amp;INDEX(CUEs!$B:$B,INT((ROW()-1)/7)*57+MOD(ROW()-1,7)+50),"")</f>
        <v/>
      </c>
    </row>
    <row r="3845" spans="1:1" x14ac:dyDescent="0.25">
      <c r="A3845" t="str" cm="1">
        <f t="array" ref="A3845">IF(INDEX(CUEs!$A:$A,INT((ROW()-1)/7)*57+MOD(ROW()-1,7)+50)&lt;&gt;"","set "&amp;INDEX(CUEs!$A:$A,INT((ROW()-1)/7)*57+MOD(ROW()-1,7)+50)&amp;"=/ s "&amp;INDEX(CUEs!$B:$B,INT((ROW()-1)/7)*57+MOD(ROW()-1,7)+50),"")</f>
        <v/>
      </c>
    </row>
    <row r="3846" spans="1:1" x14ac:dyDescent="0.25">
      <c r="A3846" t="str" cm="1">
        <f t="array" ref="A3846">IF(INDEX(CUEs!$A:$A,INT((ROW()-1)/7)*57+MOD(ROW()-1,7)+50)&lt;&gt;"","set "&amp;INDEX(CUEs!$A:$A,INT((ROW()-1)/7)*57+MOD(ROW()-1,7)+50)&amp;"=/ s "&amp;INDEX(CUEs!$B:$B,INT((ROW()-1)/7)*57+MOD(ROW()-1,7)+50),"")</f>
        <v/>
      </c>
    </row>
    <row r="3847" spans="1:1" x14ac:dyDescent="0.25">
      <c r="A3847" t="str" cm="1">
        <f t="array" ref="A3847">IF(INDEX(CUEs!$A:$A,INT((ROW()-1)/7)*57+MOD(ROW()-1,7)+50)&lt;&gt;"","set "&amp;INDEX(CUEs!$A:$A,INT((ROW()-1)/7)*57+MOD(ROW()-1,7)+50)&amp;"=/ s "&amp;INDEX(CUEs!$B:$B,INT((ROW()-1)/7)*57+MOD(ROW()-1,7)+50),"")</f>
        <v/>
      </c>
    </row>
    <row r="3848" spans="1:1" x14ac:dyDescent="0.25">
      <c r="A3848" t="str" cm="1">
        <f t="array" ref="A3848">IF(INDEX(CUEs!$A:$A,INT((ROW()-1)/7)*57+MOD(ROW()-1,7)+50)&lt;&gt;"","set "&amp;INDEX(CUEs!$A:$A,INT((ROW()-1)/7)*57+MOD(ROW()-1,7)+50)&amp;"=/ s "&amp;INDEX(CUEs!$B:$B,INT((ROW()-1)/7)*57+MOD(ROW()-1,7)+50),"")</f>
        <v/>
      </c>
    </row>
    <row r="3849" spans="1:1" x14ac:dyDescent="0.25">
      <c r="A3849" t="str" cm="1">
        <f t="array" ref="A3849">IF(INDEX(CUEs!$A:$A,INT((ROW()-1)/7)*57+MOD(ROW()-1,7)+50)&lt;&gt;"","set "&amp;INDEX(CUEs!$A:$A,INT((ROW()-1)/7)*57+MOD(ROW()-1,7)+50)&amp;"=/ s "&amp;INDEX(CUEs!$B:$B,INT((ROW()-1)/7)*57+MOD(ROW()-1,7)+50),"")</f>
        <v/>
      </c>
    </row>
    <row r="3850" spans="1:1" x14ac:dyDescent="0.25">
      <c r="A3850" t="str" cm="1">
        <f t="array" ref="A3850">IF(INDEX(CUEs!$A:$A,INT((ROW()-1)/7)*57+MOD(ROW()-1,7)+50)&lt;&gt;"","set "&amp;INDEX(CUEs!$A:$A,INT((ROW()-1)/7)*57+MOD(ROW()-1,7)+50)&amp;"=/ s "&amp;INDEX(CUEs!$B:$B,INT((ROW()-1)/7)*57+MOD(ROW()-1,7)+50),"")</f>
        <v/>
      </c>
    </row>
    <row r="3851" spans="1:1" x14ac:dyDescent="0.25">
      <c r="A3851" t="str" cm="1">
        <f t="array" ref="A3851">IF(INDEX(CUEs!$A:$A,INT((ROW()-1)/7)*57+MOD(ROW()-1,7)+50)&lt;&gt;"","set "&amp;INDEX(CUEs!$A:$A,INT((ROW()-1)/7)*57+MOD(ROW()-1,7)+50)&amp;"=/ s "&amp;INDEX(CUEs!$B:$B,INT((ROW()-1)/7)*57+MOD(ROW()-1,7)+50),"")</f>
        <v/>
      </c>
    </row>
    <row r="3852" spans="1:1" x14ac:dyDescent="0.25">
      <c r="A3852" t="str" cm="1">
        <f t="array" ref="A3852">IF(INDEX(CUEs!$A:$A,INT((ROW()-1)/7)*57+MOD(ROW()-1,7)+50)&lt;&gt;"","set "&amp;INDEX(CUEs!$A:$A,INT((ROW()-1)/7)*57+MOD(ROW()-1,7)+50)&amp;"=/ s "&amp;INDEX(CUEs!$B:$B,INT((ROW()-1)/7)*57+MOD(ROW()-1,7)+50),"")</f>
        <v/>
      </c>
    </row>
    <row r="3853" spans="1:1" x14ac:dyDescent="0.25">
      <c r="A3853" t="str" cm="1">
        <f t="array" ref="A3853">IF(INDEX(CUEs!$A:$A,INT((ROW()-1)/7)*57+MOD(ROW()-1,7)+50)&lt;&gt;"","set "&amp;INDEX(CUEs!$A:$A,INT((ROW()-1)/7)*57+MOD(ROW()-1,7)+50)&amp;"=/ s "&amp;INDEX(CUEs!$B:$B,INT((ROW()-1)/7)*57+MOD(ROW()-1,7)+50),"")</f>
        <v/>
      </c>
    </row>
    <row r="3854" spans="1:1" x14ac:dyDescent="0.25">
      <c r="A3854" t="str" cm="1">
        <f t="array" ref="A3854">IF(INDEX(CUEs!$A:$A,INT((ROW()-1)/7)*57+MOD(ROW()-1,7)+50)&lt;&gt;"","set "&amp;INDEX(CUEs!$A:$A,INT((ROW()-1)/7)*57+MOD(ROW()-1,7)+50)&amp;"=/ s "&amp;INDEX(CUEs!$B:$B,INT((ROW()-1)/7)*57+MOD(ROW()-1,7)+50),"")</f>
        <v/>
      </c>
    </row>
    <row r="3855" spans="1:1" x14ac:dyDescent="0.25">
      <c r="A3855" t="str" cm="1">
        <f t="array" ref="A3855">IF(INDEX(CUEs!$A:$A,INT((ROW()-1)/7)*57+MOD(ROW()-1,7)+50)&lt;&gt;"","set "&amp;INDEX(CUEs!$A:$A,INT((ROW()-1)/7)*57+MOD(ROW()-1,7)+50)&amp;"=/ s "&amp;INDEX(CUEs!$B:$B,INT((ROW()-1)/7)*57+MOD(ROW()-1,7)+50),"")</f>
        <v/>
      </c>
    </row>
    <row r="3856" spans="1:1" x14ac:dyDescent="0.25">
      <c r="A3856" t="str" cm="1">
        <f t="array" ref="A3856">IF(INDEX(CUEs!$A:$A,INT((ROW()-1)/7)*57+MOD(ROW()-1,7)+50)&lt;&gt;"","set "&amp;INDEX(CUEs!$A:$A,INT((ROW()-1)/7)*57+MOD(ROW()-1,7)+50)&amp;"=/ s "&amp;INDEX(CUEs!$B:$B,INT((ROW()-1)/7)*57+MOD(ROW()-1,7)+50),"")</f>
        <v/>
      </c>
    </row>
    <row r="3857" spans="1:1" x14ac:dyDescent="0.25">
      <c r="A3857" t="str" cm="1">
        <f t="array" ref="A3857">IF(INDEX(CUEs!$A:$A,INT((ROW()-1)/7)*57+MOD(ROW()-1,7)+50)&lt;&gt;"","set "&amp;INDEX(CUEs!$A:$A,INT((ROW()-1)/7)*57+MOD(ROW()-1,7)+50)&amp;"=/ s "&amp;INDEX(CUEs!$B:$B,INT((ROW()-1)/7)*57+MOD(ROW()-1,7)+50),"")</f>
        <v/>
      </c>
    </row>
    <row r="3858" spans="1:1" x14ac:dyDescent="0.25">
      <c r="A3858" t="str" cm="1">
        <f t="array" ref="A3858">IF(INDEX(CUEs!$A:$A,INT((ROW()-1)/7)*57+MOD(ROW()-1,7)+50)&lt;&gt;"","set "&amp;INDEX(CUEs!$A:$A,INT((ROW()-1)/7)*57+MOD(ROW()-1,7)+50)&amp;"=/ s "&amp;INDEX(CUEs!$B:$B,INT((ROW()-1)/7)*57+MOD(ROW()-1,7)+50),"")</f>
        <v/>
      </c>
    </row>
    <row r="3859" spans="1:1" x14ac:dyDescent="0.25">
      <c r="A3859" t="str" cm="1">
        <f t="array" ref="A3859">IF(INDEX(CUEs!$A:$A,INT((ROW()-1)/7)*57+MOD(ROW()-1,7)+50)&lt;&gt;"","set "&amp;INDEX(CUEs!$A:$A,INT((ROW()-1)/7)*57+MOD(ROW()-1,7)+50)&amp;"=/ s "&amp;INDEX(CUEs!$B:$B,INT((ROW()-1)/7)*57+MOD(ROW()-1,7)+50),"")</f>
        <v/>
      </c>
    </row>
    <row r="3860" spans="1:1" x14ac:dyDescent="0.25">
      <c r="A3860" t="str" cm="1">
        <f t="array" ref="A3860">IF(INDEX(CUEs!$A:$A,INT((ROW()-1)/7)*57+MOD(ROW()-1,7)+50)&lt;&gt;"","set "&amp;INDEX(CUEs!$A:$A,INT((ROW()-1)/7)*57+MOD(ROW()-1,7)+50)&amp;"=/ s "&amp;INDEX(CUEs!$B:$B,INT((ROW()-1)/7)*57+MOD(ROW()-1,7)+50),"")</f>
        <v/>
      </c>
    </row>
    <row r="3861" spans="1:1" x14ac:dyDescent="0.25">
      <c r="A3861" t="str" cm="1">
        <f t="array" ref="A3861">IF(INDEX(CUEs!$A:$A,INT((ROW()-1)/7)*57+MOD(ROW()-1,7)+50)&lt;&gt;"","set "&amp;INDEX(CUEs!$A:$A,INT((ROW()-1)/7)*57+MOD(ROW()-1,7)+50)&amp;"=/ s "&amp;INDEX(CUEs!$B:$B,INT((ROW()-1)/7)*57+MOD(ROW()-1,7)+50),"")</f>
        <v/>
      </c>
    </row>
    <row r="3862" spans="1:1" x14ac:dyDescent="0.25">
      <c r="A3862" t="str" cm="1">
        <f t="array" ref="A3862">IF(INDEX(CUEs!$A:$A,INT((ROW()-1)/7)*57+MOD(ROW()-1,7)+50)&lt;&gt;"","set "&amp;INDEX(CUEs!$A:$A,INT((ROW()-1)/7)*57+MOD(ROW()-1,7)+50)&amp;"=/ s "&amp;INDEX(CUEs!$B:$B,INT((ROW()-1)/7)*57+MOD(ROW()-1,7)+50),"")</f>
        <v/>
      </c>
    </row>
    <row r="3863" spans="1:1" x14ac:dyDescent="0.25">
      <c r="A3863" t="str" cm="1">
        <f t="array" ref="A3863">IF(INDEX(CUEs!$A:$A,INT((ROW()-1)/7)*57+MOD(ROW()-1,7)+50)&lt;&gt;"","set "&amp;INDEX(CUEs!$A:$A,INT((ROW()-1)/7)*57+MOD(ROW()-1,7)+50)&amp;"=/ s "&amp;INDEX(CUEs!$B:$B,INT((ROW()-1)/7)*57+MOD(ROW()-1,7)+50),"")</f>
        <v/>
      </c>
    </row>
    <row r="3864" spans="1:1" x14ac:dyDescent="0.25">
      <c r="A3864" t="str" cm="1">
        <f t="array" ref="A3864">IF(INDEX(CUEs!$A:$A,INT((ROW()-1)/7)*57+MOD(ROW()-1,7)+50)&lt;&gt;"","set "&amp;INDEX(CUEs!$A:$A,INT((ROW()-1)/7)*57+MOD(ROW()-1,7)+50)&amp;"=/ s "&amp;INDEX(CUEs!$B:$B,INT((ROW()-1)/7)*57+MOD(ROW()-1,7)+50),"")</f>
        <v/>
      </c>
    </row>
    <row r="3865" spans="1:1" x14ac:dyDescent="0.25">
      <c r="A3865" t="str" cm="1">
        <f t="array" ref="A3865">IF(INDEX(CUEs!$A:$A,INT((ROW()-1)/7)*57+MOD(ROW()-1,7)+50)&lt;&gt;"","set "&amp;INDEX(CUEs!$A:$A,INT((ROW()-1)/7)*57+MOD(ROW()-1,7)+50)&amp;"=/ s "&amp;INDEX(CUEs!$B:$B,INT((ROW()-1)/7)*57+MOD(ROW()-1,7)+50),"")</f>
        <v/>
      </c>
    </row>
    <row r="3866" spans="1:1" x14ac:dyDescent="0.25">
      <c r="A3866" t="str" cm="1">
        <f t="array" ref="A3866">IF(INDEX(CUEs!$A:$A,INT((ROW()-1)/7)*57+MOD(ROW()-1,7)+50)&lt;&gt;"","set "&amp;INDEX(CUEs!$A:$A,INT((ROW()-1)/7)*57+MOD(ROW()-1,7)+50)&amp;"=/ s "&amp;INDEX(CUEs!$B:$B,INT((ROW()-1)/7)*57+MOD(ROW()-1,7)+50),"")</f>
        <v/>
      </c>
    </row>
    <row r="3867" spans="1:1" x14ac:dyDescent="0.25">
      <c r="A3867" t="str" cm="1">
        <f t="array" ref="A3867">IF(INDEX(CUEs!$A:$A,INT((ROW()-1)/7)*57+MOD(ROW()-1,7)+50)&lt;&gt;"","set "&amp;INDEX(CUEs!$A:$A,INT((ROW()-1)/7)*57+MOD(ROW()-1,7)+50)&amp;"=/ s "&amp;INDEX(CUEs!$B:$B,INT((ROW()-1)/7)*57+MOD(ROW()-1,7)+50),"")</f>
        <v/>
      </c>
    </row>
    <row r="3868" spans="1:1" x14ac:dyDescent="0.25">
      <c r="A3868" t="str" cm="1">
        <f t="array" ref="A3868">IF(INDEX(CUEs!$A:$A,INT((ROW()-1)/7)*57+MOD(ROW()-1,7)+50)&lt;&gt;"","set "&amp;INDEX(CUEs!$A:$A,INT((ROW()-1)/7)*57+MOD(ROW()-1,7)+50)&amp;"=/ s "&amp;INDEX(CUEs!$B:$B,INT((ROW()-1)/7)*57+MOD(ROW()-1,7)+50),"")</f>
        <v/>
      </c>
    </row>
    <row r="3869" spans="1:1" x14ac:dyDescent="0.25">
      <c r="A3869" t="str" cm="1">
        <f t="array" ref="A3869">IF(INDEX(CUEs!$A:$A,INT((ROW()-1)/7)*57+MOD(ROW()-1,7)+50)&lt;&gt;"","set "&amp;INDEX(CUEs!$A:$A,INT((ROW()-1)/7)*57+MOD(ROW()-1,7)+50)&amp;"=/ s "&amp;INDEX(CUEs!$B:$B,INT((ROW()-1)/7)*57+MOD(ROW()-1,7)+50),"")</f>
        <v/>
      </c>
    </row>
    <row r="3870" spans="1:1" x14ac:dyDescent="0.25">
      <c r="A3870" t="str" cm="1">
        <f t="array" ref="A3870">IF(INDEX(CUEs!$A:$A,INT((ROW()-1)/7)*57+MOD(ROW()-1,7)+50)&lt;&gt;"","set "&amp;INDEX(CUEs!$A:$A,INT((ROW()-1)/7)*57+MOD(ROW()-1,7)+50)&amp;"=/ s "&amp;INDEX(CUEs!$B:$B,INT((ROW()-1)/7)*57+MOD(ROW()-1,7)+50),"")</f>
        <v/>
      </c>
    </row>
    <row r="3871" spans="1:1" x14ac:dyDescent="0.25">
      <c r="A3871" t="str" cm="1">
        <f t="array" ref="A3871">IF(INDEX(CUEs!$A:$A,INT((ROW()-1)/7)*57+MOD(ROW()-1,7)+50)&lt;&gt;"","set "&amp;INDEX(CUEs!$A:$A,INT((ROW()-1)/7)*57+MOD(ROW()-1,7)+50)&amp;"=/ s "&amp;INDEX(CUEs!$B:$B,INT((ROW()-1)/7)*57+MOD(ROW()-1,7)+50),"")</f>
        <v/>
      </c>
    </row>
    <row r="3872" spans="1:1" x14ac:dyDescent="0.25">
      <c r="A3872" t="str" cm="1">
        <f t="array" ref="A3872">IF(INDEX(CUEs!$A:$A,INT((ROW()-1)/7)*57+MOD(ROW()-1,7)+50)&lt;&gt;"","set "&amp;INDEX(CUEs!$A:$A,INT((ROW()-1)/7)*57+MOD(ROW()-1,7)+50)&amp;"=/ s "&amp;INDEX(CUEs!$B:$B,INT((ROW()-1)/7)*57+MOD(ROW()-1,7)+50),"")</f>
        <v/>
      </c>
    </row>
    <row r="3873" spans="1:1" x14ac:dyDescent="0.25">
      <c r="A3873" t="str" cm="1">
        <f t="array" ref="A3873">IF(INDEX(CUEs!$A:$A,INT((ROW()-1)/7)*57+MOD(ROW()-1,7)+50)&lt;&gt;"","set "&amp;INDEX(CUEs!$A:$A,INT((ROW()-1)/7)*57+MOD(ROW()-1,7)+50)&amp;"=/ s "&amp;INDEX(CUEs!$B:$B,INT((ROW()-1)/7)*57+MOD(ROW()-1,7)+50),"")</f>
        <v/>
      </c>
    </row>
    <row r="3874" spans="1:1" x14ac:dyDescent="0.25">
      <c r="A3874" t="str" cm="1">
        <f t="array" ref="A3874">IF(INDEX(CUEs!$A:$A,INT((ROW()-1)/7)*57+MOD(ROW()-1,7)+50)&lt;&gt;"","set "&amp;INDEX(CUEs!$A:$A,INT((ROW()-1)/7)*57+MOD(ROW()-1,7)+50)&amp;"=/ s "&amp;INDEX(CUEs!$B:$B,INT((ROW()-1)/7)*57+MOD(ROW()-1,7)+50),"")</f>
        <v/>
      </c>
    </row>
    <row r="3875" spans="1:1" x14ac:dyDescent="0.25">
      <c r="A3875" t="str" cm="1">
        <f t="array" ref="A3875">IF(INDEX(CUEs!$A:$A,INT((ROW()-1)/7)*57+MOD(ROW()-1,7)+50)&lt;&gt;"","set "&amp;INDEX(CUEs!$A:$A,INT((ROW()-1)/7)*57+MOD(ROW()-1,7)+50)&amp;"=/ s "&amp;INDEX(CUEs!$B:$B,INT((ROW()-1)/7)*57+MOD(ROW()-1,7)+50),"")</f>
        <v/>
      </c>
    </row>
    <row r="3876" spans="1:1" x14ac:dyDescent="0.25">
      <c r="A3876" t="str" cm="1">
        <f t="array" ref="A3876">IF(INDEX(CUEs!$A:$A,INT((ROW()-1)/7)*57+MOD(ROW()-1,7)+50)&lt;&gt;"","set "&amp;INDEX(CUEs!$A:$A,INT((ROW()-1)/7)*57+MOD(ROW()-1,7)+50)&amp;"=/ s "&amp;INDEX(CUEs!$B:$B,INT((ROW()-1)/7)*57+MOD(ROW()-1,7)+50),"")</f>
        <v/>
      </c>
    </row>
    <row r="3877" spans="1:1" x14ac:dyDescent="0.25">
      <c r="A3877" t="str" cm="1">
        <f t="array" ref="A3877">IF(INDEX(CUEs!$A:$A,INT((ROW()-1)/7)*57+MOD(ROW()-1,7)+50)&lt;&gt;"","set "&amp;INDEX(CUEs!$A:$A,INT((ROW()-1)/7)*57+MOD(ROW()-1,7)+50)&amp;"=/ s "&amp;INDEX(CUEs!$B:$B,INT((ROW()-1)/7)*57+MOD(ROW()-1,7)+50),"")</f>
        <v/>
      </c>
    </row>
    <row r="3878" spans="1:1" x14ac:dyDescent="0.25">
      <c r="A3878" t="str" cm="1">
        <f t="array" ref="A3878">IF(INDEX(CUEs!$A:$A,INT((ROW()-1)/7)*57+MOD(ROW()-1,7)+50)&lt;&gt;"","set "&amp;INDEX(CUEs!$A:$A,INT((ROW()-1)/7)*57+MOD(ROW()-1,7)+50)&amp;"=/ s "&amp;INDEX(CUEs!$B:$B,INT((ROW()-1)/7)*57+MOD(ROW()-1,7)+50),"")</f>
        <v/>
      </c>
    </row>
    <row r="3879" spans="1:1" x14ac:dyDescent="0.25">
      <c r="A3879" t="str" cm="1">
        <f t="array" ref="A3879">IF(INDEX(CUEs!$A:$A,INT((ROW()-1)/7)*57+MOD(ROW()-1,7)+50)&lt;&gt;"","set "&amp;INDEX(CUEs!$A:$A,INT((ROW()-1)/7)*57+MOD(ROW()-1,7)+50)&amp;"=/ s "&amp;INDEX(CUEs!$B:$B,INT((ROW()-1)/7)*57+MOD(ROW()-1,7)+50),"")</f>
        <v/>
      </c>
    </row>
    <row r="3880" spans="1:1" x14ac:dyDescent="0.25">
      <c r="A3880" t="str" cm="1">
        <f t="array" ref="A3880">IF(INDEX(CUEs!$A:$A,INT((ROW()-1)/7)*57+MOD(ROW()-1,7)+50)&lt;&gt;"","set "&amp;INDEX(CUEs!$A:$A,INT((ROW()-1)/7)*57+MOD(ROW()-1,7)+50)&amp;"=/ s "&amp;INDEX(CUEs!$B:$B,INT((ROW()-1)/7)*57+MOD(ROW()-1,7)+50),"")</f>
        <v/>
      </c>
    </row>
    <row r="3881" spans="1:1" x14ac:dyDescent="0.25">
      <c r="A3881" t="str" cm="1">
        <f t="array" ref="A3881">IF(INDEX(CUEs!$A:$A,INT((ROW()-1)/7)*57+MOD(ROW()-1,7)+50)&lt;&gt;"","set "&amp;INDEX(CUEs!$A:$A,INT((ROW()-1)/7)*57+MOD(ROW()-1,7)+50)&amp;"=/ s "&amp;INDEX(CUEs!$B:$B,INT((ROW()-1)/7)*57+MOD(ROW()-1,7)+50),"")</f>
        <v/>
      </c>
    </row>
    <row r="3882" spans="1:1" x14ac:dyDescent="0.25">
      <c r="A3882" t="str" cm="1">
        <f t="array" ref="A3882">IF(INDEX(CUEs!$A:$A,INT((ROW()-1)/7)*57+MOD(ROW()-1,7)+50)&lt;&gt;"","set "&amp;INDEX(CUEs!$A:$A,INT((ROW()-1)/7)*57+MOD(ROW()-1,7)+50)&amp;"=/ s "&amp;INDEX(CUEs!$B:$B,INT((ROW()-1)/7)*57+MOD(ROW()-1,7)+50),"")</f>
        <v/>
      </c>
    </row>
    <row r="3883" spans="1:1" x14ac:dyDescent="0.25">
      <c r="A3883" t="str" cm="1">
        <f t="array" ref="A3883">IF(INDEX(CUEs!$A:$A,INT((ROW()-1)/7)*57+MOD(ROW()-1,7)+50)&lt;&gt;"","set "&amp;INDEX(CUEs!$A:$A,INT((ROW()-1)/7)*57+MOD(ROW()-1,7)+50)&amp;"=/ s "&amp;INDEX(CUEs!$B:$B,INT((ROW()-1)/7)*57+MOD(ROW()-1,7)+50),"")</f>
        <v/>
      </c>
    </row>
    <row r="3884" spans="1:1" x14ac:dyDescent="0.25">
      <c r="A3884" t="str" cm="1">
        <f t="array" ref="A3884">IF(INDEX(CUEs!$A:$A,INT((ROW()-1)/7)*57+MOD(ROW()-1,7)+50)&lt;&gt;"","set "&amp;INDEX(CUEs!$A:$A,INT((ROW()-1)/7)*57+MOD(ROW()-1,7)+50)&amp;"=/ s "&amp;INDEX(CUEs!$B:$B,INT((ROW()-1)/7)*57+MOD(ROW()-1,7)+50),"")</f>
        <v/>
      </c>
    </row>
    <row r="3885" spans="1:1" x14ac:dyDescent="0.25">
      <c r="A3885" t="str" cm="1">
        <f t="array" ref="A3885">IF(INDEX(CUEs!$A:$A,INT((ROW()-1)/7)*57+MOD(ROW()-1,7)+50)&lt;&gt;"","set "&amp;INDEX(CUEs!$A:$A,INT((ROW()-1)/7)*57+MOD(ROW()-1,7)+50)&amp;"=/ s "&amp;INDEX(CUEs!$B:$B,INT((ROW()-1)/7)*57+MOD(ROW()-1,7)+50),"")</f>
        <v/>
      </c>
    </row>
    <row r="3886" spans="1:1" x14ac:dyDescent="0.25">
      <c r="A3886" t="str" cm="1">
        <f t="array" ref="A3886">IF(INDEX(CUEs!$A:$A,INT((ROW()-1)/7)*57+MOD(ROW()-1,7)+50)&lt;&gt;"","set "&amp;INDEX(CUEs!$A:$A,INT((ROW()-1)/7)*57+MOD(ROW()-1,7)+50)&amp;"=/ s "&amp;INDEX(CUEs!$B:$B,INT((ROW()-1)/7)*57+MOD(ROW()-1,7)+50),"")</f>
        <v/>
      </c>
    </row>
    <row r="3887" spans="1:1" x14ac:dyDescent="0.25">
      <c r="A3887" t="str" cm="1">
        <f t="array" ref="A3887">IF(INDEX(CUEs!$A:$A,INT((ROW()-1)/7)*57+MOD(ROW()-1,7)+50)&lt;&gt;"","set "&amp;INDEX(CUEs!$A:$A,INT((ROW()-1)/7)*57+MOD(ROW()-1,7)+50)&amp;"=/ s "&amp;INDEX(CUEs!$B:$B,INT((ROW()-1)/7)*57+MOD(ROW()-1,7)+50),"")</f>
        <v/>
      </c>
    </row>
    <row r="3888" spans="1:1" x14ac:dyDescent="0.25">
      <c r="A3888" t="str" cm="1">
        <f t="array" ref="A3888">IF(INDEX(CUEs!$A:$A,INT((ROW()-1)/7)*57+MOD(ROW()-1,7)+50)&lt;&gt;"","set "&amp;INDEX(CUEs!$A:$A,INT((ROW()-1)/7)*57+MOD(ROW()-1,7)+50)&amp;"=/ s "&amp;INDEX(CUEs!$B:$B,INT((ROW()-1)/7)*57+MOD(ROW()-1,7)+50),"")</f>
        <v/>
      </c>
    </row>
    <row r="3889" spans="1:1" x14ac:dyDescent="0.25">
      <c r="A3889" t="str" cm="1">
        <f t="array" ref="A3889">IF(INDEX(CUEs!$A:$A,INT((ROW()-1)/7)*57+MOD(ROW()-1,7)+50)&lt;&gt;"","set "&amp;INDEX(CUEs!$A:$A,INT((ROW()-1)/7)*57+MOD(ROW()-1,7)+50)&amp;"=/ s "&amp;INDEX(CUEs!$B:$B,INT((ROW()-1)/7)*57+MOD(ROW()-1,7)+50),"")</f>
        <v/>
      </c>
    </row>
    <row r="3890" spans="1:1" x14ac:dyDescent="0.25">
      <c r="A3890" t="str" cm="1">
        <f t="array" ref="A3890">IF(INDEX(CUEs!$A:$A,INT((ROW()-1)/7)*57+MOD(ROW()-1,7)+50)&lt;&gt;"","set "&amp;INDEX(CUEs!$A:$A,INT((ROW()-1)/7)*57+MOD(ROW()-1,7)+50)&amp;"=/ s "&amp;INDEX(CUEs!$B:$B,INT((ROW()-1)/7)*57+MOD(ROW()-1,7)+50),"")</f>
        <v/>
      </c>
    </row>
    <row r="3891" spans="1:1" x14ac:dyDescent="0.25">
      <c r="A3891" t="str" cm="1">
        <f t="array" ref="A3891">IF(INDEX(CUEs!$A:$A,INT((ROW()-1)/7)*57+MOD(ROW()-1,7)+50)&lt;&gt;"","set "&amp;INDEX(CUEs!$A:$A,INT((ROW()-1)/7)*57+MOD(ROW()-1,7)+50)&amp;"=/ s "&amp;INDEX(CUEs!$B:$B,INT((ROW()-1)/7)*57+MOD(ROW()-1,7)+50),"")</f>
        <v/>
      </c>
    </row>
    <row r="3892" spans="1:1" x14ac:dyDescent="0.25">
      <c r="A3892" t="str" cm="1">
        <f t="array" ref="A3892">IF(INDEX(CUEs!$A:$A,INT((ROW()-1)/7)*57+MOD(ROW()-1,7)+50)&lt;&gt;"","set "&amp;INDEX(CUEs!$A:$A,INT((ROW()-1)/7)*57+MOD(ROW()-1,7)+50)&amp;"=/ s "&amp;INDEX(CUEs!$B:$B,INT((ROW()-1)/7)*57+MOD(ROW()-1,7)+50),"")</f>
        <v/>
      </c>
    </row>
    <row r="3893" spans="1:1" x14ac:dyDescent="0.25">
      <c r="A3893" t="str" cm="1">
        <f t="array" ref="A3893">IF(INDEX(CUEs!$A:$A,INT((ROW()-1)/7)*57+MOD(ROW()-1,7)+50)&lt;&gt;"","set "&amp;INDEX(CUEs!$A:$A,INT((ROW()-1)/7)*57+MOD(ROW()-1,7)+50)&amp;"=/ s "&amp;INDEX(CUEs!$B:$B,INT((ROW()-1)/7)*57+MOD(ROW()-1,7)+50),"")</f>
        <v/>
      </c>
    </row>
    <row r="3894" spans="1:1" x14ac:dyDescent="0.25">
      <c r="A3894" t="str" cm="1">
        <f t="array" ref="A3894">IF(INDEX(CUEs!$A:$A,INT((ROW()-1)/7)*57+MOD(ROW()-1,7)+50)&lt;&gt;"","set "&amp;INDEX(CUEs!$A:$A,INT((ROW()-1)/7)*57+MOD(ROW()-1,7)+50)&amp;"=/ s "&amp;INDEX(CUEs!$B:$B,INT((ROW()-1)/7)*57+MOD(ROW()-1,7)+50),"")</f>
        <v/>
      </c>
    </row>
    <row r="3895" spans="1:1" x14ac:dyDescent="0.25">
      <c r="A3895" t="str" cm="1">
        <f t="array" ref="A3895">IF(INDEX(CUEs!$A:$A,INT((ROW()-1)/7)*57+MOD(ROW()-1,7)+50)&lt;&gt;"","set "&amp;INDEX(CUEs!$A:$A,INT((ROW()-1)/7)*57+MOD(ROW()-1,7)+50)&amp;"=/ s "&amp;INDEX(CUEs!$B:$B,INT((ROW()-1)/7)*57+MOD(ROW()-1,7)+50),"")</f>
        <v/>
      </c>
    </row>
    <row r="3896" spans="1:1" x14ac:dyDescent="0.25">
      <c r="A3896" t="str" cm="1">
        <f t="array" ref="A3896">IF(INDEX(CUEs!$A:$A,INT((ROW()-1)/7)*57+MOD(ROW()-1,7)+50)&lt;&gt;"","set "&amp;INDEX(CUEs!$A:$A,INT((ROW()-1)/7)*57+MOD(ROW()-1,7)+50)&amp;"=/ s "&amp;INDEX(CUEs!$B:$B,INT((ROW()-1)/7)*57+MOD(ROW()-1,7)+50),"")</f>
        <v/>
      </c>
    </row>
    <row r="3897" spans="1:1" x14ac:dyDescent="0.25">
      <c r="A3897" t="str" cm="1">
        <f t="array" ref="A3897">IF(INDEX(CUEs!$A:$A,INT((ROW()-1)/7)*57+MOD(ROW()-1,7)+50)&lt;&gt;"","set "&amp;INDEX(CUEs!$A:$A,INT((ROW()-1)/7)*57+MOD(ROW()-1,7)+50)&amp;"=/ s "&amp;INDEX(CUEs!$B:$B,INT((ROW()-1)/7)*57+MOD(ROW()-1,7)+50),"")</f>
        <v/>
      </c>
    </row>
    <row r="3898" spans="1:1" x14ac:dyDescent="0.25">
      <c r="A3898" t="str" cm="1">
        <f t="array" ref="A3898">IF(INDEX(CUEs!$A:$A,INT((ROW()-1)/7)*57+MOD(ROW()-1,7)+50)&lt;&gt;"","set "&amp;INDEX(CUEs!$A:$A,INT((ROW()-1)/7)*57+MOD(ROW()-1,7)+50)&amp;"=/ s "&amp;INDEX(CUEs!$B:$B,INT((ROW()-1)/7)*57+MOD(ROW()-1,7)+50),"")</f>
        <v/>
      </c>
    </row>
    <row r="3899" spans="1:1" x14ac:dyDescent="0.25">
      <c r="A3899" t="str" cm="1">
        <f t="array" ref="A3899">IF(INDEX(CUEs!$A:$A,INT((ROW()-1)/7)*57+MOD(ROW()-1,7)+50)&lt;&gt;"","set "&amp;INDEX(CUEs!$A:$A,INT((ROW()-1)/7)*57+MOD(ROW()-1,7)+50)&amp;"=/ s "&amp;INDEX(CUEs!$B:$B,INT((ROW()-1)/7)*57+MOD(ROW()-1,7)+50),"")</f>
        <v/>
      </c>
    </row>
    <row r="3900" spans="1:1" x14ac:dyDescent="0.25">
      <c r="A3900" t="str" cm="1">
        <f t="array" ref="A3900">IF(INDEX(CUEs!$A:$A,INT((ROW()-1)/7)*57+MOD(ROW()-1,7)+50)&lt;&gt;"","set "&amp;INDEX(CUEs!$A:$A,INT((ROW()-1)/7)*57+MOD(ROW()-1,7)+50)&amp;"=/ s "&amp;INDEX(CUEs!$B:$B,INT((ROW()-1)/7)*57+MOD(ROW()-1,7)+50),"")</f>
        <v/>
      </c>
    </row>
    <row r="3901" spans="1:1" x14ac:dyDescent="0.25">
      <c r="A3901" t="str" cm="1">
        <f t="array" ref="A3901">IF(INDEX(CUEs!$A:$A,INT((ROW()-1)/7)*57+MOD(ROW()-1,7)+50)&lt;&gt;"","set "&amp;INDEX(CUEs!$A:$A,INT((ROW()-1)/7)*57+MOD(ROW()-1,7)+50)&amp;"=/ s "&amp;INDEX(CUEs!$B:$B,INT((ROW()-1)/7)*57+MOD(ROW()-1,7)+50),"")</f>
        <v/>
      </c>
    </row>
    <row r="3902" spans="1:1" x14ac:dyDescent="0.25">
      <c r="A3902" t="str" cm="1">
        <f t="array" ref="A3902">IF(INDEX(CUEs!$A:$A,INT((ROW()-1)/7)*57+MOD(ROW()-1,7)+50)&lt;&gt;"","set "&amp;INDEX(CUEs!$A:$A,INT((ROW()-1)/7)*57+MOD(ROW()-1,7)+50)&amp;"=/ s "&amp;INDEX(CUEs!$B:$B,INT((ROW()-1)/7)*57+MOD(ROW()-1,7)+50),"")</f>
        <v/>
      </c>
    </row>
    <row r="3903" spans="1:1" x14ac:dyDescent="0.25">
      <c r="A3903" t="str" cm="1">
        <f t="array" ref="A3903">IF(INDEX(CUEs!$A:$A,INT((ROW()-1)/7)*57+MOD(ROW()-1,7)+50)&lt;&gt;"","set "&amp;INDEX(CUEs!$A:$A,INT((ROW()-1)/7)*57+MOD(ROW()-1,7)+50)&amp;"=/ s "&amp;INDEX(CUEs!$B:$B,INT((ROW()-1)/7)*57+MOD(ROW()-1,7)+50),"")</f>
        <v/>
      </c>
    </row>
    <row r="3904" spans="1:1" x14ac:dyDescent="0.25">
      <c r="A3904" t="str" cm="1">
        <f t="array" ref="A3904">IF(INDEX(CUEs!$A:$A,INT((ROW()-1)/7)*57+MOD(ROW()-1,7)+50)&lt;&gt;"","set "&amp;INDEX(CUEs!$A:$A,INT((ROW()-1)/7)*57+MOD(ROW()-1,7)+50)&amp;"=/ s "&amp;INDEX(CUEs!$B:$B,INT((ROW()-1)/7)*57+MOD(ROW()-1,7)+50),"")</f>
        <v/>
      </c>
    </row>
    <row r="3905" spans="1:1" x14ac:dyDescent="0.25">
      <c r="A3905" t="str" cm="1">
        <f t="array" ref="A3905">IF(INDEX(CUEs!$A:$A,INT((ROW()-1)/7)*57+MOD(ROW()-1,7)+50)&lt;&gt;"","set "&amp;INDEX(CUEs!$A:$A,INT((ROW()-1)/7)*57+MOD(ROW()-1,7)+50)&amp;"=/ s "&amp;INDEX(CUEs!$B:$B,INT((ROW()-1)/7)*57+MOD(ROW()-1,7)+50),"")</f>
        <v/>
      </c>
    </row>
    <row r="3906" spans="1:1" x14ac:dyDescent="0.25">
      <c r="A3906" t="str" cm="1">
        <f t="array" ref="A3906">IF(INDEX(CUEs!$A:$A,INT((ROW()-1)/7)*57+MOD(ROW()-1,7)+50)&lt;&gt;"","set "&amp;INDEX(CUEs!$A:$A,INT((ROW()-1)/7)*57+MOD(ROW()-1,7)+50)&amp;"=/ s "&amp;INDEX(CUEs!$B:$B,INT((ROW()-1)/7)*57+MOD(ROW()-1,7)+50),"")</f>
        <v/>
      </c>
    </row>
    <row r="3907" spans="1:1" x14ac:dyDescent="0.25">
      <c r="A3907" t="str" cm="1">
        <f t="array" ref="A3907">IF(INDEX(CUEs!$A:$A,INT((ROW()-1)/7)*57+MOD(ROW()-1,7)+50)&lt;&gt;"","set "&amp;INDEX(CUEs!$A:$A,INT((ROW()-1)/7)*57+MOD(ROW()-1,7)+50)&amp;"=/ s "&amp;INDEX(CUEs!$B:$B,INT((ROW()-1)/7)*57+MOD(ROW()-1,7)+50),"")</f>
        <v/>
      </c>
    </row>
    <row r="3908" spans="1:1" x14ac:dyDescent="0.25">
      <c r="A3908" t="str" cm="1">
        <f t="array" ref="A3908">IF(INDEX(CUEs!$A:$A,INT((ROW()-1)/7)*57+MOD(ROW()-1,7)+50)&lt;&gt;"","set "&amp;INDEX(CUEs!$A:$A,INT((ROW()-1)/7)*57+MOD(ROW()-1,7)+50)&amp;"=/ s "&amp;INDEX(CUEs!$B:$B,INT((ROW()-1)/7)*57+MOD(ROW()-1,7)+50),"")</f>
        <v/>
      </c>
    </row>
    <row r="3909" spans="1:1" x14ac:dyDescent="0.25">
      <c r="A3909" t="str" cm="1">
        <f t="array" ref="A3909">IF(INDEX(CUEs!$A:$A,INT((ROW()-1)/7)*57+MOD(ROW()-1,7)+50)&lt;&gt;"","set "&amp;INDEX(CUEs!$A:$A,INT((ROW()-1)/7)*57+MOD(ROW()-1,7)+50)&amp;"=/ s "&amp;INDEX(CUEs!$B:$B,INT((ROW()-1)/7)*57+MOD(ROW()-1,7)+50),"")</f>
        <v/>
      </c>
    </row>
    <row r="3910" spans="1:1" x14ac:dyDescent="0.25">
      <c r="A3910" t="str" cm="1">
        <f t="array" ref="A3910">IF(INDEX(CUEs!$A:$A,INT((ROW()-1)/7)*57+MOD(ROW()-1,7)+50)&lt;&gt;"","set "&amp;INDEX(CUEs!$A:$A,INT((ROW()-1)/7)*57+MOD(ROW()-1,7)+50)&amp;"=/ s "&amp;INDEX(CUEs!$B:$B,INT((ROW()-1)/7)*57+MOD(ROW()-1,7)+50),"")</f>
        <v/>
      </c>
    </row>
    <row r="3911" spans="1:1" x14ac:dyDescent="0.25">
      <c r="A3911" t="str" cm="1">
        <f t="array" ref="A3911">IF(INDEX(CUEs!$A:$A,INT((ROW()-1)/7)*57+MOD(ROW()-1,7)+50)&lt;&gt;"","set "&amp;INDEX(CUEs!$A:$A,INT((ROW()-1)/7)*57+MOD(ROW()-1,7)+50)&amp;"=/ s "&amp;INDEX(CUEs!$B:$B,INT((ROW()-1)/7)*57+MOD(ROW()-1,7)+50),"")</f>
        <v/>
      </c>
    </row>
    <row r="3912" spans="1:1" x14ac:dyDescent="0.25">
      <c r="A3912" t="str" cm="1">
        <f t="array" ref="A3912">IF(INDEX(CUEs!$A:$A,INT((ROW()-1)/7)*57+MOD(ROW()-1,7)+50)&lt;&gt;"","set "&amp;INDEX(CUEs!$A:$A,INT((ROW()-1)/7)*57+MOD(ROW()-1,7)+50)&amp;"=/ s "&amp;INDEX(CUEs!$B:$B,INT((ROW()-1)/7)*57+MOD(ROW()-1,7)+50),"")</f>
        <v/>
      </c>
    </row>
    <row r="3913" spans="1:1" x14ac:dyDescent="0.25">
      <c r="A3913" t="str" cm="1">
        <f t="array" ref="A3913">IF(INDEX(CUEs!$A:$A,INT((ROW()-1)/7)*57+MOD(ROW()-1,7)+50)&lt;&gt;"","set "&amp;INDEX(CUEs!$A:$A,INT((ROW()-1)/7)*57+MOD(ROW()-1,7)+50)&amp;"=/ s "&amp;INDEX(CUEs!$B:$B,INT((ROW()-1)/7)*57+MOD(ROW()-1,7)+50),"")</f>
        <v/>
      </c>
    </row>
    <row r="3914" spans="1:1" x14ac:dyDescent="0.25">
      <c r="A3914" t="str" cm="1">
        <f t="array" ref="A3914">IF(INDEX(CUEs!$A:$A,INT((ROW()-1)/7)*57+MOD(ROW()-1,7)+50)&lt;&gt;"","set "&amp;INDEX(CUEs!$A:$A,INT((ROW()-1)/7)*57+MOD(ROW()-1,7)+50)&amp;"=/ s "&amp;INDEX(CUEs!$B:$B,INT((ROW()-1)/7)*57+MOD(ROW()-1,7)+50),"")</f>
        <v/>
      </c>
    </row>
    <row r="3915" spans="1:1" x14ac:dyDescent="0.25">
      <c r="A3915" t="str" cm="1">
        <f t="array" ref="A3915">IF(INDEX(CUEs!$A:$A,INT((ROW()-1)/7)*57+MOD(ROW()-1,7)+50)&lt;&gt;"","set "&amp;INDEX(CUEs!$A:$A,INT((ROW()-1)/7)*57+MOD(ROW()-1,7)+50)&amp;"=/ s "&amp;INDEX(CUEs!$B:$B,INT((ROW()-1)/7)*57+MOD(ROW()-1,7)+50),"")</f>
        <v/>
      </c>
    </row>
    <row r="3916" spans="1:1" x14ac:dyDescent="0.25">
      <c r="A3916" t="str" cm="1">
        <f t="array" ref="A3916">IF(INDEX(CUEs!$A:$A,INT((ROW()-1)/7)*57+MOD(ROW()-1,7)+50)&lt;&gt;"","set "&amp;INDEX(CUEs!$A:$A,INT((ROW()-1)/7)*57+MOD(ROW()-1,7)+50)&amp;"=/ s "&amp;INDEX(CUEs!$B:$B,INT((ROW()-1)/7)*57+MOD(ROW()-1,7)+50),"")</f>
        <v/>
      </c>
    </row>
    <row r="3917" spans="1:1" x14ac:dyDescent="0.25">
      <c r="A3917" t="str" cm="1">
        <f t="array" ref="A3917">IF(INDEX(CUEs!$A:$A,INT((ROW()-1)/7)*57+MOD(ROW()-1,7)+50)&lt;&gt;"","set "&amp;INDEX(CUEs!$A:$A,INT((ROW()-1)/7)*57+MOD(ROW()-1,7)+50)&amp;"=/ s "&amp;INDEX(CUEs!$B:$B,INT((ROW()-1)/7)*57+MOD(ROW()-1,7)+50),"")</f>
        <v/>
      </c>
    </row>
    <row r="3918" spans="1:1" x14ac:dyDescent="0.25">
      <c r="A3918" t="str" cm="1">
        <f t="array" ref="A3918">IF(INDEX(CUEs!$A:$A,INT((ROW()-1)/7)*57+MOD(ROW()-1,7)+50)&lt;&gt;"","set "&amp;INDEX(CUEs!$A:$A,INT((ROW()-1)/7)*57+MOD(ROW()-1,7)+50)&amp;"=/ s "&amp;INDEX(CUEs!$B:$B,INT((ROW()-1)/7)*57+MOD(ROW()-1,7)+50),"")</f>
        <v/>
      </c>
    </row>
    <row r="3919" spans="1:1" x14ac:dyDescent="0.25">
      <c r="A3919" t="str" cm="1">
        <f t="array" ref="A3919">IF(INDEX(CUEs!$A:$A,INT((ROW()-1)/7)*57+MOD(ROW()-1,7)+50)&lt;&gt;"","set "&amp;INDEX(CUEs!$A:$A,INT((ROW()-1)/7)*57+MOD(ROW()-1,7)+50)&amp;"=/ s "&amp;INDEX(CUEs!$B:$B,INT((ROW()-1)/7)*57+MOD(ROW()-1,7)+50),"")</f>
        <v/>
      </c>
    </row>
    <row r="3920" spans="1:1" x14ac:dyDescent="0.25">
      <c r="A3920" t="str" cm="1">
        <f t="array" ref="A3920">IF(INDEX(CUEs!$A:$A,INT((ROW()-1)/7)*57+MOD(ROW()-1,7)+50)&lt;&gt;"","set "&amp;INDEX(CUEs!$A:$A,INT((ROW()-1)/7)*57+MOD(ROW()-1,7)+50)&amp;"=/ s "&amp;INDEX(CUEs!$B:$B,INT((ROW()-1)/7)*57+MOD(ROW()-1,7)+50),"")</f>
        <v/>
      </c>
    </row>
    <row r="3921" spans="1:1" x14ac:dyDescent="0.25">
      <c r="A3921" t="str" cm="1">
        <f t="array" ref="A3921">IF(INDEX(CUEs!$A:$A,INT((ROW()-1)/7)*57+MOD(ROW()-1,7)+50)&lt;&gt;"","set "&amp;INDEX(CUEs!$A:$A,INT((ROW()-1)/7)*57+MOD(ROW()-1,7)+50)&amp;"=/ s "&amp;INDEX(CUEs!$B:$B,INT((ROW()-1)/7)*57+MOD(ROW()-1,7)+50),"")</f>
        <v/>
      </c>
    </row>
    <row r="3922" spans="1:1" x14ac:dyDescent="0.25">
      <c r="A3922" t="str" cm="1">
        <f t="array" ref="A3922">IF(INDEX(CUEs!$A:$A,INT((ROW()-1)/7)*57+MOD(ROW()-1,7)+50)&lt;&gt;"","set "&amp;INDEX(CUEs!$A:$A,INT((ROW()-1)/7)*57+MOD(ROW()-1,7)+50)&amp;"=/ s "&amp;INDEX(CUEs!$B:$B,INT((ROW()-1)/7)*57+MOD(ROW()-1,7)+50),"")</f>
        <v/>
      </c>
    </row>
    <row r="3923" spans="1:1" x14ac:dyDescent="0.25">
      <c r="A3923" t="str" cm="1">
        <f t="array" ref="A3923">IF(INDEX(CUEs!$A:$A,INT((ROW()-1)/7)*57+MOD(ROW()-1,7)+50)&lt;&gt;"","set "&amp;INDEX(CUEs!$A:$A,INT((ROW()-1)/7)*57+MOD(ROW()-1,7)+50)&amp;"=/ s "&amp;INDEX(CUEs!$B:$B,INT((ROW()-1)/7)*57+MOD(ROW()-1,7)+50),"")</f>
        <v/>
      </c>
    </row>
    <row r="3924" spans="1:1" x14ac:dyDescent="0.25">
      <c r="A3924" t="str" cm="1">
        <f t="array" ref="A3924">IF(INDEX(CUEs!$A:$A,INT((ROW()-1)/7)*57+MOD(ROW()-1,7)+50)&lt;&gt;"","set "&amp;INDEX(CUEs!$A:$A,INT((ROW()-1)/7)*57+MOD(ROW()-1,7)+50)&amp;"=/ s "&amp;INDEX(CUEs!$B:$B,INT((ROW()-1)/7)*57+MOD(ROW()-1,7)+50),"")</f>
        <v/>
      </c>
    </row>
    <row r="3925" spans="1:1" x14ac:dyDescent="0.25">
      <c r="A3925" t="str" cm="1">
        <f t="array" ref="A3925">IF(INDEX(CUEs!$A:$A,INT((ROW()-1)/7)*57+MOD(ROW()-1,7)+50)&lt;&gt;"","set "&amp;INDEX(CUEs!$A:$A,INT((ROW()-1)/7)*57+MOD(ROW()-1,7)+50)&amp;"=/ s "&amp;INDEX(CUEs!$B:$B,INT((ROW()-1)/7)*57+MOD(ROW()-1,7)+50),"")</f>
        <v/>
      </c>
    </row>
    <row r="3926" spans="1:1" x14ac:dyDescent="0.25">
      <c r="A3926" t="str" cm="1">
        <f t="array" ref="A3926">IF(INDEX(CUEs!$A:$A,INT((ROW()-1)/7)*57+MOD(ROW()-1,7)+50)&lt;&gt;"","set "&amp;INDEX(CUEs!$A:$A,INT((ROW()-1)/7)*57+MOD(ROW()-1,7)+50)&amp;"=/ s "&amp;INDEX(CUEs!$B:$B,INT((ROW()-1)/7)*57+MOD(ROW()-1,7)+50),"")</f>
        <v/>
      </c>
    </row>
    <row r="3927" spans="1:1" x14ac:dyDescent="0.25">
      <c r="A3927" t="str" cm="1">
        <f t="array" ref="A3927">IF(INDEX(CUEs!$A:$A,INT((ROW()-1)/7)*57+MOD(ROW()-1,7)+50)&lt;&gt;"","set "&amp;INDEX(CUEs!$A:$A,INT((ROW()-1)/7)*57+MOD(ROW()-1,7)+50)&amp;"=/ s "&amp;INDEX(CUEs!$B:$B,INT((ROW()-1)/7)*57+MOD(ROW()-1,7)+50),"")</f>
        <v/>
      </c>
    </row>
    <row r="3928" spans="1:1" x14ac:dyDescent="0.25">
      <c r="A3928" t="str" cm="1">
        <f t="array" ref="A3928">IF(INDEX(CUEs!$A:$A,INT((ROW()-1)/7)*57+MOD(ROW()-1,7)+50)&lt;&gt;"","set "&amp;INDEX(CUEs!$A:$A,INT((ROW()-1)/7)*57+MOD(ROW()-1,7)+50)&amp;"=/ s "&amp;INDEX(CUEs!$B:$B,INT((ROW()-1)/7)*57+MOD(ROW()-1,7)+50),"")</f>
        <v/>
      </c>
    </row>
    <row r="3929" spans="1:1" x14ac:dyDescent="0.25">
      <c r="A3929" t="str" cm="1">
        <f t="array" ref="A3929">IF(INDEX(CUEs!$A:$A,INT((ROW()-1)/7)*57+MOD(ROW()-1,7)+50)&lt;&gt;"","set "&amp;INDEX(CUEs!$A:$A,INT((ROW()-1)/7)*57+MOD(ROW()-1,7)+50)&amp;"=/ s "&amp;INDEX(CUEs!$B:$B,INT((ROW()-1)/7)*57+MOD(ROW()-1,7)+50),"")</f>
        <v/>
      </c>
    </row>
    <row r="3930" spans="1:1" x14ac:dyDescent="0.25">
      <c r="A3930" t="str" cm="1">
        <f t="array" ref="A3930">IF(INDEX(CUEs!$A:$A,INT((ROW()-1)/7)*57+MOD(ROW()-1,7)+50)&lt;&gt;"","set "&amp;INDEX(CUEs!$A:$A,INT((ROW()-1)/7)*57+MOD(ROW()-1,7)+50)&amp;"=/ s "&amp;INDEX(CUEs!$B:$B,INT((ROW()-1)/7)*57+MOD(ROW()-1,7)+50),"")</f>
        <v/>
      </c>
    </row>
    <row r="3931" spans="1:1" x14ac:dyDescent="0.25">
      <c r="A3931" t="str" cm="1">
        <f t="array" ref="A3931">IF(INDEX(CUEs!$A:$A,INT((ROW()-1)/7)*57+MOD(ROW()-1,7)+50)&lt;&gt;"","set "&amp;INDEX(CUEs!$A:$A,INT((ROW()-1)/7)*57+MOD(ROW()-1,7)+50)&amp;"=/ s "&amp;INDEX(CUEs!$B:$B,INT((ROW()-1)/7)*57+MOD(ROW()-1,7)+50),"")</f>
        <v/>
      </c>
    </row>
    <row r="3932" spans="1:1" x14ac:dyDescent="0.25">
      <c r="A3932" t="str" cm="1">
        <f t="array" ref="A3932">IF(INDEX(CUEs!$A:$A,INT((ROW()-1)/7)*57+MOD(ROW()-1,7)+50)&lt;&gt;"","set "&amp;INDEX(CUEs!$A:$A,INT((ROW()-1)/7)*57+MOD(ROW()-1,7)+50)&amp;"=/ s "&amp;INDEX(CUEs!$B:$B,INT((ROW()-1)/7)*57+MOD(ROW()-1,7)+50),"")</f>
        <v/>
      </c>
    </row>
    <row r="3933" spans="1:1" x14ac:dyDescent="0.25">
      <c r="A3933" t="str" cm="1">
        <f t="array" ref="A3933">IF(INDEX(CUEs!$A:$A,INT((ROW()-1)/7)*57+MOD(ROW()-1,7)+50)&lt;&gt;"","set "&amp;INDEX(CUEs!$A:$A,INT((ROW()-1)/7)*57+MOD(ROW()-1,7)+50)&amp;"=/ s "&amp;INDEX(CUEs!$B:$B,INT((ROW()-1)/7)*57+MOD(ROW()-1,7)+50),"")</f>
        <v/>
      </c>
    </row>
    <row r="3934" spans="1:1" x14ac:dyDescent="0.25">
      <c r="A3934" t="str" cm="1">
        <f t="array" ref="A3934">IF(INDEX(CUEs!$A:$A,INT((ROW()-1)/7)*57+MOD(ROW()-1,7)+50)&lt;&gt;"","set "&amp;INDEX(CUEs!$A:$A,INT((ROW()-1)/7)*57+MOD(ROW()-1,7)+50)&amp;"=/ s "&amp;INDEX(CUEs!$B:$B,INT((ROW()-1)/7)*57+MOD(ROW()-1,7)+50),"")</f>
        <v/>
      </c>
    </row>
    <row r="3935" spans="1:1" x14ac:dyDescent="0.25">
      <c r="A3935" t="str" cm="1">
        <f t="array" ref="A3935">IF(INDEX(CUEs!$A:$A,INT((ROW()-1)/7)*57+MOD(ROW()-1,7)+50)&lt;&gt;"","set "&amp;INDEX(CUEs!$A:$A,INT((ROW()-1)/7)*57+MOD(ROW()-1,7)+50)&amp;"=/ s "&amp;INDEX(CUEs!$B:$B,INT((ROW()-1)/7)*57+MOD(ROW()-1,7)+50),"")</f>
        <v/>
      </c>
    </row>
    <row r="3936" spans="1:1" x14ac:dyDescent="0.25">
      <c r="A3936" t="str" cm="1">
        <f t="array" ref="A3936">IF(INDEX(CUEs!$A:$A,INT((ROW()-1)/7)*57+MOD(ROW()-1,7)+50)&lt;&gt;"","set "&amp;INDEX(CUEs!$A:$A,INT((ROW()-1)/7)*57+MOD(ROW()-1,7)+50)&amp;"=/ s "&amp;INDEX(CUEs!$B:$B,INT((ROW()-1)/7)*57+MOD(ROW()-1,7)+50),"")</f>
        <v/>
      </c>
    </row>
    <row r="3937" spans="1:1" x14ac:dyDescent="0.25">
      <c r="A3937" t="str" cm="1">
        <f t="array" ref="A3937">IF(INDEX(CUEs!$A:$A,INT((ROW()-1)/7)*57+MOD(ROW()-1,7)+50)&lt;&gt;"","set "&amp;INDEX(CUEs!$A:$A,INT((ROW()-1)/7)*57+MOD(ROW()-1,7)+50)&amp;"=/ s "&amp;INDEX(CUEs!$B:$B,INT((ROW()-1)/7)*57+MOD(ROW()-1,7)+50),"")</f>
        <v/>
      </c>
    </row>
    <row r="3938" spans="1:1" x14ac:dyDescent="0.25">
      <c r="A3938" t="str" cm="1">
        <f t="array" ref="A3938">IF(INDEX(CUEs!$A:$A,INT((ROW()-1)/7)*57+MOD(ROW()-1,7)+50)&lt;&gt;"","set "&amp;INDEX(CUEs!$A:$A,INT((ROW()-1)/7)*57+MOD(ROW()-1,7)+50)&amp;"=/ s "&amp;INDEX(CUEs!$B:$B,INT((ROW()-1)/7)*57+MOD(ROW()-1,7)+50),"")</f>
        <v/>
      </c>
    </row>
    <row r="3939" spans="1:1" x14ac:dyDescent="0.25">
      <c r="A3939" t="str" cm="1">
        <f t="array" ref="A3939">IF(INDEX(CUEs!$A:$A,INT((ROW()-1)/7)*57+MOD(ROW()-1,7)+50)&lt;&gt;"","set "&amp;INDEX(CUEs!$A:$A,INT((ROW()-1)/7)*57+MOD(ROW()-1,7)+50)&amp;"=/ s "&amp;INDEX(CUEs!$B:$B,INT((ROW()-1)/7)*57+MOD(ROW()-1,7)+50),"")</f>
        <v/>
      </c>
    </row>
    <row r="3940" spans="1:1" x14ac:dyDescent="0.25">
      <c r="A3940" t="str" cm="1">
        <f t="array" ref="A3940">IF(INDEX(CUEs!$A:$A,INT((ROW()-1)/7)*57+MOD(ROW()-1,7)+50)&lt;&gt;"","set "&amp;INDEX(CUEs!$A:$A,INT((ROW()-1)/7)*57+MOD(ROW()-1,7)+50)&amp;"=/ s "&amp;INDEX(CUEs!$B:$B,INT((ROW()-1)/7)*57+MOD(ROW()-1,7)+50),"")</f>
        <v/>
      </c>
    </row>
    <row r="3941" spans="1:1" x14ac:dyDescent="0.25">
      <c r="A3941" t="str" cm="1">
        <f t="array" ref="A3941">IF(INDEX(CUEs!$A:$A,INT((ROW()-1)/7)*57+MOD(ROW()-1,7)+50)&lt;&gt;"","set "&amp;INDEX(CUEs!$A:$A,INT((ROW()-1)/7)*57+MOD(ROW()-1,7)+50)&amp;"=/ s "&amp;INDEX(CUEs!$B:$B,INT((ROW()-1)/7)*57+MOD(ROW()-1,7)+50),"")</f>
        <v/>
      </c>
    </row>
    <row r="3942" spans="1:1" x14ac:dyDescent="0.25">
      <c r="A3942" t="str" cm="1">
        <f t="array" ref="A3942">IF(INDEX(CUEs!$A:$A,INT((ROW()-1)/7)*57+MOD(ROW()-1,7)+50)&lt;&gt;"","set "&amp;INDEX(CUEs!$A:$A,INT((ROW()-1)/7)*57+MOD(ROW()-1,7)+50)&amp;"=/ s "&amp;INDEX(CUEs!$B:$B,INT((ROW()-1)/7)*57+MOD(ROW()-1,7)+50),"")</f>
        <v/>
      </c>
    </row>
    <row r="3943" spans="1:1" x14ac:dyDescent="0.25">
      <c r="A3943" t="str" cm="1">
        <f t="array" ref="A3943">IF(INDEX(CUEs!$A:$A,INT((ROW()-1)/7)*57+MOD(ROW()-1,7)+50)&lt;&gt;"","set "&amp;INDEX(CUEs!$A:$A,INT((ROW()-1)/7)*57+MOD(ROW()-1,7)+50)&amp;"=/ s "&amp;INDEX(CUEs!$B:$B,INT((ROW()-1)/7)*57+MOD(ROW()-1,7)+50),"")</f>
        <v/>
      </c>
    </row>
    <row r="3944" spans="1:1" x14ac:dyDescent="0.25">
      <c r="A3944" t="str" cm="1">
        <f t="array" ref="A3944">IF(INDEX(CUEs!$A:$A,INT((ROW()-1)/7)*57+MOD(ROW()-1,7)+50)&lt;&gt;"","set "&amp;INDEX(CUEs!$A:$A,INT((ROW()-1)/7)*57+MOD(ROW()-1,7)+50)&amp;"=/ s "&amp;INDEX(CUEs!$B:$B,INT((ROW()-1)/7)*57+MOD(ROW()-1,7)+50),"")</f>
        <v/>
      </c>
    </row>
    <row r="3945" spans="1:1" x14ac:dyDescent="0.25">
      <c r="A3945" t="str" cm="1">
        <f t="array" ref="A3945">IF(INDEX(CUEs!$A:$A,INT((ROW()-1)/7)*57+MOD(ROW()-1,7)+50)&lt;&gt;"","set "&amp;INDEX(CUEs!$A:$A,INT((ROW()-1)/7)*57+MOD(ROW()-1,7)+50)&amp;"=/ s "&amp;INDEX(CUEs!$B:$B,INT((ROW()-1)/7)*57+MOD(ROW()-1,7)+50),"")</f>
        <v/>
      </c>
    </row>
    <row r="3946" spans="1:1" x14ac:dyDescent="0.25">
      <c r="A3946" t="str" cm="1">
        <f t="array" ref="A3946">IF(INDEX(CUEs!$A:$A,INT((ROW()-1)/7)*57+MOD(ROW()-1,7)+50)&lt;&gt;"","set "&amp;INDEX(CUEs!$A:$A,INT((ROW()-1)/7)*57+MOD(ROW()-1,7)+50)&amp;"=/ s "&amp;INDEX(CUEs!$B:$B,INT((ROW()-1)/7)*57+MOD(ROW()-1,7)+50),"")</f>
        <v/>
      </c>
    </row>
    <row r="3947" spans="1:1" x14ac:dyDescent="0.25">
      <c r="A3947" t="str" cm="1">
        <f t="array" ref="A3947">IF(INDEX(CUEs!$A:$A,INT((ROW()-1)/7)*57+MOD(ROW()-1,7)+50)&lt;&gt;"","set "&amp;INDEX(CUEs!$A:$A,INT((ROW()-1)/7)*57+MOD(ROW()-1,7)+50)&amp;"=/ s "&amp;INDEX(CUEs!$B:$B,INT((ROW()-1)/7)*57+MOD(ROW()-1,7)+50),"")</f>
        <v/>
      </c>
    </row>
    <row r="3948" spans="1:1" x14ac:dyDescent="0.25">
      <c r="A3948" t="str" cm="1">
        <f t="array" ref="A3948">IF(INDEX(CUEs!$A:$A,INT((ROW()-1)/7)*57+MOD(ROW()-1,7)+50)&lt;&gt;"","set "&amp;INDEX(CUEs!$A:$A,INT((ROW()-1)/7)*57+MOD(ROW()-1,7)+50)&amp;"=/ s "&amp;INDEX(CUEs!$B:$B,INT((ROW()-1)/7)*57+MOD(ROW()-1,7)+50),"")</f>
        <v/>
      </c>
    </row>
    <row r="3949" spans="1:1" x14ac:dyDescent="0.25">
      <c r="A3949" t="str" cm="1">
        <f t="array" ref="A3949">IF(INDEX(CUEs!$A:$A,INT((ROW()-1)/7)*57+MOD(ROW()-1,7)+50)&lt;&gt;"","set "&amp;INDEX(CUEs!$A:$A,INT((ROW()-1)/7)*57+MOD(ROW()-1,7)+50)&amp;"=/ s "&amp;INDEX(CUEs!$B:$B,INT((ROW()-1)/7)*57+MOD(ROW()-1,7)+50),"")</f>
        <v/>
      </c>
    </row>
    <row r="3950" spans="1:1" x14ac:dyDescent="0.25">
      <c r="A3950" t="str" cm="1">
        <f t="array" ref="A3950">IF(INDEX(CUEs!$A:$A,INT((ROW()-1)/7)*57+MOD(ROW()-1,7)+50)&lt;&gt;"","set "&amp;INDEX(CUEs!$A:$A,INT((ROW()-1)/7)*57+MOD(ROW()-1,7)+50)&amp;"=/ s "&amp;INDEX(CUEs!$B:$B,INT((ROW()-1)/7)*57+MOD(ROW()-1,7)+50),"")</f>
        <v/>
      </c>
    </row>
    <row r="3951" spans="1:1" x14ac:dyDescent="0.25">
      <c r="A3951" t="str" cm="1">
        <f t="array" ref="A3951">IF(INDEX(CUEs!$A:$A,INT((ROW()-1)/7)*57+MOD(ROW()-1,7)+50)&lt;&gt;"","set "&amp;INDEX(CUEs!$A:$A,INT((ROW()-1)/7)*57+MOD(ROW()-1,7)+50)&amp;"=/ s "&amp;INDEX(CUEs!$B:$B,INT((ROW()-1)/7)*57+MOD(ROW()-1,7)+50),"")</f>
        <v/>
      </c>
    </row>
    <row r="3952" spans="1:1" x14ac:dyDescent="0.25">
      <c r="A3952" t="str" cm="1">
        <f t="array" ref="A3952">IF(INDEX(CUEs!$A:$A,INT((ROW()-1)/7)*57+MOD(ROW()-1,7)+50)&lt;&gt;"","set "&amp;INDEX(CUEs!$A:$A,INT((ROW()-1)/7)*57+MOD(ROW()-1,7)+50)&amp;"=/ s "&amp;INDEX(CUEs!$B:$B,INT((ROW()-1)/7)*57+MOD(ROW()-1,7)+50),"")</f>
        <v/>
      </c>
    </row>
    <row r="3953" spans="1:1" x14ac:dyDescent="0.25">
      <c r="A3953" t="str" cm="1">
        <f t="array" ref="A3953">IF(INDEX(CUEs!$A:$A,INT((ROW()-1)/7)*57+MOD(ROW()-1,7)+50)&lt;&gt;"","set "&amp;INDEX(CUEs!$A:$A,INT((ROW()-1)/7)*57+MOD(ROW()-1,7)+50)&amp;"=/ s "&amp;INDEX(CUEs!$B:$B,INT((ROW()-1)/7)*57+MOD(ROW()-1,7)+50),"")</f>
        <v/>
      </c>
    </row>
    <row r="3954" spans="1:1" x14ac:dyDescent="0.25">
      <c r="A3954" t="str" cm="1">
        <f t="array" ref="A3954">IF(INDEX(CUEs!$A:$A,INT((ROW()-1)/7)*57+MOD(ROW()-1,7)+50)&lt;&gt;"","set "&amp;INDEX(CUEs!$A:$A,INT((ROW()-1)/7)*57+MOD(ROW()-1,7)+50)&amp;"=/ s "&amp;INDEX(CUEs!$B:$B,INT((ROW()-1)/7)*57+MOD(ROW()-1,7)+50),"")</f>
        <v/>
      </c>
    </row>
    <row r="3955" spans="1:1" x14ac:dyDescent="0.25">
      <c r="A3955" t="str" cm="1">
        <f t="array" ref="A3955">IF(INDEX(CUEs!$A:$A,INT((ROW()-1)/7)*57+MOD(ROW()-1,7)+50)&lt;&gt;"","set "&amp;INDEX(CUEs!$A:$A,INT((ROW()-1)/7)*57+MOD(ROW()-1,7)+50)&amp;"=/ s "&amp;INDEX(CUEs!$B:$B,INT((ROW()-1)/7)*57+MOD(ROW()-1,7)+50),"")</f>
        <v/>
      </c>
    </row>
    <row r="3956" spans="1:1" x14ac:dyDescent="0.25">
      <c r="A3956" t="str" cm="1">
        <f t="array" ref="A3956">IF(INDEX(CUEs!$A:$A,INT((ROW()-1)/7)*57+MOD(ROW()-1,7)+50)&lt;&gt;"","set "&amp;INDEX(CUEs!$A:$A,INT((ROW()-1)/7)*57+MOD(ROW()-1,7)+50)&amp;"=/ s "&amp;INDEX(CUEs!$B:$B,INT((ROW()-1)/7)*57+MOD(ROW()-1,7)+50),"")</f>
        <v/>
      </c>
    </row>
    <row r="3957" spans="1:1" x14ac:dyDescent="0.25">
      <c r="A3957" t="str" cm="1">
        <f t="array" ref="A3957">IF(INDEX(CUEs!$A:$A,INT((ROW()-1)/7)*57+MOD(ROW()-1,7)+50)&lt;&gt;"","set "&amp;INDEX(CUEs!$A:$A,INT((ROW()-1)/7)*57+MOD(ROW()-1,7)+50)&amp;"=/ s "&amp;INDEX(CUEs!$B:$B,INT((ROW()-1)/7)*57+MOD(ROW()-1,7)+50),"")</f>
        <v/>
      </c>
    </row>
    <row r="3958" spans="1:1" x14ac:dyDescent="0.25">
      <c r="A3958" t="str" cm="1">
        <f t="array" ref="A3958">IF(INDEX(CUEs!$A:$A,INT((ROW()-1)/7)*57+MOD(ROW()-1,7)+50)&lt;&gt;"","set "&amp;INDEX(CUEs!$A:$A,INT((ROW()-1)/7)*57+MOD(ROW()-1,7)+50)&amp;"=/ s "&amp;INDEX(CUEs!$B:$B,INT((ROW()-1)/7)*57+MOD(ROW()-1,7)+50),"")</f>
        <v/>
      </c>
    </row>
    <row r="3959" spans="1:1" x14ac:dyDescent="0.25">
      <c r="A3959" t="str" cm="1">
        <f t="array" ref="A3959">IF(INDEX(CUEs!$A:$A,INT((ROW()-1)/7)*57+MOD(ROW()-1,7)+50)&lt;&gt;"","set "&amp;INDEX(CUEs!$A:$A,INT((ROW()-1)/7)*57+MOD(ROW()-1,7)+50)&amp;"=/ s "&amp;INDEX(CUEs!$B:$B,INT((ROW()-1)/7)*57+MOD(ROW()-1,7)+50),"")</f>
        <v/>
      </c>
    </row>
    <row r="3960" spans="1:1" x14ac:dyDescent="0.25">
      <c r="A3960" t="str" cm="1">
        <f t="array" ref="A3960">IF(INDEX(CUEs!$A:$A,INT((ROW()-1)/7)*57+MOD(ROW()-1,7)+50)&lt;&gt;"","set "&amp;INDEX(CUEs!$A:$A,INT((ROW()-1)/7)*57+MOD(ROW()-1,7)+50)&amp;"=/ s "&amp;INDEX(CUEs!$B:$B,INT((ROW()-1)/7)*57+MOD(ROW()-1,7)+50),"")</f>
        <v/>
      </c>
    </row>
    <row r="3961" spans="1:1" x14ac:dyDescent="0.25">
      <c r="A3961" t="str" cm="1">
        <f t="array" ref="A3961">IF(INDEX(CUEs!$A:$A,INT((ROW()-1)/7)*57+MOD(ROW()-1,7)+50)&lt;&gt;"","set "&amp;INDEX(CUEs!$A:$A,INT((ROW()-1)/7)*57+MOD(ROW()-1,7)+50)&amp;"=/ s "&amp;INDEX(CUEs!$B:$B,INT((ROW()-1)/7)*57+MOD(ROW()-1,7)+50),"")</f>
        <v/>
      </c>
    </row>
    <row r="3962" spans="1:1" x14ac:dyDescent="0.25">
      <c r="A3962" t="str" cm="1">
        <f t="array" ref="A3962">IF(INDEX(CUEs!$A:$A,INT((ROW()-1)/7)*57+MOD(ROW()-1,7)+50)&lt;&gt;"","set "&amp;INDEX(CUEs!$A:$A,INT((ROW()-1)/7)*57+MOD(ROW()-1,7)+50)&amp;"=/ s "&amp;INDEX(CUEs!$B:$B,INT((ROW()-1)/7)*57+MOD(ROW()-1,7)+50),"")</f>
        <v/>
      </c>
    </row>
    <row r="3963" spans="1:1" x14ac:dyDescent="0.25">
      <c r="A3963" t="str" cm="1">
        <f t="array" ref="A3963">IF(INDEX(CUEs!$A:$A,INT((ROW()-1)/7)*57+MOD(ROW()-1,7)+50)&lt;&gt;"","set "&amp;INDEX(CUEs!$A:$A,INT((ROW()-1)/7)*57+MOD(ROW()-1,7)+50)&amp;"=/ s "&amp;INDEX(CUEs!$B:$B,INT((ROW()-1)/7)*57+MOD(ROW()-1,7)+50),"")</f>
        <v/>
      </c>
    </row>
    <row r="3964" spans="1:1" x14ac:dyDescent="0.25">
      <c r="A3964" t="str" cm="1">
        <f t="array" ref="A3964">IF(INDEX(CUEs!$A:$A,INT((ROW()-1)/7)*57+MOD(ROW()-1,7)+50)&lt;&gt;"","set "&amp;INDEX(CUEs!$A:$A,INT((ROW()-1)/7)*57+MOD(ROW()-1,7)+50)&amp;"=/ s "&amp;INDEX(CUEs!$B:$B,INT((ROW()-1)/7)*57+MOD(ROW()-1,7)+50),"")</f>
        <v/>
      </c>
    </row>
    <row r="3965" spans="1:1" x14ac:dyDescent="0.25">
      <c r="A3965" t="str" cm="1">
        <f t="array" ref="A3965">IF(INDEX(CUEs!$A:$A,INT((ROW()-1)/7)*57+MOD(ROW()-1,7)+50)&lt;&gt;"","set "&amp;INDEX(CUEs!$A:$A,INT((ROW()-1)/7)*57+MOD(ROW()-1,7)+50)&amp;"=/ s "&amp;INDEX(CUEs!$B:$B,INT((ROW()-1)/7)*57+MOD(ROW()-1,7)+50),"")</f>
        <v/>
      </c>
    </row>
    <row r="3966" spans="1:1" x14ac:dyDescent="0.25">
      <c r="A3966" t="str" cm="1">
        <f t="array" ref="A3966">IF(INDEX(CUEs!$A:$A,INT((ROW()-1)/7)*57+MOD(ROW()-1,7)+50)&lt;&gt;"","set "&amp;INDEX(CUEs!$A:$A,INT((ROW()-1)/7)*57+MOD(ROW()-1,7)+50)&amp;"=/ s "&amp;INDEX(CUEs!$B:$B,INT((ROW()-1)/7)*57+MOD(ROW()-1,7)+50),"")</f>
        <v/>
      </c>
    </row>
    <row r="3967" spans="1:1" x14ac:dyDescent="0.25">
      <c r="A3967" t="str" cm="1">
        <f t="array" ref="A3967">IF(INDEX(CUEs!$A:$A,INT((ROW()-1)/7)*57+MOD(ROW()-1,7)+50)&lt;&gt;"","set "&amp;INDEX(CUEs!$A:$A,INT((ROW()-1)/7)*57+MOD(ROW()-1,7)+50)&amp;"=/ s "&amp;INDEX(CUEs!$B:$B,INT((ROW()-1)/7)*57+MOD(ROW()-1,7)+50),"")</f>
        <v/>
      </c>
    </row>
    <row r="3968" spans="1:1" x14ac:dyDescent="0.25">
      <c r="A3968" t="str" cm="1">
        <f t="array" ref="A3968">IF(INDEX(CUEs!$A:$A,INT((ROW()-1)/7)*57+MOD(ROW()-1,7)+50)&lt;&gt;"","set "&amp;INDEX(CUEs!$A:$A,INT((ROW()-1)/7)*57+MOD(ROW()-1,7)+50)&amp;"=/ s "&amp;INDEX(CUEs!$B:$B,INT((ROW()-1)/7)*57+MOD(ROW()-1,7)+50),"")</f>
        <v/>
      </c>
    </row>
    <row r="3969" spans="1:1" x14ac:dyDescent="0.25">
      <c r="A3969" t="str" cm="1">
        <f t="array" ref="A3969">IF(INDEX(CUEs!$A:$A,INT((ROW()-1)/7)*57+MOD(ROW()-1,7)+50)&lt;&gt;"","set "&amp;INDEX(CUEs!$A:$A,INT((ROW()-1)/7)*57+MOD(ROW()-1,7)+50)&amp;"=/ s "&amp;INDEX(CUEs!$B:$B,INT((ROW()-1)/7)*57+MOD(ROW()-1,7)+50),"")</f>
        <v/>
      </c>
    </row>
    <row r="3970" spans="1:1" x14ac:dyDescent="0.25">
      <c r="A3970" t="str" cm="1">
        <f t="array" ref="A3970">IF(INDEX(CUEs!$A:$A,INT((ROW()-1)/7)*57+MOD(ROW()-1,7)+50)&lt;&gt;"","set "&amp;INDEX(CUEs!$A:$A,INT((ROW()-1)/7)*57+MOD(ROW()-1,7)+50)&amp;"=/ s "&amp;INDEX(CUEs!$B:$B,INT((ROW()-1)/7)*57+MOD(ROW()-1,7)+50),"")</f>
        <v/>
      </c>
    </row>
    <row r="3971" spans="1:1" x14ac:dyDescent="0.25">
      <c r="A3971" t="str" cm="1">
        <f t="array" ref="A3971">IF(INDEX(CUEs!$A:$A,INT((ROW()-1)/7)*57+MOD(ROW()-1,7)+50)&lt;&gt;"","set "&amp;INDEX(CUEs!$A:$A,INT((ROW()-1)/7)*57+MOD(ROW()-1,7)+50)&amp;"=/ s "&amp;INDEX(CUEs!$B:$B,INT((ROW()-1)/7)*57+MOD(ROW()-1,7)+50),"")</f>
        <v/>
      </c>
    </row>
    <row r="3972" spans="1:1" x14ac:dyDescent="0.25">
      <c r="A3972" t="str" cm="1">
        <f t="array" ref="A3972">IF(INDEX(CUEs!$A:$A,INT((ROW()-1)/7)*57+MOD(ROW()-1,7)+50)&lt;&gt;"","set "&amp;INDEX(CUEs!$A:$A,INT((ROW()-1)/7)*57+MOD(ROW()-1,7)+50)&amp;"=/ s "&amp;INDEX(CUEs!$B:$B,INT((ROW()-1)/7)*57+MOD(ROW()-1,7)+50),"")</f>
        <v/>
      </c>
    </row>
    <row r="3973" spans="1:1" x14ac:dyDescent="0.25">
      <c r="A3973" t="str" cm="1">
        <f t="array" ref="A3973">IF(INDEX(CUEs!$A:$A,INT((ROW()-1)/7)*57+MOD(ROW()-1,7)+50)&lt;&gt;"","set "&amp;INDEX(CUEs!$A:$A,INT((ROW()-1)/7)*57+MOD(ROW()-1,7)+50)&amp;"=/ s "&amp;INDEX(CUEs!$B:$B,INT((ROW()-1)/7)*57+MOD(ROW()-1,7)+50),"")</f>
        <v/>
      </c>
    </row>
    <row r="3974" spans="1:1" x14ac:dyDescent="0.25">
      <c r="A3974" t="str" cm="1">
        <f t="array" ref="A3974">IF(INDEX(CUEs!$A:$A,INT((ROW()-1)/7)*57+MOD(ROW()-1,7)+50)&lt;&gt;"","set "&amp;INDEX(CUEs!$A:$A,INT((ROW()-1)/7)*57+MOD(ROW()-1,7)+50)&amp;"=/ s "&amp;INDEX(CUEs!$B:$B,INT((ROW()-1)/7)*57+MOD(ROW()-1,7)+50),"")</f>
        <v/>
      </c>
    </row>
    <row r="3975" spans="1:1" x14ac:dyDescent="0.25">
      <c r="A3975" t="str" cm="1">
        <f t="array" ref="A3975">IF(INDEX(CUEs!$A:$A,INT((ROW()-1)/7)*57+MOD(ROW()-1,7)+50)&lt;&gt;"","set "&amp;INDEX(CUEs!$A:$A,INT((ROW()-1)/7)*57+MOD(ROW()-1,7)+50)&amp;"=/ s "&amp;INDEX(CUEs!$B:$B,INT((ROW()-1)/7)*57+MOD(ROW()-1,7)+50),"")</f>
        <v/>
      </c>
    </row>
    <row r="3976" spans="1:1" x14ac:dyDescent="0.25">
      <c r="A3976" t="str" cm="1">
        <f t="array" ref="A3976">IF(INDEX(CUEs!$A:$A,INT((ROW()-1)/7)*57+MOD(ROW()-1,7)+50)&lt;&gt;"","set "&amp;INDEX(CUEs!$A:$A,INT((ROW()-1)/7)*57+MOD(ROW()-1,7)+50)&amp;"=/ s "&amp;INDEX(CUEs!$B:$B,INT((ROW()-1)/7)*57+MOD(ROW()-1,7)+50),"")</f>
        <v/>
      </c>
    </row>
    <row r="3977" spans="1:1" x14ac:dyDescent="0.25">
      <c r="A3977" t="str" cm="1">
        <f t="array" ref="A3977">IF(INDEX(CUEs!$A:$A,INT((ROW()-1)/7)*57+MOD(ROW()-1,7)+50)&lt;&gt;"","set "&amp;INDEX(CUEs!$A:$A,INT((ROW()-1)/7)*57+MOD(ROW()-1,7)+50)&amp;"=/ s "&amp;INDEX(CUEs!$B:$B,INT((ROW()-1)/7)*57+MOD(ROW()-1,7)+50),"")</f>
        <v/>
      </c>
    </row>
    <row r="3978" spans="1:1" x14ac:dyDescent="0.25">
      <c r="A3978" t="str" cm="1">
        <f t="array" ref="A3978">IF(INDEX(CUEs!$A:$A,INT((ROW()-1)/7)*57+MOD(ROW()-1,7)+50)&lt;&gt;"","set "&amp;INDEX(CUEs!$A:$A,INT((ROW()-1)/7)*57+MOD(ROW()-1,7)+50)&amp;"=/ s "&amp;INDEX(CUEs!$B:$B,INT((ROW()-1)/7)*57+MOD(ROW()-1,7)+50),"")</f>
        <v/>
      </c>
    </row>
    <row r="3979" spans="1:1" x14ac:dyDescent="0.25">
      <c r="A3979" t="str" cm="1">
        <f t="array" ref="A3979">IF(INDEX(CUEs!$A:$A,INT((ROW()-1)/7)*57+MOD(ROW()-1,7)+50)&lt;&gt;"","set "&amp;INDEX(CUEs!$A:$A,INT((ROW()-1)/7)*57+MOD(ROW()-1,7)+50)&amp;"=/ s "&amp;INDEX(CUEs!$B:$B,INT((ROW()-1)/7)*57+MOD(ROW()-1,7)+50),"")</f>
        <v/>
      </c>
    </row>
    <row r="3980" spans="1:1" x14ac:dyDescent="0.25">
      <c r="A3980" t="str" cm="1">
        <f t="array" ref="A3980">IF(INDEX(CUEs!$A:$A,INT((ROW()-1)/7)*57+MOD(ROW()-1,7)+50)&lt;&gt;"","set "&amp;INDEX(CUEs!$A:$A,INT((ROW()-1)/7)*57+MOD(ROW()-1,7)+50)&amp;"=/ s "&amp;INDEX(CUEs!$B:$B,INT((ROW()-1)/7)*57+MOD(ROW()-1,7)+50),"")</f>
        <v/>
      </c>
    </row>
    <row r="3981" spans="1:1" x14ac:dyDescent="0.25">
      <c r="A3981" t="str" cm="1">
        <f t="array" ref="A3981">IF(INDEX(CUEs!$A:$A,INT((ROW()-1)/7)*57+MOD(ROW()-1,7)+50)&lt;&gt;"","set "&amp;INDEX(CUEs!$A:$A,INT((ROW()-1)/7)*57+MOD(ROW()-1,7)+50)&amp;"=/ s "&amp;INDEX(CUEs!$B:$B,INT((ROW()-1)/7)*57+MOD(ROW()-1,7)+50),"")</f>
        <v/>
      </c>
    </row>
    <row r="3982" spans="1:1" x14ac:dyDescent="0.25">
      <c r="A3982" t="str" cm="1">
        <f t="array" ref="A3982">IF(INDEX(CUEs!$A:$A,INT((ROW()-1)/7)*57+MOD(ROW()-1,7)+50)&lt;&gt;"","set "&amp;INDEX(CUEs!$A:$A,INT((ROW()-1)/7)*57+MOD(ROW()-1,7)+50)&amp;"=/ s "&amp;INDEX(CUEs!$B:$B,INT((ROW()-1)/7)*57+MOD(ROW()-1,7)+50),"")</f>
        <v/>
      </c>
    </row>
    <row r="3983" spans="1:1" x14ac:dyDescent="0.25">
      <c r="A3983" t="str" cm="1">
        <f t="array" ref="A3983">IF(INDEX(CUEs!$A:$A,INT((ROW()-1)/7)*57+MOD(ROW()-1,7)+50)&lt;&gt;"","set "&amp;INDEX(CUEs!$A:$A,INT((ROW()-1)/7)*57+MOD(ROW()-1,7)+50)&amp;"=/ s "&amp;INDEX(CUEs!$B:$B,INT((ROW()-1)/7)*57+MOD(ROW()-1,7)+50),"")</f>
        <v/>
      </c>
    </row>
    <row r="3984" spans="1:1" x14ac:dyDescent="0.25">
      <c r="A3984" t="str" cm="1">
        <f t="array" ref="A3984">IF(INDEX(CUEs!$A:$A,INT((ROW()-1)/7)*57+MOD(ROW()-1,7)+50)&lt;&gt;"","set "&amp;INDEX(CUEs!$A:$A,INT((ROW()-1)/7)*57+MOD(ROW()-1,7)+50)&amp;"=/ s "&amp;INDEX(CUEs!$B:$B,INT((ROW()-1)/7)*57+MOD(ROW()-1,7)+50),"")</f>
        <v/>
      </c>
    </row>
    <row r="3985" spans="1:1" x14ac:dyDescent="0.25">
      <c r="A3985" t="str" cm="1">
        <f t="array" ref="A3985">IF(INDEX(CUEs!$A:$A,INT((ROW()-1)/7)*57+MOD(ROW()-1,7)+50)&lt;&gt;"","set "&amp;INDEX(CUEs!$A:$A,INT((ROW()-1)/7)*57+MOD(ROW()-1,7)+50)&amp;"=/ s "&amp;INDEX(CUEs!$B:$B,INT((ROW()-1)/7)*57+MOD(ROW()-1,7)+50),"")</f>
        <v/>
      </c>
    </row>
    <row r="3986" spans="1:1" x14ac:dyDescent="0.25">
      <c r="A3986" t="str" cm="1">
        <f t="array" ref="A3986">IF(INDEX(CUEs!$A:$A,INT((ROW()-1)/7)*57+MOD(ROW()-1,7)+50)&lt;&gt;"","set "&amp;INDEX(CUEs!$A:$A,INT((ROW()-1)/7)*57+MOD(ROW()-1,7)+50)&amp;"=/ s "&amp;INDEX(CUEs!$B:$B,INT((ROW()-1)/7)*57+MOD(ROW()-1,7)+50),"")</f>
        <v/>
      </c>
    </row>
    <row r="3987" spans="1:1" x14ac:dyDescent="0.25">
      <c r="A3987" t="str" cm="1">
        <f t="array" ref="A3987">IF(INDEX(CUEs!$A:$A,INT((ROW()-1)/7)*57+MOD(ROW()-1,7)+50)&lt;&gt;"","set "&amp;INDEX(CUEs!$A:$A,INT((ROW()-1)/7)*57+MOD(ROW()-1,7)+50)&amp;"=/ s "&amp;INDEX(CUEs!$B:$B,INT((ROW()-1)/7)*57+MOD(ROW()-1,7)+50),"")</f>
        <v/>
      </c>
    </row>
    <row r="3988" spans="1:1" x14ac:dyDescent="0.25">
      <c r="A3988" t="str" cm="1">
        <f t="array" ref="A3988">IF(INDEX(CUEs!$A:$A,INT((ROW()-1)/7)*57+MOD(ROW()-1,7)+50)&lt;&gt;"","set "&amp;INDEX(CUEs!$A:$A,INT((ROW()-1)/7)*57+MOD(ROW()-1,7)+50)&amp;"=/ s "&amp;INDEX(CUEs!$B:$B,INT((ROW()-1)/7)*57+MOD(ROW()-1,7)+50),"")</f>
        <v/>
      </c>
    </row>
    <row r="3989" spans="1:1" x14ac:dyDescent="0.25">
      <c r="A3989" t="str" cm="1">
        <f t="array" ref="A3989">IF(INDEX(CUEs!$A:$A,INT((ROW()-1)/7)*57+MOD(ROW()-1,7)+50)&lt;&gt;"","set "&amp;INDEX(CUEs!$A:$A,INT((ROW()-1)/7)*57+MOD(ROW()-1,7)+50)&amp;"=/ s "&amp;INDEX(CUEs!$B:$B,INT((ROW()-1)/7)*57+MOD(ROW()-1,7)+50),"")</f>
        <v/>
      </c>
    </row>
    <row r="3990" spans="1:1" x14ac:dyDescent="0.25">
      <c r="A3990" t="str" cm="1">
        <f t="array" ref="A3990">IF(INDEX(CUEs!$A:$A,INT((ROW()-1)/7)*57+MOD(ROW()-1,7)+50)&lt;&gt;"","set "&amp;INDEX(CUEs!$A:$A,INT((ROW()-1)/7)*57+MOD(ROW()-1,7)+50)&amp;"=/ s "&amp;INDEX(CUEs!$B:$B,INT((ROW()-1)/7)*57+MOD(ROW()-1,7)+50),"")</f>
        <v/>
      </c>
    </row>
    <row r="3991" spans="1:1" x14ac:dyDescent="0.25">
      <c r="A3991" t="str" cm="1">
        <f t="array" ref="A3991">IF(INDEX(CUEs!$A:$A,INT((ROW()-1)/7)*57+MOD(ROW()-1,7)+50)&lt;&gt;"","set "&amp;INDEX(CUEs!$A:$A,INT((ROW()-1)/7)*57+MOD(ROW()-1,7)+50)&amp;"=/ s "&amp;INDEX(CUEs!$B:$B,INT((ROW()-1)/7)*57+MOD(ROW()-1,7)+50),"")</f>
        <v/>
      </c>
    </row>
    <row r="3992" spans="1:1" x14ac:dyDescent="0.25">
      <c r="A3992" t="str" cm="1">
        <f t="array" ref="A3992">IF(INDEX(CUEs!$A:$A,INT((ROW()-1)/7)*57+MOD(ROW()-1,7)+50)&lt;&gt;"","set "&amp;INDEX(CUEs!$A:$A,INT((ROW()-1)/7)*57+MOD(ROW()-1,7)+50)&amp;"=/ s "&amp;INDEX(CUEs!$B:$B,INT((ROW()-1)/7)*57+MOD(ROW()-1,7)+50),"")</f>
        <v/>
      </c>
    </row>
    <row r="3993" spans="1:1" x14ac:dyDescent="0.25">
      <c r="A3993" t="str" cm="1">
        <f t="array" ref="A3993">IF(INDEX(CUEs!$A:$A,INT((ROW()-1)/7)*57+MOD(ROW()-1,7)+50)&lt;&gt;"","set "&amp;INDEX(CUEs!$A:$A,INT((ROW()-1)/7)*57+MOD(ROW()-1,7)+50)&amp;"=/ s "&amp;INDEX(CUEs!$B:$B,INT((ROW()-1)/7)*57+MOD(ROW()-1,7)+50),"")</f>
        <v/>
      </c>
    </row>
    <row r="3994" spans="1:1" x14ac:dyDescent="0.25">
      <c r="A3994" t="str" cm="1">
        <f t="array" ref="A3994">IF(INDEX(CUEs!$A:$A,INT((ROW()-1)/7)*57+MOD(ROW()-1,7)+50)&lt;&gt;"","set "&amp;INDEX(CUEs!$A:$A,INT((ROW()-1)/7)*57+MOD(ROW()-1,7)+50)&amp;"=/ s "&amp;INDEX(CUEs!$B:$B,INT((ROW()-1)/7)*57+MOD(ROW()-1,7)+50),"")</f>
        <v/>
      </c>
    </row>
    <row r="3995" spans="1:1" x14ac:dyDescent="0.25">
      <c r="A3995" t="str" cm="1">
        <f t="array" ref="A3995">IF(INDEX(CUEs!$A:$A,INT((ROW()-1)/7)*57+MOD(ROW()-1,7)+50)&lt;&gt;"","set "&amp;INDEX(CUEs!$A:$A,INT((ROW()-1)/7)*57+MOD(ROW()-1,7)+50)&amp;"=/ s "&amp;INDEX(CUEs!$B:$B,INT((ROW()-1)/7)*57+MOD(ROW()-1,7)+50),"")</f>
        <v/>
      </c>
    </row>
    <row r="3996" spans="1:1" x14ac:dyDescent="0.25">
      <c r="A3996" t="str" cm="1">
        <f t="array" ref="A3996">IF(INDEX(CUEs!$A:$A,INT((ROW()-1)/7)*57+MOD(ROW()-1,7)+50)&lt;&gt;"","set "&amp;INDEX(CUEs!$A:$A,INT((ROW()-1)/7)*57+MOD(ROW()-1,7)+50)&amp;"=/ s "&amp;INDEX(CUEs!$B:$B,INT((ROW()-1)/7)*57+MOD(ROW()-1,7)+50),"")</f>
        <v/>
      </c>
    </row>
    <row r="3997" spans="1:1" x14ac:dyDescent="0.25">
      <c r="A3997" t="str" cm="1">
        <f t="array" ref="A3997">IF(INDEX(CUEs!$A:$A,INT((ROW()-1)/7)*57+MOD(ROW()-1,7)+50)&lt;&gt;"","set "&amp;INDEX(CUEs!$A:$A,INT((ROW()-1)/7)*57+MOD(ROW()-1,7)+50)&amp;"=/ s "&amp;INDEX(CUEs!$B:$B,INT((ROW()-1)/7)*57+MOD(ROW()-1,7)+50),"")</f>
        <v/>
      </c>
    </row>
    <row r="3998" spans="1:1" x14ac:dyDescent="0.25">
      <c r="A3998" t="str" cm="1">
        <f t="array" ref="A3998">IF(INDEX(CUEs!$A:$A,INT((ROW()-1)/7)*57+MOD(ROW()-1,7)+50)&lt;&gt;"","set "&amp;INDEX(CUEs!$A:$A,INT((ROW()-1)/7)*57+MOD(ROW()-1,7)+50)&amp;"=/ s "&amp;INDEX(CUEs!$B:$B,INT((ROW()-1)/7)*57+MOD(ROW()-1,7)+50),"")</f>
        <v/>
      </c>
    </row>
    <row r="3999" spans="1:1" x14ac:dyDescent="0.25">
      <c r="A3999" t="str" cm="1">
        <f t="array" ref="A3999">IF(INDEX(CUEs!$A:$A,INT((ROW()-1)/7)*57+MOD(ROW()-1,7)+50)&lt;&gt;"","set "&amp;INDEX(CUEs!$A:$A,INT((ROW()-1)/7)*57+MOD(ROW()-1,7)+50)&amp;"=/ s "&amp;INDEX(CUEs!$B:$B,INT((ROW()-1)/7)*57+MOD(ROW()-1,7)+50),"")</f>
        <v/>
      </c>
    </row>
    <row r="4000" spans="1:1" x14ac:dyDescent="0.25">
      <c r="A4000" t="str" cm="1">
        <f t="array" ref="A4000">IF(INDEX(CUEs!$A:$A,INT((ROW()-1)/7)*57+MOD(ROW()-1,7)+50)&lt;&gt;"","set "&amp;INDEX(CUEs!$A:$A,INT((ROW()-1)/7)*57+MOD(ROW()-1,7)+50)&amp;"=/ s "&amp;INDEX(CUEs!$B:$B,INT((ROW()-1)/7)*57+MOD(ROW()-1,7)+50),"")</f>
        <v/>
      </c>
    </row>
    <row r="4001" spans="1:1" x14ac:dyDescent="0.25">
      <c r="A4001" t="str" cm="1">
        <f t="array" ref="A4001">IF(INDEX(CUEs!$A:$A,INT((ROW()-1)/7)*57+MOD(ROW()-1,7)+50)&lt;&gt;"","set "&amp;INDEX(CUEs!$A:$A,INT((ROW()-1)/7)*57+MOD(ROW()-1,7)+50)&amp;"=/ s "&amp;INDEX(CUEs!$B:$B,INT((ROW()-1)/7)*57+MOD(ROW()-1,7)+50),"")</f>
        <v/>
      </c>
    </row>
    <row r="4002" spans="1:1" x14ac:dyDescent="0.25">
      <c r="A4002" t="str" cm="1">
        <f t="array" ref="A4002">IF(INDEX(CUEs!$A:$A,INT((ROW()-1)/7)*57+MOD(ROW()-1,7)+50)&lt;&gt;"","set "&amp;INDEX(CUEs!$A:$A,INT((ROW()-1)/7)*57+MOD(ROW()-1,7)+50)&amp;"=/ s "&amp;INDEX(CUEs!$B:$B,INT((ROW()-1)/7)*57+MOD(ROW()-1,7)+50),"")</f>
        <v/>
      </c>
    </row>
    <row r="4003" spans="1:1" x14ac:dyDescent="0.25">
      <c r="A4003" t="str" cm="1">
        <f t="array" ref="A4003">IF(INDEX(CUEs!$A:$A,INT((ROW()-1)/7)*57+MOD(ROW()-1,7)+50)&lt;&gt;"","set "&amp;INDEX(CUEs!$A:$A,INT((ROW()-1)/7)*57+MOD(ROW()-1,7)+50)&amp;"=/ s "&amp;INDEX(CUEs!$B:$B,INT((ROW()-1)/7)*57+MOD(ROW()-1,7)+50),"")</f>
        <v/>
      </c>
    </row>
    <row r="4004" spans="1:1" x14ac:dyDescent="0.25">
      <c r="A4004" t="str" cm="1">
        <f t="array" ref="A4004">IF(INDEX(CUEs!$A:$A,INT((ROW()-1)/7)*57+MOD(ROW()-1,7)+50)&lt;&gt;"","set "&amp;INDEX(CUEs!$A:$A,INT((ROW()-1)/7)*57+MOD(ROW()-1,7)+50)&amp;"=/ s "&amp;INDEX(CUEs!$B:$B,INT((ROW()-1)/7)*57+MOD(ROW()-1,7)+50),"")</f>
        <v/>
      </c>
    </row>
    <row r="4005" spans="1:1" x14ac:dyDescent="0.25">
      <c r="A4005" t="str" cm="1">
        <f t="array" ref="A4005">IF(INDEX(CUEs!$A:$A,INT((ROW()-1)/7)*57+MOD(ROW()-1,7)+50)&lt;&gt;"","set "&amp;INDEX(CUEs!$A:$A,INT((ROW()-1)/7)*57+MOD(ROW()-1,7)+50)&amp;"=/ s "&amp;INDEX(CUEs!$B:$B,INT((ROW()-1)/7)*57+MOD(ROW()-1,7)+50),"")</f>
        <v/>
      </c>
    </row>
    <row r="4006" spans="1:1" x14ac:dyDescent="0.25">
      <c r="A4006" t="str" cm="1">
        <f t="array" ref="A4006">IF(INDEX(CUEs!$A:$A,INT((ROW()-1)/7)*57+MOD(ROW()-1,7)+50)&lt;&gt;"","set "&amp;INDEX(CUEs!$A:$A,INT((ROW()-1)/7)*57+MOD(ROW()-1,7)+50)&amp;"=/ s "&amp;INDEX(CUEs!$B:$B,INT((ROW()-1)/7)*57+MOD(ROW()-1,7)+50),"")</f>
        <v/>
      </c>
    </row>
    <row r="4007" spans="1:1" x14ac:dyDescent="0.25">
      <c r="A4007" t="str" cm="1">
        <f t="array" ref="A4007">IF(INDEX(CUEs!$A:$A,INT((ROW()-1)/7)*57+MOD(ROW()-1,7)+50)&lt;&gt;"","set "&amp;INDEX(CUEs!$A:$A,INT((ROW()-1)/7)*57+MOD(ROW()-1,7)+50)&amp;"=/ s "&amp;INDEX(CUEs!$B:$B,INT((ROW()-1)/7)*57+MOD(ROW()-1,7)+50),"")</f>
        <v/>
      </c>
    </row>
    <row r="4008" spans="1:1" x14ac:dyDescent="0.25">
      <c r="A4008" t="str" cm="1">
        <f t="array" ref="A4008">IF(INDEX(CUEs!$A:$A,INT((ROW()-1)/7)*57+MOD(ROW()-1,7)+50)&lt;&gt;"","set "&amp;INDEX(CUEs!$A:$A,INT((ROW()-1)/7)*57+MOD(ROW()-1,7)+50)&amp;"=/ s "&amp;INDEX(CUEs!$B:$B,INT((ROW()-1)/7)*57+MOD(ROW()-1,7)+50),"")</f>
        <v/>
      </c>
    </row>
    <row r="4009" spans="1:1" x14ac:dyDescent="0.25">
      <c r="A4009" t="str" cm="1">
        <f t="array" ref="A4009">IF(INDEX(CUEs!$A:$A,INT((ROW()-1)/7)*57+MOD(ROW()-1,7)+50)&lt;&gt;"","set "&amp;INDEX(CUEs!$A:$A,INT((ROW()-1)/7)*57+MOD(ROW()-1,7)+50)&amp;"=/ s "&amp;INDEX(CUEs!$B:$B,INT((ROW()-1)/7)*57+MOD(ROW()-1,7)+50),"")</f>
        <v/>
      </c>
    </row>
    <row r="4010" spans="1:1" x14ac:dyDescent="0.25">
      <c r="A4010" t="str" cm="1">
        <f t="array" ref="A4010">IF(INDEX(CUEs!$A:$A,INT((ROW()-1)/7)*57+MOD(ROW()-1,7)+50)&lt;&gt;"","set "&amp;INDEX(CUEs!$A:$A,INT((ROW()-1)/7)*57+MOD(ROW()-1,7)+50)&amp;"=/ s "&amp;INDEX(CUEs!$B:$B,INT((ROW()-1)/7)*57+MOD(ROW()-1,7)+50),"")</f>
        <v/>
      </c>
    </row>
    <row r="4011" spans="1:1" x14ac:dyDescent="0.25">
      <c r="A4011" t="str" cm="1">
        <f t="array" ref="A4011">IF(INDEX(CUEs!$A:$A,INT((ROW()-1)/7)*57+MOD(ROW()-1,7)+50)&lt;&gt;"","set "&amp;INDEX(CUEs!$A:$A,INT((ROW()-1)/7)*57+MOD(ROW()-1,7)+50)&amp;"=/ s "&amp;INDEX(CUEs!$B:$B,INT((ROW()-1)/7)*57+MOD(ROW()-1,7)+50),"")</f>
        <v/>
      </c>
    </row>
    <row r="4012" spans="1:1" x14ac:dyDescent="0.25">
      <c r="A4012" t="str" cm="1">
        <f t="array" ref="A4012">IF(INDEX(CUEs!$A:$A,INT((ROW()-1)/7)*57+MOD(ROW()-1,7)+50)&lt;&gt;"","set "&amp;INDEX(CUEs!$A:$A,INT((ROW()-1)/7)*57+MOD(ROW()-1,7)+50)&amp;"=/ s "&amp;INDEX(CUEs!$B:$B,INT((ROW()-1)/7)*57+MOD(ROW()-1,7)+50),"")</f>
        <v/>
      </c>
    </row>
    <row r="4013" spans="1:1" x14ac:dyDescent="0.25">
      <c r="A4013" t="str" cm="1">
        <f t="array" ref="A4013">IF(INDEX(CUEs!$A:$A,INT((ROW()-1)/7)*57+MOD(ROW()-1,7)+50)&lt;&gt;"","set "&amp;INDEX(CUEs!$A:$A,INT((ROW()-1)/7)*57+MOD(ROW()-1,7)+50)&amp;"=/ s "&amp;INDEX(CUEs!$B:$B,INT((ROW()-1)/7)*57+MOD(ROW()-1,7)+50),"")</f>
        <v/>
      </c>
    </row>
    <row r="4014" spans="1:1" x14ac:dyDescent="0.25">
      <c r="A4014" t="str" cm="1">
        <f t="array" ref="A4014">IF(INDEX(CUEs!$A:$A,INT((ROW()-1)/7)*57+MOD(ROW()-1,7)+50)&lt;&gt;"","set "&amp;INDEX(CUEs!$A:$A,INT((ROW()-1)/7)*57+MOD(ROW()-1,7)+50)&amp;"=/ s "&amp;INDEX(CUEs!$B:$B,INT((ROW()-1)/7)*57+MOD(ROW()-1,7)+50),"")</f>
        <v/>
      </c>
    </row>
    <row r="4015" spans="1:1" x14ac:dyDescent="0.25">
      <c r="A4015" t="str" cm="1">
        <f t="array" ref="A4015">IF(INDEX(CUEs!$A:$A,INT((ROW()-1)/7)*57+MOD(ROW()-1,7)+50)&lt;&gt;"","set "&amp;INDEX(CUEs!$A:$A,INT((ROW()-1)/7)*57+MOD(ROW()-1,7)+50)&amp;"=/ s "&amp;INDEX(CUEs!$B:$B,INT((ROW()-1)/7)*57+MOD(ROW()-1,7)+50),"")</f>
        <v/>
      </c>
    </row>
    <row r="4016" spans="1:1" x14ac:dyDescent="0.25">
      <c r="A4016" t="str" cm="1">
        <f t="array" ref="A4016">IF(INDEX(CUEs!$A:$A,INT((ROW()-1)/7)*57+MOD(ROW()-1,7)+50)&lt;&gt;"","set "&amp;INDEX(CUEs!$A:$A,INT((ROW()-1)/7)*57+MOD(ROW()-1,7)+50)&amp;"=/ s "&amp;INDEX(CUEs!$B:$B,INT((ROW()-1)/7)*57+MOD(ROW()-1,7)+50),"")</f>
        <v/>
      </c>
    </row>
    <row r="4017" spans="1:1" x14ac:dyDescent="0.25">
      <c r="A4017" t="str" cm="1">
        <f t="array" ref="A4017">IF(INDEX(CUEs!$A:$A,INT((ROW()-1)/7)*57+MOD(ROW()-1,7)+50)&lt;&gt;"","set "&amp;INDEX(CUEs!$A:$A,INT((ROW()-1)/7)*57+MOD(ROW()-1,7)+50)&amp;"=/ s "&amp;INDEX(CUEs!$B:$B,INT((ROW()-1)/7)*57+MOD(ROW()-1,7)+50),"")</f>
        <v/>
      </c>
    </row>
    <row r="4018" spans="1:1" x14ac:dyDescent="0.25">
      <c r="A4018" t="str" cm="1">
        <f t="array" ref="A4018">IF(INDEX(CUEs!$A:$A,INT((ROW()-1)/7)*57+MOD(ROW()-1,7)+50)&lt;&gt;"","set "&amp;INDEX(CUEs!$A:$A,INT((ROW()-1)/7)*57+MOD(ROW()-1,7)+50)&amp;"=/ s "&amp;INDEX(CUEs!$B:$B,INT((ROW()-1)/7)*57+MOD(ROW()-1,7)+50),"")</f>
        <v/>
      </c>
    </row>
    <row r="4019" spans="1:1" x14ac:dyDescent="0.25">
      <c r="A4019" t="str" cm="1">
        <f t="array" ref="A4019">IF(INDEX(CUEs!$A:$A,INT((ROW()-1)/7)*57+MOD(ROW()-1,7)+50)&lt;&gt;"","set "&amp;INDEX(CUEs!$A:$A,INT((ROW()-1)/7)*57+MOD(ROW()-1,7)+50)&amp;"=/ s "&amp;INDEX(CUEs!$B:$B,INT((ROW()-1)/7)*57+MOD(ROW()-1,7)+50),"")</f>
        <v/>
      </c>
    </row>
    <row r="4020" spans="1:1" x14ac:dyDescent="0.25">
      <c r="A4020" t="str" cm="1">
        <f t="array" ref="A4020">IF(INDEX(CUEs!$A:$A,INT((ROW()-1)/7)*57+MOD(ROW()-1,7)+50)&lt;&gt;"","set "&amp;INDEX(CUEs!$A:$A,INT((ROW()-1)/7)*57+MOD(ROW()-1,7)+50)&amp;"=/ s "&amp;INDEX(CUEs!$B:$B,INT((ROW()-1)/7)*57+MOD(ROW()-1,7)+50),"")</f>
        <v/>
      </c>
    </row>
    <row r="4021" spans="1:1" x14ac:dyDescent="0.25">
      <c r="A4021" t="str" cm="1">
        <f t="array" ref="A4021">IF(INDEX(CUEs!$A:$A,INT((ROW()-1)/7)*57+MOD(ROW()-1,7)+50)&lt;&gt;"","set "&amp;INDEX(CUEs!$A:$A,INT((ROW()-1)/7)*57+MOD(ROW()-1,7)+50)&amp;"=/ s "&amp;INDEX(CUEs!$B:$B,INT((ROW()-1)/7)*57+MOD(ROW()-1,7)+50),"")</f>
        <v/>
      </c>
    </row>
    <row r="4022" spans="1:1" x14ac:dyDescent="0.25">
      <c r="A4022" t="str" cm="1">
        <f t="array" ref="A4022">IF(INDEX(CUEs!$A:$A,INT((ROW()-1)/7)*57+MOD(ROW()-1,7)+50)&lt;&gt;"","set "&amp;INDEX(CUEs!$A:$A,INT((ROW()-1)/7)*57+MOD(ROW()-1,7)+50)&amp;"=/ s "&amp;INDEX(CUEs!$B:$B,INT((ROW()-1)/7)*57+MOD(ROW()-1,7)+50),"")</f>
        <v/>
      </c>
    </row>
    <row r="4023" spans="1:1" x14ac:dyDescent="0.25">
      <c r="A4023" t="str" cm="1">
        <f t="array" ref="A4023">IF(INDEX(CUEs!$A:$A,INT((ROW()-1)/7)*57+MOD(ROW()-1,7)+50)&lt;&gt;"","set "&amp;INDEX(CUEs!$A:$A,INT((ROW()-1)/7)*57+MOD(ROW()-1,7)+50)&amp;"=/ s "&amp;INDEX(CUEs!$B:$B,INT((ROW()-1)/7)*57+MOD(ROW()-1,7)+50),"")</f>
        <v/>
      </c>
    </row>
    <row r="4024" spans="1:1" x14ac:dyDescent="0.25">
      <c r="A4024" t="str" cm="1">
        <f t="array" ref="A4024">IF(INDEX(CUEs!$A:$A,INT((ROW()-1)/7)*57+MOD(ROW()-1,7)+50)&lt;&gt;"","set "&amp;INDEX(CUEs!$A:$A,INT((ROW()-1)/7)*57+MOD(ROW()-1,7)+50)&amp;"=/ s "&amp;INDEX(CUEs!$B:$B,INT((ROW()-1)/7)*57+MOD(ROW()-1,7)+50),"")</f>
        <v/>
      </c>
    </row>
    <row r="4025" spans="1:1" x14ac:dyDescent="0.25">
      <c r="A4025" t="str" cm="1">
        <f t="array" ref="A4025">IF(INDEX(CUEs!$A:$A,INT((ROW()-1)/7)*57+MOD(ROW()-1,7)+50)&lt;&gt;"","set "&amp;INDEX(CUEs!$A:$A,INT((ROW()-1)/7)*57+MOD(ROW()-1,7)+50)&amp;"=/ s "&amp;INDEX(CUEs!$B:$B,INT((ROW()-1)/7)*57+MOD(ROW()-1,7)+50),"")</f>
        <v/>
      </c>
    </row>
    <row r="4026" spans="1:1" x14ac:dyDescent="0.25">
      <c r="A4026" t="str" cm="1">
        <f t="array" ref="A4026">IF(INDEX(CUEs!$A:$A,INT((ROW()-1)/7)*57+MOD(ROW()-1,7)+50)&lt;&gt;"","set "&amp;INDEX(CUEs!$A:$A,INT((ROW()-1)/7)*57+MOD(ROW()-1,7)+50)&amp;"=/ s "&amp;INDEX(CUEs!$B:$B,INT((ROW()-1)/7)*57+MOD(ROW()-1,7)+50),"")</f>
        <v/>
      </c>
    </row>
    <row r="4027" spans="1:1" x14ac:dyDescent="0.25">
      <c r="A4027" t="str" cm="1">
        <f t="array" ref="A4027">IF(INDEX(CUEs!$A:$A,INT((ROW()-1)/7)*57+MOD(ROW()-1,7)+50)&lt;&gt;"","set "&amp;INDEX(CUEs!$A:$A,INT((ROW()-1)/7)*57+MOD(ROW()-1,7)+50)&amp;"=/ s "&amp;INDEX(CUEs!$B:$B,INT((ROW()-1)/7)*57+MOD(ROW()-1,7)+50),"")</f>
        <v/>
      </c>
    </row>
    <row r="4028" spans="1:1" x14ac:dyDescent="0.25">
      <c r="A4028" t="str" cm="1">
        <f t="array" ref="A4028">IF(INDEX(CUEs!$A:$A,INT((ROW()-1)/7)*57+MOD(ROW()-1,7)+50)&lt;&gt;"","set "&amp;INDEX(CUEs!$A:$A,INT((ROW()-1)/7)*57+MOD(ROW()-1,7)+50)&amp;"=/ s "&amp;INDEX(CUEs!$B:$B,INT((ROW()-1)/7)*57+MOD(ROW()-1,7)+50),"")</f>
        <v/>
      </c>
    </row>
    <row r="4029" spans="1:1" x14ac:dyDescent="0.25">
      <c r="A4029" t="str" cm="1">
        <f t="array" ref="A4029">IF(INDEX(CUEs!$A:$A,INT((ROW()-1)/7)*57+MOD(ROW()-1,7)+50)&lt;&gt;"","set "&amp;INDEX(CUEs!$A:$A,INT((ROW()-1)/7)*57+MOD(ROW()-1,7)+50)&amp;"=/ s "&amp;INDEX(CUEs!$B:$B,INT((ROW()-1)/7)*57+MOD(ROW()-1,7)+50),"")</f>
        <v/>
      </c>
    </row>
    <row r="4030" spans="1:1" x14ac:dyDescent="0.25">
      <c r="A4030" t="str" cm="1">
        <f t="array" ref="A4030">IF(INDEX(CUEs!$A:$A,INT((ROW()-1)/7)*57+MOD(ROW()-1,7)+50)&lt;&gt;"","set "&amp;INDEX(CUEs!$A:$A,INT((ROW()-1)/7)*57+MOD(ROW()-1,7)+50)&amp;"=/ s "&amp;INDEX(CUEs!$B:$B,INT((ROW()-1)/7)*57+MOD(ROW()-1,7)+50),"")</f>
        <v/>
      </c>
    </row>
    <row r="4031" spans="1:1" x14ac:dyDescent="0.25">
      <c r="A4031" t="str" cm="1">
        <f t="array" ref="A4031">IF(INDEX(CUEs!$A:$A,INT((ROW()-1)/7)*57+MOD(ROW()-1,7)+50)&lt;&gt;"","set "&amp;INDEX(CUEs!$A:$A,INT((ROW()-1)/7)*57+MOD(ROW()-1,7)+50)&amp;"=/ s "&amp;INDEX(CUEs!$B:$B,INT((ROW()-1)/7)*57+MOD(ROW()-1,7)+50),"")</f>
        <v/>
      </c>
    </row>
    <row r="4032" spans="1:1" x14ac:dyDescent="0.25">
      <c r="A4032" t="str" cm="1">
        <f t="array" ref="A4032">IF(INDEX(CUEs!$A:$A,INT((ROW()-1)/7)*57+MOD(ROW()-1,7)+50)&lt;&gt;"","set "&amp;INDEX(CUEs!$A:$A,INT((ROW()-1)/7)*57+MOD(ROW()-1,7)+50)&amp;"=/ s "&amp;INDEX(CUEs!$B:$B,INT((ROW()-1)/7)*57+MOD(ROW()-1,7)+50),"")</f>
        <v/>
      </c>
    </row>
    <row r="4033" spans="1:1" x14ac:dyDescent="0.25">
      <c r="A4033" t="str" cm="1">
        <f t="array" ref="A4033">IF(INDEX(CUEs!$A:$A,INT((ROW()-1)/7)*57+MOD(ROW()-1,7)+50)&lt;&gt;"","set "&amp;INDEX(CUEs!$A:$A,INT((ROW()-1)/7)*57+MOD(ROW()-1,7)+50)&amp;"=/ s "&amp;INDEX(CUEs!$B:$B,INT((ROW()-1)/7)*57+MOD(ROW()-1,7)+50),"")</f>
        <v/>
      </c>
    </row>
    <row r="4034" spans="1:1" x14ac:dyDescent="0.25">
      <c r="A4034" t="str" cm="1">
        <f t="array" ref="A4034">IF(INDEX(CUEs!$A:$A,INT((ROW()-1)/7)*57+MOD(ROW()-1,7)+50)&lt;&gt;"","set "&amp;INDEX(CUEs!$A:$A,INT((ROW()-1)/7)*57+MOD(ROW()-1,7)+50)&amp;"=/ s "&amp;INDEX(CUEs!$B:$B,INT((ROW()-1)/7)*57+MOD(ROW()-1,7)+50),"")</f>
        <v/>
      </c>
    </row>
    <row r="4035" spans="1:1" x14ac:dyDescent="0.25">
      <c r="A4035" t="str" cm="1">
        <f t="array" ref="A4035">IF(INDEX(CUEs!$A:$A,INT((ROW()-1)/7)*57+MOD(ROW()-1,7)+50)&lt;&gt;"","set "&amp;INDEX(CUEs!$A:$A,INT((ROW()-1)/7)*57+MOD(ROW()-1,7)+50)&amp;"=/ s "&amp;INDEX(CUEs!$B:$B,INT((ROW()-1)/7)*57+MOD(ROW()-1,7)+50),"")</f>
        <v/>
      </c>
    </row>
    <row r="4036" spans="1:1" x14ac:dyDescent="0.25">
      <c r="A4036" t="str" cm="1">
        <f t="array" ref="A4036">IF(INDEX(CUEs!$A:$A,INT((ROW()-1)/7)*57+MOD(ROW()-1,7)+50)&lt;&gt;"","set "&amp;INDEX(CUEs!$A:$A,INT((ROW()-1)/7)*57+MOD(ROW()-1,7)+50)&amp;"=/ s "&amp;INDEX(CUEs!$B:$B,INT((ROW()-1)/7)*57+MOD(ROW()-1,7)+50),"")</f>
        <v/>
      </c>
    </row>
    <row r="4037" spans="1:1" x14ac:dyDescent="0.25">
      <c r="A4037" t="str" cm="1">
        <f t="array" ref="A4037">IF(INDEX(CUEs!$A:$A,INT((ROW()-1)/7)*57+MOD(ROW()-1,7)+50)&lt;&gt;"","set "&amp;INDEX(CUEs!$A:$A,INT((ROW()-1)/7)*57+MOD(ROW()-1,7)+50)&amp;"=/ s "&amp;INDEX(CUEs!$B:$B,INT((ROW()-1)/7)*57+MOD(ROW()-1,7)+50),"")</f>
        <v/>
      </c>
    </row>
    <row r="4038" spans="1:1" x14ac:dyDescent="0.25">
      <c r="A4038" t="str" cm="1">
        <f t="array" ref="A4038">IF(INDEX(CUEs!$A:$A,INT((ROW()-1)/7)*57+MOD(ROW()-1,7)+50)&lt;&gt;"","set "&amp;INDEX(CUEs!$A:$A,INT((ROW()-1)/7)*57+MOD(ROW()-1,7)+50)&amp;"=/ s "&amp;INDEX(CUEs!$B:$B,INT((ROW()-1)/7)*57+MOD(ROW()-1,7)+50),"")</f>
        <v/>
      </c>
    </row>
    <row r="4039" spans="1:1" x14ac:dyDescent="0.25">
      <c r="A4039" t="str" cm="1">
        <f t="array" ref="A4039">IF(INDEX(CUEs!$A:$A,INT((ROW()-1)/7)*57+MOD(ROW()-1,7)+50)&lt;&gt;"","set "&amp;INDEX(CUEs!$A:$A,INT((ROW()-1)/7)*57+MOD(ROW()-1,7)+50)&amp;"=/ s "&amp;INDEX(CUEs!$B:$B,INT((ROW()-1)/7)*57+MOD(ROW()-1,7)+50),"")</f>
        <v/>
      </c>
    </row>
    <row r="4040" spans="1:1" x14ac:dyDescent="0.25">
      <c r="A4040" t="str" cm="1">
        <f t="array" ref="A4040">IF(INDEX(CUEs!$A:$A,INT((ROW()-1)/7)*57+MOD(ROW()-1,7)+50)&lt;&gt;"","set "&amp;INDEX(CUEs!$A:$A,INT((ROW()-1)/7)*57+MOD(ROW()-1,7)+50)&amp;"=/ s "&amp;INDEX(CUEs!$B:$B,INT((ROW()-1)/7)*57+MOD(ROW()-1,7)+50),"")</f>
        <v/>
      </c>
    </row>
    <row r="4041" spans="1:1" x14ac:dyDescent="0.25">
      <c r="A4041" t="str" cm="1">
        <f t="array" ref="A4041">IF(INDEX(CUEs!$A:$A,INT((ROW()-1)/7)*57+MOD(ROW()-1,7)+50)&lt;&gt;"","set "&amp;INDEX(CUEs!$A:$A,INT((ROW()-1)/7)*57+MOD(ROW()-1,7)+50)&amp;"=/ s "&amp;INDEX(CUEs!$B:$B,INT((ROW()-1)/7)*57+MOD(ROW()-1,7)+50),"")</f>
        <v/>
      </c>
    </row>
    <row r="4042" spans="1:1" x14ac:dyDescent="0.25">
      <c r="A4042" t="str" cm="1">
        <f t="array" ref="A4042">IF(INDEX(CUEs!$A:$A,INT((ROW()-1)/7)*57+MOD(ROW()-1,7)+50)&lt;&gt;"","set "&amp;INDEX(CUEs!$A:$A,INT((ROW()-1)/7)*57+MOD(ROW()-1,7)+50)&amp;"=/ s "&amp;INDEX(CUEs!$B:$B,INT((ROW()-1)/7)*57+MOD(ROW()-1,7)+50),"")</f>
        <v/>
      </c>
    </row>
    <row r="4043" spans="1:1" x14ac:dyDescent="0.25">
      <c r="A4043" t="str" cm="1">
        <f t="array" ref="A4043">IF(INDEX(CUEs!$A:$A,INT((ROW()-1)/7)*57+MOD(ROW()-1,7)+50)&lt;&gt;"","set "&amp;INDEX(CUEs!$A:$A,INT((ROW()-1)/7)*57+MOD(ROW()-1,7)+50)&amp;"=/ s "&amp;INDEX(CUEs!$B:$B,INT((ROW()-1)/7)*57+MOD(ROW()-1,7)+50),"")</f>
        <v/>
      </c>
    </row>
    <row r="4044" spans="1:1" x14ac:dyDescent="0.25">
      <c r="A4044" t="str" cm="1">
        <f t="array" ref="A4044">IF(INDEX(CUEs!$A:$A,INT((ROW()-1)/7)*57+MOD(ROW()-1,7)+50)&lt;&gt;"","set "&amp;INDEX(CUEs!$A:$A,INT((ROW()-1)/7)*57+MOD(ROW()-1,7)+50)&amp;"=/ s "&amp;INDEX(CUEs!$B:$B,INT((ROW()-1)/7)*57+MOD(ROW()-1,7)+50),"")</f>
        <v/>
      </c>
    </row>
    <row r="4045" spans="1:1" x14ac:dyDescent="0.25">
      <c r="A4045" t="str" cm="1">
        <f t="array" ref="A4045">IF(INDEX(CUEs!$A:$A,INT((ROW()-1)/7)*57+MOD(ROW()-1,7)+50)&lt;&gt;"","set "&amp;INDEX(CUEs!$A:$A,INT((ROW()-1)/7)*57+MOD(ROW()-1,7)+50)&amp;"=/ s "&amp;INDEX(CUEs!$B:$B,INT((ROW()-1)/7)*57+MOD(ROW()-1,7)+50),"")</f>
        <v/>
      </c>
    </row>
    <row r="4046" spans="1:1" x14ac:dyDescent="0.25">
      <c r="A4046" t="str" cm="1">
        <f t="array" ref="A4046">IF(INDEX(CUEs!$A:$A,INT((ROW()-1)/7)*57+MOD(ROW()-1,7)+50)&lt;&gt;"","set "&amp;INDEX(CUEs!$A:$A,INT((ROW()-1)/7)*57+MOD(ROW()-1,7)+50)&amp;"=/ s "&amp;INDEX(CUEs!$B:$B,INT((ROW()-1)/7)*57+MOD(ROW()-1,7)+50),"")</f>
        <v/>
      </c>
    </row>
    <row r="4047" spans="1:1" x14ac:dyDescent="0.25">
      <c r="A4047" t="str" cm="1">
        <f t="array" ref="A4047">IF(INDEX(CUEs!$A:$A,INT((ROW()-1)/7)*57+MOD(ROW()-1,7)+50)&lt;&gt;"","set "&amp;INDEX(CUEs!$A:$A,INT((ROW()-1)/7)*57+MOD(ROW()-1,7)+50)&amp;"=/ s "&amp;INDEX(CUEs!$B:$B,INT((ROW()-1)/7)*57+MOD(ROW()-1,7)+50),"")</f>
        <v/>
      </c>
    </row>
    <row r="4048" spans="1:1" x14ac:dyDescent="0.25">
      <c r="A4048" t="str" cm="1">
        <f t="array" ref="A4048">IF(INDEX(CUEs!$A:$A,INT((ROW()-1)/7)*57+MOD(ROW()-1,7)+50)&lt;&gt;"","set "&amp;INDEX(CUEs!$A:$A,INT((ROW()-1)/7)*57+MOD(ROW()-1,7)+50)&amp;"=/ s "&amp;INDEX(CUEs!$B:$B,INT((ROW()-1)/7)*57+MOD(ROW()-1,7)+50),"")</f>
        <v/>
      </c>
    </row>
    <row r="4049" spans="1:1" x14ac:dyDescent="0.25">
      <c r="A4049" t="str" cm="1">
        <f t="array" ref="A4049">IF(INDEX(CUEs!$A:$A,INT((ROW()-1)/7)*57+MOD(ROW()-1,7)+50)&lt;&gt;"","set "&amp;INDEX(CUEs!$A:$A,INT((ROW()-1)/7)*57+MOD(ROW()-1,7)+50)&amp;"=/ s "&amp;INDEX(CUEs!$B:$B,INT((ROW()-1)/7)*57+MOD(ROW()-1,7)+50),"")</f>
        <v/>
      </c>
    </row>
    <row r="4050" spans="1:1" x14ac:dyDescent="0.25">
      <c r="A4050" t="str" cm="1">
        <f t="array" ref="A4050">IF(INDEX(CUEs!$A:$A,INT((ROW()-1)/7)*57+MOD(ROW()-1,7)+50)&lt;&gt;"","set "&amp;INDEX(CUEs!$A:$A,INT((ROW()-1)/7)*57+MOD(ROW()-1,7)+50)&amp;"=/ s "&amp;INDEX(CUEs!$B:$B,INT((ROW()-1)/7)*57+MOD(ROW()-1,7)+50),"")</f>
        <v/>
      </c>
    </row>
    <row r="4051" spans="1:1" x14ac:dyDescent="0.25">
      <c r="A4051" t="str" cm="1">
        <f t="array" ref="A4051">IF(INDEX(CUEs!$A:$A,INT((ROW()-1)/7)*57+MOD(ROW()-1,7)+50)&lt;&gt;"","set "&amp;INDEX(CUEs!$A:$A,INT((ROW()-1)/7)*57+MOD(ROW()-1,7)+50)&amp;"=/ s "&amp;INDEX(CUEs!$B:$B,INT((ROW()-1)/7)*57+MOD(ROW()-1,7)+50),"")</f>
        <v/>
      </c>
    </row>
    <row r="4052" spans="1:1" x14ac:dyDescent="0.25">
      <c r="A4052" t="str" cm="1">
        <f t="array" ref="A4052">IF(INDEX(CUEs!$A:$A,INT((ROW()-1)/7)*57+MOD(ROW()-1,7)+50)&lt;&gt;"","set "&amp;INDEX(CUEs!$A:$A,INT((ROW()-1)/7)*57+MOD(ROW()-1,7)+50)&amp;"=/ s "&amp;INDEX(CUEs!$B:$B,INT((ROW()-1)/7)*57+MOD(ROW()-1,7)+50),"")</f>
        <v/>
      </c>
    </row>
    <row r="4053" spans="1:1" x14ac:dyDescent="0.25">
      <c r="A4053" t="str" cm="1">
        <f t="array" ref="A4053">IF(INDEX(CUEs!$A:$A,INT((ROW()-1)/7)*57+MOD(ROW()-1,7)+50)&lt;&gt;"","set "&amp;INDEX(CUEs!$A:$A,INT((ROW()-1)/7)*57+MOD(ROW()-1,7)+50)&amp;"=/ s "&amp;INDEX(CUEs!$B:$B,INT((ROW()-1)/7)*57+MOD(ROW()-1,7)+50),"")</f>
        <v/>
      </c>
    </row>
    <row r="4054" spans="1:1" x14ac:dyDescent="0.25">
      <c r="A4054" t="str" cm="1">
        <f t="array" ref="A4054">IF(INDEX(CUEs!$A:$A,INT((ROW()-1)/7)*57+MOD(ROW()-1,7)+50)&lt;&gt;"","set "&amp;INDEX(CUEs!$A:$A,INT((ROW()-1)/7)*57+MOD(ROW()-1,7)+50)&amp;"=/ s "&amp;INDEX(CUEs!$B:$B,INT((ROW()-1)/7)*57+MOD(ROW()-1,7)+50),"")</f>
        <v/>
      </c>
    </row>
    <row r="4055" spans="1:1" x14ac:dyDescent="0.25">
      <c r="A4055" t="str" cm="1">
        <f t="array" ref="A4055">IF(INDEX(CUEs!$A:$A,INT((ROW()-1)/7)*57+MOD(ROW()-1,7)+50)&lt;&gt;"","set "&amp;INDEX(CUEs!$A:$A,INT((ROW()-1)/7)*57+MOD(ROW()-1,7)+50)&amp;"=/ s "&amp;INDEX(CUEs!$B:$B,INT((ROW()-1)/7)*57+MOD(ROW()-1,7)+50),"")</f>
        <v/>
      </c>
    </row>
    <row r="4056" spans="1:1" x14ac:dyDescent="0.25">
      <c r="A4056" t="str" cm="1">
        <f t="array" ref="A4056">IF(INDEX(CUEs!$A:$A,INT((ROW()-1)/7)*57+MOD(ROW()-1,7)+50)&lt;&gt;"","set "&amp;INDEX(CUEs!$A:$A,INT((ROW()-1)/7)*57+MOD(ROW()-1,7)+50)&amp;"=/ s "&amp;INDEX(CUEs!$B:$B,INT((ROW()-1)/7)*57+MOD(ROW()-1,7)+50),"")</f>
        <v/>
      </c>
    </row>
    <row r="4057" spans="1:1" x14ac:dyDescent="0.25">
      <c r="A4057" t="str" cm="1">
        <f t="array" ref="A4057">IF(INDEX(CUEs!$A:$A,INT((ROW()-1)/7)*57+MOD(ROW()-1,7)+50)&lt;&gt;"","set "&amp;INDEX(CUEs!$A:$A,INT((ROW()-1)/7)*57+MOD(ROW()-1,7)+50)&amp;"=/ s "&amp;INDEX(CUEs!$B:$B,INT((ROW()-1)/7)*57+MOD(ROW()-1,7)+50),"")</f>
        <v/>
      </c>
    </row>
    <row r="4058" spans="1:1" x14ac:dyDescent="0.25">
      <c r="A4058" t="str" cm="1">
        <f t="array" ref="A4058">IF(INDEX(CUEs!$A:$A,INT((ROW()-1)/7)*57+MOD(ROW()-1,7)+50)&lt;&gt;"","set "&amp;INDEX(CUEs!$A:$A,INT((ROW()-1)/7)*57+MOD(ROW()-1,7)+50)&amp;"=/ s "&amp;INDEX(CUEs!$B:$B,INT((ROW()-1)/7)*57+MOD(ROW()-1,7)+50),"")</f>
        <v/>
      </c>
    </row>
    <row r="4059" spans="1:1" x14ac:dyDescent="0.25">
      <c r="A4059" t="str" cm="1">
        <f t="array" ref="A4059">IF(INDEX(CUEs!$A:$A,INT((ROW()-1)/7)*57+MOD(ROW()-1,7)+50)&lt;&gt;"","set "&amp;INDEX(CUEs!$A:$A,INT((ROW()-1)/7)*57+MOD(ROW()-1,7)+50)&amp;"=/ s "&amp;INDEX(CUEs!$B:$B,INT((ROW()-1)/7)*57+MOD(ROW()-1,7)+50),"")</f>
        <v/>
      </c>
    </row>
    <row r="4060" spans="1:1" x14ac:dyDescent="0.25">
      <c r="A4060" t="str" cm="1">
        <f t="array" ref="A4060">IF(INDEX(CUEs!$A:$A,INT((ROW()-1)/7)*57+MOD(ROW()-1,7)+50)&lt;&gt;"","set "&amp;INDEX(CUEs!$A:$A,INT((ROW()-1)/7)*57+MOD(ROW()-1,7)+50)&amp;"=/ s "&amp;INDEX(CUEs!$B:$B,INT((ROW()-1)/7)*57+MOD(ROW()-1,7)+50),"")</f>
        <v/>
      </c>
    </row>
    <row r="4061" spans="1:1" x14ac:dyDescent="0.25">
      <c r="A4061" t="str" cm="1">
        <f t="array" ref="A4061">IF(INDEX(CUEs!$A:$A,INT((ROW()-1)/7)*57+MOD(ROW()-1,7)+50)&lt;&gt;"","set "&amp;INDEX(CUEs!$A:$A,INT((ROW()-1)/7)*57+MOD(ROW()-1,7)+50)&amp;"=/ s "&amp;INDEX(CUEs!$B:$B,INT((ROW()-1)/7)*57+MOD(ROW()-1,7)+50),"")</f>
        <v/>
      </c>
    </row>
    <row r="4062" spans="1:1" x14ac:dyDescent="0.25">
      <c r="A4062" t="str" cm="1">
        <f t="array" ref="A4062">IF(INDEX(CUEs!$A:$A,INT((ROW()-1)/7)*57+MOD(ROW()-1,7)+50)&lt;&gt;"","set "&amp;INDEX(CUEs!$A:$A,INT((ROW()-1)/7)*57+MOD(ROW()-1,7)+50)&amp;"=/ s "&amp;INDEX(CUEs!$B:$B,INT((ROW()-1)/7)*57+MOD(ROW()-1,7)+50),"")</f>
        <v/>
      </c>
    </row>
    <row r="4063" spans="1:1" x14ac:dyDescent="0.25">
      <c r="A4063" t="str" cm="1">
        <f t="array" ref="A4063">IF(INDEX(CUEs!$A:$A,INT((ROW()-1)/7)*57+MOD(ROW()-1,7)+50)&lt;&gt;"","set "&amp;INDEX(CUEs!$A:$A,INT((ROW()-1)/7)*57+MOD(ROW()-1,7)+50)&amp;"=/ s "&amp;INDEX(CUEs!$B:$B,INT((ROW()-1)/7)*57+MOD(ROW()-1,7)+50),"")</f>
        <v/>
      </c>
    </row>
    <row r="4064" spans="1:1" x14ac:dyDescent="0.25">
      <c r="A4064" t="str" cm="1">
        <f t="array" ref="A4064">IF(INDEX(CUEs!$A:$A,INT((ROW()-1)/7)*57+MOD(ROW()-1,7)+50)&lt;&gt;"","set "&amp;INDEX(CUEs!$A:$A,INT((ROW()-1)/7)*57+MOD(ROW()-1,7)+50)&amp;"=/ s "&amp;INDEX(CUEs!$B:$B,INT((ROW()-1)/7)*57+MOD(ROW()-1,7)+50),"")</f>
        <v/>
      </c>
    </row>
    <row r="4065" spans="1:1" x14ac:dyDescent="0.25">
      <c r="A4065" t="str" cm="1">
        <f t="array" ref="A4065">IF(INDEX(CUEs!$A:$A,INT((ROW()-1)/7)*57+MOD(ROW()-1,7)+50)&lt;&gt;"","set "&amp;INDEX(CUEs!$A:$A,INT((ROW()-1)/7)*57+MOD(ROW()-1,7)+50)&amp;"=/ s "&amp;INDEX(CUEs!$B:$B,INT((ROW()-1)/7)*57+MOD(ROW()-1,7)+50),"")</f>
        <v/>
      </c>
    </row>
    <row r="4066" spans="1:1" x14ac:dyDescent="0.25">
      <c r="A4066" t="str" cm="1">
        <f t="array" ref="A4066">IF(INDEX(CUEs!$A:$A,INT((ROW()-1)/7)*57+MOD(ROW()-1,7)+50)&lt;&gt;"","set "&amp;INDEX(CUEs!$A:$A,INT((ROW()-1)/7)*57+MOD(ROW()-1,7)+50)&amp;"=/ s "&amp;INDEX(CUEs!$B:$B,INT((ROW()-1)/7)*57+MOD(ROW()-1,7)+50),"")</f>
        <v/>
      </c>
    </row>
    <row r="4067" spans="1:1" x14ac:dyDescent="0.25">
      <c r="A4067" t="str" cm="1">
        <f t="array" ref="A4067">IF(INDEX(CUEs!$A:$A,INT((ROW()-1)/7)*57+MOD(ROW()-1,7)+50)&lt;&gt;"","set "&amp;INDEX(CUEs!$A:$A,INT((ROW()-1)/7)*57+MOD(ROW()-1,7)+50)&amp;"=/ s "&amp;INDEX(CUEs!$B:$B,INT((ROW()-1)/7)*57+MOD(ROW()-1,7)+50),"")</f>
        <v/>
      </c>
    </row>
    <row r="4068" spans="1:1" x14ac:dyDescent="0.25">
      <c r="A4068" t="str" cm="1">
        <f t="array" ref="A4068">IF(INDEX(CUEs!$A:$A,INT((ROW()-1)/7)*57+MOD(ROW()-1,7)+50)&lt;&gt;"","set "&amp;INDEX(CUEs!$A:$A,INT((ROW()-1)/7)*57+MOD(ROW()-1,7)+50)&amp;"=/ s "&amp;INDEX(CUEs!$B:$B,INT((ROW()-1)/7)*57+MOD(ROW()-1,7)+50),"")</f>
        <v/>
      </c>
    </row>
    <row r="4069" spans="1:1" x14ac:dyDescent="0.25">
      <c r="A4069" t="str" cm="1">
        <f t="array" ref="A4069">IF(INDEX(CUEs!$A:$A,INT((ROW()-1)/7)*57+MOD(ROW()-1,7)+50)&lt;&gt;"","set "&amp;INDEX(CUEs!$A:$A,INT((ROW()-1)/7)*57+MOD(ROW()-1,7)+50)&amp;"=/ s "&amp;INDEX(CUEs!$B:$B,INT((ROW()-1)/7)*57+MOD(ROW()-1,7)+50),"")</f>
        <v/>
      </c>
    </row>
    <row r="4070" spans="1:1" x14ac:dyDescent="0.25">
      <c r="A4070" t="str" cm="1">
        <f t="array" ref="A4070">IF(INDEX(CUEs!$A:$A,INT((ROW()-1)/7)*57+MOD(ROW()-1,7)+50)&lt;&gt;"","set "&amp;INDEX(CUEs!$A:$A,INT((ROW()-1)/7)*57+MOD(ROW()-1,7)+50)&amp;"=/ s "&amp;INDEX(CUEs!$B:$B,INT((ROW()-1)/7)*57+MOD(ROW()-1,7)+50),"")</f>
        <v/>
      </c>
    </row>
    <row r="4071" spans="1:1" x14ac:dyDescent="0.25">
      <c r="A4071" t="str" cm="1">
        <f t="array" ref="A4071">IF(INDEX(CUEs!$A:$A,INT((ROW()-1)/7)*57+MOD(ROW()-1,7)+50)&lt;&gt;"","set "&amp;INDEX(CUEs!$A:$A,INT((ROW()-1)/7)*57+MOD(ROW()-1,7)+50)&amp;"=/ s "&amp;INDEX(CUEs!$B:$B,INT((ROW()-1)/7)*57+MOD(ROW()-1,7)+50),"")</f>
        <v/>
      </c>
    </row>
    <row r="4072" spans="1:1" x14ac:dyDescent="0.25">
      <c r="A4072" t="str" cm="1">
        <f t="array" ref="A4072">IF(INDEX(CUEs!$A:$A,INT((ROW()-1)/7)*57+MOD(ROW()-1,7)+50)&lt;&gt;"","set "&amp;INDEX(CUEs!$A:$A,INT((ROW()-1)/7)*57+MOD(ROW()-1,7)+50)&amp;"=/ s "&amp;INDEX(CUEs!$B:$B,INT((ROW()-1)/7)*57+MOD(ROW()-1,7)+50),"")</f>
        <v/>
      </c>
    </row>
    <row r="4073" spans="1:1" x14ac:dyDescent="0.25">
      <c r="A4073" t="str" cm="1">
        <f t="array" ref="A4073">IF(INDEX(CUEs!$A:$A,INT((ROW()-1)/7)*57+MOD(ROW()-1,7)+50)&lt;&gt;"","set "&amp;INDEX(CUEs!$A:$A,INT((ROW()-1)/7)*57+MOD(ROW()-1,7)+50)&amp;"=/ s "&amp;INDEX(CUEs!$B:$B,INT((ROW()-1)/7)*57+MOD(ROW()-1,7)+50),"")</f>
        <v/>
      </c>
    </row>
    <row r="4074" spans="1:1" x14ac:dyDescent="0.25">
      <c r="A4074" t="str" cm="1">
        <f t="array" ref="A4074">IF(INDEX(CUEs!$A:$A,INT((ROW()-1)/7)*57+MOD(ROW()-1,7)+50)&lt;&gt;"","set "&amp;INDEX(CUEs!$A:$A,INT((ROW()-1)/7)*57+MOD(ROW()-1,7)+50)&amp;"=/ s "&amp;INDEX(CUEs!$B:$B,INT((ROW()-1)/7)*57+MOD(ROW()-1,7)+50),"")</f>
        <v/>
      </c>
    </row>
    <row r="4075" spans="1:1" x14ac:dyDescent="0.25">
      <c r="A4075" t="str" cm="1">
        <f t="array" ref="A4075">IF(INDEX(CUEs!$A:$A,INT((ROW()-1)/7)*57+MOD(ROW()-1,7)+50)&lt;&gt;"","set "&amp;INDEX(CUEs!$A:$A,INT((ROW()-1)/7)*57+MOD(ROW()-1,7)+50)&amp;"=/ s "&amp;INDEX(CUEs!$B:$B,INT((ROW()-1)/7)*57+MOD(ROW()-1,7)+50),"")</f>
        <v/>
      </c>
    </row>
    <row r="4076" spans="1:1" x14ac:dyDescent="0.25">
      <c r="A4076" t="str" cm="1">
        <f t="array" ref="A4076">IF(INDEX(CUEs!$A:$A,INT((ROW()-1)/7)*57+MOD(ROW()-1,7)+50)&lt;&gt;"","set "&amp;INDEX(CUEs!$A:$A,INT((ROW()-1)/7)*57+MOD(ROW()-1,7)+50)&amp;"=/ s "&amp;INDEX(CUEs!$B:$B,INT((ROW()-1)/7)*57+MOD(ROW()-1,7)+50),"")</f>
        <v/>
      </c>
    </row>
    <row r="4077" spans="1:1" x14ac:dyDescent="0.25">
      <c r="A4077" t="str" cm="1">
        <f t="array" ref="A4077">IF(INDEX(CUEs!$A:$A,INT((ROW()-1)/7)*57+MOD(ROW()-1,7)+50)&lt;&gt;"","set "&amp;INDEX(CUEs!$A:$A,INT((ROW()-1)/7)*57+MOD(ROW()-1,7)+50)&amp;"=/ s "&amp;INDEX(CUEs!$B:$B,INT((ROW()-1)/7)*57+MOD(ROW()-1,7)+50),"")</f>
        <v/>
      </c>
    </row>
    <row r="4078" spans="1:1" x14ac:dyDescent="0.25">
      <c r="A4078" t="str" cm="1">
        <f t="array" ref="A4078">IF(INDEX(CUEs!$A:$A,INT((ROW()-1)/7)*57+MOD(ROW()-1,7)+50)&lt;&gt;"","set "&amp;INDEX(CUEs!$A:$A,INT((ROW()-1)/7)*57+MOD(ROW()-1,7)+50)&amp;"=/ s "&amp;INDEX(CUEs!$B:$B,INT((ROW()-1)/7)*57+MOD(ROW()-1,7)+50),"")</f>
        <v/>
      </c>
    </row>
    <row r="4079" spans="1:1" x14ac:dyDescent="0.25">
      <c r="A4079" t="str" cm="1">
        <f t="array" ref="A4079">IF(INDEX(CUEs!$A:$A,INT((ROW()-1)/7)*57+MOD(ROW()-1,7)+50)&lt;&gt;"","set "&amp;INDEX(CUEs!$A:$A,INT((ROW()-1)/7)*57+MOD(ROW()-1,7)+50)&amp;"=/ s "&amp;INDEX(CUEs!$B:$B,INT((ROW()-1)/7)*57+MOD(ROW()-1,7)+50),"")</f>
        <v/>
      </c>
    </row>
    <row r="4080" spans="1:1" x14ac:dyDescent="0.25">
      <c r="A4080" t="str" cm="1">
        <f t="array" ref="A4080">IF(INDEX(CUEs!$A:$A,INT((ROW()-1)/7)*57+MOD(ROW()-1,7)+50)&lt;&gt;"","set "&amp;INDEX(CUEs!$A:$A,INT((ROW()-1)/7)*57+MOD(ROW()-1,7)+50)&amp;"=/ s "&amp;INDEX(CUEs!$B:$B,INT((ROW()-1)/7)*57+MOD(ROW()-1,7)+50),"")</f>
        <v/>
      </c>
    </row>
    <row r="4081" spans="1:1" x14ac:dyDescent="0.25">
      <c r="A4081" t="str" cm="1">
        <f t="array" ref="A4081">IF(INDEX(CUEs!$A:$A,INT((ROW()-1)/7)*57+MOD(ROW()-1,7)+50)&lt;&gt;"","set "&amp;INDEX(CUEs!$A:$A,INT((ROW()-1)/7)*57+MOD(ROW()-1,7)+50)&amp;"=/ s "&amp;INDEX(CUEs!$B:$B,INT((ROW()-1)/7)*57+MOD(ROW()-1,7)+50),"")</f>
        <v/>
      </c>
    </row>
    <row r="4082" spans="1:1" x14ac:dyDescent="0.25">
      <c r="A4082" t="str" cm="1">
        <f t="array" ref="A4082">IF(INDEX(CUEs!$A:$A,INT((ROW()-1)/7)*57+MOD(ROW()-1,7)+50)&lt;&gt;"","set "&amp;INDEX(CUEs!$A:$A,INT((ROW()-1)/7)*57+MOD(ROW()-1,7)+50)&amp;"=/ s "&amp;INDEX(CUEs!$B:$B,INT((ROW()-1)/7)*57+MOD(ROW()-1,7)+50),"")</f>
        <v/>
      </c>
    </row>
    <row r="4083" spans="1:1" x14ac:dyDescent="0.25">
      <c r="A4083" t="str" cm="1">
        <f t="array" ref="A4083">IF(INDEX(CUEs!$A:$A,INT((ROW()-1)/7)*57+MOD(ROW()-1,7)+50)&lt;&gt;"","set "&amp;INDEX(CUEs!$A:$A,INT((ROW()-1)/7)*57+MOD(ROW()-1,7)+50)&amp;"=/ s "&amp;INDEX(CUEs!$B:$B,INT((ROW()-1)/7)*57+MOD(ROW()-1,7)+50),"")</f>
        <v/>
      </c>
    </row>
    <row r="4084" spans="1:1" x14ac:dyDescent="0.25">
      <c r="A4084" t="str" cm="1">
        <f t="array" ref="A4084">IF(INDEX(CUEs!$A:$A,INT((ROW()-1)/7)*57+MOD(ROW()-1,7)+50)&lt;&gt;"","set "&amp;INDEX(CUEs!$A:$A,INT((ROW()-1)/7)*57+MOD(ROW()-1,7)+50)&amp;"=/ s "&amp;INDEX(CUEs!$B:$B,INT((ROW()-1)/7)*57+MOD(ROW()-1,7)+50),"")</f>
        <v/>
      </c>
    </row>
    <row r="4085" spans="1:1" x14ac:dyDescent="0.25">
      <c r="A4085" t="str" cm="1">
        <f t="array" ref="A4085">IF(INDEX(CUEs!$A:$A,INT((ROW()-1)/7)*57+MOD(ROW()-1,7)+50)&lt;&gt;"","set "&amp;INDEX(CUEs!$A:$A,INT((ROW()-1)/7)*57+MOD(ROW()-1,7)+50)&amp;"=/ s "&amp;INDEX(CUEs!$B:$B,INT((ROW()-1)/7)*57+MOD(ROW()-1,7)+50),"")</f>
        <v/>
      </c>
    </row>
    <row r="4086" spans="1:1" x14ac:dyDescent="0.25">
      <c r="A4086" t="str" cm="1">
        <f t="array" ref="A4086">IF(INDEX(CUEs!$A:$A,INT((ROW()-1)/7)*57+MOD(ROW()-1,7)+50)&lt;&gt;"","set "&amp;INDEX(CUEs!$A:$A,INT((ROW()-1)/7)*57+MOD(ROW()-1,7)+50)&amp;"=/ s "&amp;INDEX(CUEs!$B:$B,INT((ROW()-1)/7)*57+MOD(ROW()-1,7)+50),"")</f>
        <v/>
      </c>
    </row>
    <row r="4087" spans="1:1" x14ac:dyDescent="0.25">
      <c r="A4087" t="str" cm="1">
        <f t="array" ref="A4087">IF(INDEX(CUEs!$A:$A,INT((ROW()-1)/7)*57+MOD(ROW()-1,7)+50)&lt;&gt;"","set "&amp;INDEX(CUEs!$A:$A,INT((ROW()-1)/7)*57+MOD(ROW()-1,7)+50)&amp;"=/ s "&amp;INDEX(CUEs!$B:$B,INT((ROW()-1)/7)*57+MOD(ROW()-1,7)+50),"")</f>
        <v/>
      </c>
    </row>
    <row r="4088" spans="1:1" x14ac:dyDescent="0.25">
      <c r="A4088" t="str" cm="1">
        <f t="array" ref="A4088">IF(INDEX(CUEs!$A:$A,INT((ROW()-1)/7)*57+MOD(ROW()-1,7)+50)&lt;&gt;"","set "&amp;INDEX(CUEs!$A:$A,INT((ROW()-1)/7)*57+MOD(ROW()-1,7)+50)&amp;"=/ s "&amp;INDEX(CUEs!$B:$B,INT((ROW()-1)/7)*57+MOD(ROW()-1,7)+50),"")</f>
        <v/>
      </c>
    </row>
    <row r="4089" spans="1:1" x14ac:dyDescent="0.25">
      <c r="A4089" t="str" cm="1">
        <f t="array" ref="A4089">IF(INDEX(CUEs!$A:$A,INT((ROW()-1)/7)*57+MOD(ROW()-1,7)+50)&lt;&gt;"","set "&amp;INDEX(CUEs!$A:$A,INT((ROW()-1)/7)*57+MOD(ROW()-1,7)+50)&amp;"=/ s "&amp;INDEX(CUEs!$B:$B,INT((ROW()-1)/7)*57+MOD(ROW()-1,7)+50),"")</f>
        <v/>
      </c>
    </row>
    <row r="4090" spans="1:1" x14ac:dyDescent="0.25">
      <c r="A4090" t="str" cm="1">
        <f t="array" ref="A4090">IF(INDEX(CUEs!$A:$A,INT((ROW()-1)/7)*57+MOD(ROW()-1,7)+50)&lt;&gt;"","set "&amp;INDEX(CUEs!$A:$A,INT((ROW()-1)/7)*57+MOD(ROW()-1,7)+50)&amp;"=/ s "&amp;INDEX(CUEs!$B:$B,INT((ROW()-1)/7)*57+MOD(ROW()-1,7)+50),"")</f>
        <v/>
      </c>
    </row>
    <row r="4091" spans="1:1" x14ac:dyDescent="0.25">
      <c r="A4091" t="str" cm="1">
        <f t="array" ref="A4091">IF(INDEX(CUEs!$A:$A,INT((ROW()-1)/7)*57+MOD(ROW()-1,7)+50)&lt;&gt;"","set "&amp;INDEX(CUEs!$A:$A,INT((ROW()-1)/7)*57+MOD(ROW()-1,7)+50)&amp;"=/ s "&amp;INDEX(CUEs!$B:$B,INT((ROW()-1)/7)*57+MOD(ROW()-1,7)+50),"")</f>
        <v/>
      </c>
    </row>
    <row r="4092" spans="1:1" x14ac:dyDescent="0.25">
      <c r="A4092" t="str" cm="1">
        <f t="array" ref="A4092">IF(INDEX(CUEs!$A:$A,INT((ROW()-1)/7)*57+MOD(ROW()-1,7)+50)&lt;&gt;"","set "&amp;INDEX(CUEs!$A:$A,INT((ROW()-1)/7)*57+MOD(ROW()-1,7)+50)&amp;"=/ s "&amp;INDEX(CUEs!$B:$B,INT((ROW()-1)/7)*57+MOD(ROW()-1,7)+50),"")</f>
        <v/>
      </c>
    </row>
    <row r="4093" spans="1:1" x14ac:dyDescent="0.25">
      <c r="A4093" t="str" cm="1">
        <f t="array" ref="A4093">IF(INDEX(CUEs!$A:$A,INT((ROW()-1)/7)*57+MOD(ROW()-1,7)+50)&lt;&gt;"","set "&amp;INDEX(CUEs!$A:$A,INT((ROW()-1)/7)*57+MOD(ROW()-1,7)+50)&amp;"=/ s "&amp;INDEX(CUEs!$B:$B,INT((ROW()-1)/7)*57+MOD(ROW()-1,7)+50),"")</f>
        <v/>
      </c>
    </row>
    <row r="4094" spans="1:1" x14ac:dyDescent="0.25">
      <c r="A4094" t="str" cm="1">
        <f t="array" ref="A4094">IF(INDEX(CUEs!$A:$A,INT((ROW()-1)/7)*57+MOD(ROW()-1,7)+50)&lt;&gt;"","set "&amp;INDEX(CUEs!$A:$A,INT((ROW()-1)/7)*57+MOD(ROW()-1,7)+50)&amp;"=/ s "&amp;INDEX(CUEs!$B:$B,INT((ROW()-1)/7)*57+MOD(ROW()-1,7)+50),"")</f>
        <v/>
      </c>
    </row>
    <row r="4095" spans="1:1" x14ac:dyDescent="0.25">
      <c r="A4095" t="str" cm="1">
        <f t="array" ref="A4095">IF(INDEX(CUEs!$A:$A,INT((ROW()-1)/7)*57+MOD(ROW()-1,7)+50)&lt;&gt;"","set "&amp;INDEX(CUEs!$A:$A,INT((ROW()-1)/7)*57+MOD(ROW()-1,7)+50)&amp;"=/ s "&amp;INDEX(CUEs!$B:$B,INT((ROW()-1)/7)*57+MOD(ROW()-1,7)+50),"")</f>
        <v/>
      </c>
    </row>
    <row r="4096" spans="1:1" x14ac:dyDescent="0.25">
      <c r="A4096" t="str" cm="1">
        <f t="array" ref="A4096">IF(INDEX(CUEs!$A:$A,INT((ROW()-1)/7)*57+MOD(ROW()-1,7)+50)&lt;&gt;"","set "&amp;INDEX(CUEs!$A:$A,INT((ROW()-1)/7)*57+MOD(ROW()-1,7)+50)&amp;"=/ s "&amp;INDEX(CUEs!$B:$B,INT((ROW()-1)/7)*57+MOD(ROW()-1,7)+50),"")</f>
        <v/>
      </c>
    </row>
    <row r="4097" spans="1:1" x14ac:dyDescent="0.25">
      <c r="A4097" t="str" cm="1">
        <f t="array" ref="A4097">IF(INDEX(CUEs!$A:$A,INT((ROW()-1)/7)*57+MOD(ROW()-1,7)+50)&lt;&gt;"","set "&amp;INDEX(CUEs!$A:$A,INT((ROW()-1)/7)*57+MOD(ROW()-1,7)+50)&amp;"=/ s "&amp;INDEX(CUEs!$B:$B,INT((ROW()-1)/7)*57+MOD(ROW()-1,7)+50),"")</f>
        <v/>
      </c>
    </row>
    <row r="4098" spans="1:1" x14ac:dyDescent="0.25">
      <c r="A4098" t="str" cm="1">
        <f t="array" ref="A4098">IF(INDEX(CUEs!$A:$A,INT((ROW()-1)/7)*57+MOD(ROW()-1,7)+50)&lt;&gt;"","set "&amp;INDEX(CUEs!$A:$A,INT((ROW()-1)/7)*57+MOD(ROW()-1,7)+50)&amp;"=/ s "&amp;INDEX(CUEs!$B:$B,INT((ROW()-1)/7)*57+MOD(ROW()-1,7)+50),"")</f>
        <v/>
      </c>
    </row>
    <row r="4099" spans="1:1" x14ac:dyDescent="0.25">
      <c r="A4099" t="str" cm="1">
        <f t="array" ref="A4099">IF(INDEX(CUEs!$A:$A,INT((ROW()-1)/7)*57+MOD(ROW()-1,7)+50)&lt;&gt;"","set "&amp;INDEX(CUEs!$A:$A,INT((ROW()-1)/7)*57+MOD(ROW()-1,7)+50)&amp;"=/ s "&amp;INDEX(CUEs!$B:$B,INT((ROW()-1)/7)*57+MOD(ROW()-1,7)+50),"")</f>
        <v/>
      </c>
    </row>
    <row r="4100" spans="1:1" x14ac:dyDescent="0.25">
      <c r="A4100" t="str" cm="1">
        <f t="array" ref="A4100">IF(INDEX(CUEs!$A:$A,INT((ROW()-1)/7)*57+MOD(ROW()-1,7)+50)&lt;&gt;"","set "&amp;INDEX(CUEs!$A:$A,INT((ROW()-1)/7)*57+MOD(ROW()-1,7)+50)&amp;"=/ s "&amp;INDEX(CUEs!$B:$B,INT((ROW()-1)/7)*57+MOD(ROW()-1,7)+50),"")</f>
        <v/>
      </c>
    </row>
    <row r="4101" spans="1:1" x14ac:dyDescent="0.25">
      <c r="A4101" t="str" cm="1">
        <f t="array" ref="A4101">IF(INDEX(CUEs!$A:$A,INT((ROW()-1)/7)*57+MOD(ROW()-1,7)+50)&lt;&gt;"","set "&amp;INDEX(CUEs!$A:$A,INT((ROW()-1)/7)*57+MOD(ROW()-1,7)+50)&amp;"=/ s "&amp;INDEX(CUEs!$B:$B,INT((ROW()-1)/7)*57+MOD(ROW()-1,7)+50),"")</f>
        <v/>
      </c>
    </row>
    <row r="4102" spans="1:1" x14ac:dyDescent="0.25">
      <c r="A4102" t="str" cm="1">
        <f t="array" ref="A4102">IF(INDEX(CUEs!$A:$A,INT((ROW()-1)/7)*57+MOD(ROW()-1,7)+50)&lt;&gt;"","set "&amp;INDEX(CUEs!$A:$A,INT((ROW()-1)/7)*57+MOD(ROW()-1,7)+50)&amp;"=/ s "&amp;INDEX(CUEs!$B:$B,INT((ROW()-1)/7)*57+MOD(ROW()-1,7)+50),"")</f>
        <v/>
      </c>
    </row>
    <row r="4103" spans="1:1" x14ac:dyDescent="0.25">
      <c r="A4103" t="str" cm="1">
        <f t="array" ref="A4103">IF(INDEX(CUEs!$A:$A,INT((ROW()-1)/7)*57+MOD(ROW()-1,7)+50)&lt;&gt;"","set "&amp;INDEX(CUEs!$A:$A,INT((ROW()-1)/7)*57+MOD(ROW()-1,7)+50)&amp;"=/ s "&amp;INDEX(CUEs!$B:$B,INT((ROW()-1)/7)*57+MOD(ROW()-1,7)+50),"")</f>
        <v/>
      </c>
    </row>
    <row r="4104" spans="1:1" x14ac:dyDescent="0.25">
      <c r="A4104" t="str" cm="1">
        <f t="array" ref="A4104">IF(INDEX(CUEs!$A:$A,INT((ROW()-1)/7)*57+MOD(ROW()-1,7)+50)&lt;&gt;"","set "&amp;INDEX(CUEs!$A:$A,INT((ROW()-1)/7)*57+MOD(ROW()-1,7)+50)&amp;"=/ s "&amp;INDEX(CUEs!$B:$B,INT((ROW()-1)/7)*57+MOD(ROW()-1,7)+50),"")</f>
        <v/>
      </c>
    </row>
    <row r="4105" spans="1:1" x14ac:dyDescent="0.25">
      <c r="A4105" t="str" cm="1">
        <f t="array" ref="A4105">IF(INDEX(CUEs!$A:$A,INT((ROW()-1)/7)*57+MOD(ROW()-1,7)+50)&lt;&gt;"","set "&amp;INDEX(CUEs!$A:$A,INT((ROW()-1)/7)*57+MOD(ROW()-1,7)+50)&amp;"=/ s "&amp;INDEX(CUEs!$B:$B,INT((ROW()-1)/7)*57+MOD(ROW()-1,7)+50),"")</f>
        <v/>
      </c>
    </row>
    <row r="4106" spans="1:1" x14ac:dyDescent="0.25">
      <c r="A4106" t="str" cm="1">
        <f t="array" ref="A4106">IF(INDEX(CUEs!$A:$A,INT((ROW()-1)/7)*57+MOD(ROW()-1,7)+50)&lt;&gt;"","set "&amp;INDEX(CUEs!$A:$A,INT((ROW()-1)/7)*57+MOD(ROW()-1,7)+50)&amp;"=/ s "&amp;INDEX(CUEs!$B:$B,INT((ROW()-1)/7)*57+MOD(ROW()-1,7)+50),"")</f>
        <v/>
      </c>
    </row>
    <row r="4107" spans="1:1" x14ac:dyDescent="0.25">
      <c r="A4107" t="str" cm="1">
        <f t="array" ref="A4107">IF(INDEX(CUEs!$A:$A,INT((ROW()-1)/7)*57+MOD(ROW()-1,7)+50)&lt;&gt;"","set "&amp;INDEX(CUEs!$A:$A,INT((ROW()-1)/7)*57+MOD(ROW()-1,7)+50)&amp;"=/ s "&amp;INDEX(CUEs!$B:$B,INT((ROW()-1)/7)*57+MOD(ROW()-1,7)+50),"")</f>
        <v/>
      </c>
    </row>
    <row r="4108" spans="1:1" x14ac:dyDescent="0.25">
      <c r="A4108" t="str" cm="1">
        <f t="array" ref="A4108">IF(INDEX(CUEs!$A:$A,INT((ROW()-1)/7)*57+MOD(ROW()-1,7)+50)&lt;&gt;"","set "&amp;INDEX(CUEs!$A:$A,INT((ROW()-1)/7)*57+MOD(ROW()-1,7)+50)&amp;"=/ s "&amp;INDEX(CUEs!$B:$B,INT((ROW()-1)/7)*57+MOD(ROW()-1,7)+50),"")</f>
        <v/>
      </c>
    </row>
    <row r="4109" spans="1:1" x14ac:dyDescent="0.25">
      <c r="A4109" t="str" cm="1">
        <f t="array" ref="A4109">IF(INDEX(CUEs!$A:$A,INT((ROW()-1)/7)*57+MOD(ROW()-1,7)+50)&lt;&gt;"","set "&amp;INDEX(CUEs!$A:$A,INT((ROW()-1)/7)*57+MOD(ROW()-1,7)+50)&amp;"=/ s "&amp;INDEX(CUEs!$B:$B,INT((ROW()-1)/7)*57+MOD(ROW()-1,7)+50),"")</f>
        <v/>
      </c>
    </row>
    <row r="4110" spans="1:1" x14ac:dyDescent="0.25">
      <c r="A4110" t="str" cm="1">
        <f t="array" ref="A4110">IF(INDEX(CUEs!$A:$A,INT((ROW()-1)/7)*57+MOD(ROW()-1,7)+50)&lt;&gt;"","set "&amp;INDEX(CUEs!$A:$A,INT((ROW()-1)/7)*57+MOD(ROW()-1,7)+50)&amp;"=/ s "&amp;INDEX(CUEs!$B:$B,INT((ROW()-1)/7)*57+MOD(ROW()-1,7)+50),"")</f>
        <v/>
      </c>
    </row>
    <row r="4111" spans="1:1" x14ac:dyDescent="0.25">
      <c r="A4111" t="str" cm="1">
        <f t="array" ref="A4111">IF(INDEX(CUEs!$A:$A,INT((ROW()-1)/7)*57+MOD(ROW()-1,7)+50)&lt;&gt;"","set "&amp;INDEX(CUEs!$A:$A,INT((ROW()-1)/7)*57+MOD(ROW()-1,7)+50)&amp;"=/ s "&amp;INDEX(CUEs!$B:$B,INT((ROW()-1)/7)*57+MOD(ROW()-1,7)+50),"")</f>
        <v/>
      </c>
    </row>
    <row r="4112" spans="1:1" x14ac:dyDescent="0.25">
      <c r="A4112" t="str" cm="1">
        <f t="array" ref="A4112">IF(INDEX(CUEs!$A:$A,INT((ROW()-1)/7)*57+MOD(ROW()-1,7)+50)&lt;&gt;"","set "&amp;INDEX(CUEs!$A:$A,INT((ROW()-1)/7)*57+MOD(ROW()-1,7)+50)&amp;"=/ s "&amp;INDEX(CUEs!$B:$B,INT((ROW()-1)/7)*57+MOD(ROW()-1,7)+50),"")</f>
        <v/>
      </c>
    </row>
    <row r="4113" spans="1:1" x14ac:dyDescent="0.25">
      <c r="A4113" t="str" cm="1">
        <f t="array" ref="A4113">IF(INDEX(CUEs!$A:$A,INT((ROW()-1)/7)*57+MOD(ROW()-1,7)+50)&lt;&gt;"","set "&amp;INDEX(CUEs!$A:$A,INT((ROW()-1)/7)*57+MOD(ROW()-1,7)+50)&amp;"=/ s "&amp;INDEX(CUEs!$B:$B,INT((ROW()-1)/7)*57+MOD(ROW()-1,7)+50),"")</f>
        <v/>
      </c>
    </row>
    <row r="4114" spans="1:1" x14ac:dyDescent="0.25">
      <c r="A4114" t="str" cm="1">
        <f t="array" ref="A4114">IF(INDEX(CUEs!$A:$A,INT((ROW()-1)/7)*57+MOD(ROW()-1,7)+50)&lt;&gt;"","set "&amp;INDEX(CUEs!$A:$A,INT((ROW()-1)/7)*57+MOD(ROW()-1,7)+50)&amp;"=/ s "&amp;INDEX(CUEs!$B:$B,INT((ROW()-1)/7)*57+MOD(ROW()-1,7)+50),"")</f>
        <v/>
      </c>
    </row>
    <row r="4115" spans="1:1" x14ac:dyDescent="0.25">
      <c r="A4115" t="str" cm="1">
        <f t="array" ref="A4115">IF(INDEX(CUEs!$A:$A,INT((ROW()-1)/7)*57+MOD(ROW()-1,7)+50)&lt;&gt;"","set "&amp;INDEX(CUEs!$A:$A,INT((ROW()-1)/7)*57+MOD(ROW()-1,7)+50)&amp;"=/ s "&amp;INDEX(CUEs!$B:$B,INT((ROW()-1)/7)*57+MOD(ROW()-1,7)+50),"")</f>
        <v/>
      </c>
    </row>
    <row r="4116" spans="1:1" x14ac:dyDescent="0.25">
      <c r="A4116" t="str" cm="1">
        <f t="array" ref="A4116">IF(INDEX(CUEs!$A:$A,INT((ROW()-1)/7)*57+MOD(ROW()-1,7)+50)&lt;&gt;"","set "&amp;INDEX(CUEs!$A:$A,INT((ROW()-1)/7)*57+MOD(ROW()-1,7)+50)&amp;"=/ s "&amp;INDEX(CUEs!$B:$B,INT((ROW()-1)/7)*57+MOD(ROW()-1,7)+50),"")</f>
        <v/>
      </c>
    </row>
    <row r="4117" spans="1:1" x14ac:dyDescent="0.25">
      <c r="A4117" t="str" cm="1">
        <f t="array" ref="A4117">IF(INDEX(CUEs!$A:$A,INT((ROW()-1)/7)*57+MOD(ROW()-1,7)+50)&lt;&gt;"","set "&amp;INDEX(CUEs!$A:$A,INT((ROW()-1)/7)*57+MOD(ROW()-1,7)+50)&amp;"=/ s "&amp;INDEX(CUEs!$B:$B,INT((ROW()-1)/7)*57+MOD(ROW()-1,7)+50),"")</f>
        <v/>
      </c>
    </row>
    <row r="4118" spans="1:1" x14ac:dyDescent="0.25">
      <c r="A4118" t="str" cm="1">
        <f t="array" ref="A4118">IF(INDEX(CUEs!$A:$A,INT((ROW()-1)/7)*57+MOD(ROW()-1,7)+50)&lt;&gt;"","set "&amp;INDEX(CUEs!$A:$A,INT((ROW()-1)/7)*57+MOD(ROW()-1,7)+50)&amp;"=/ s "&amp;INDEX(CUEs!$B:$B,INT((ROW()-1)/7)*57+MOD(ROW()-1,7)+50),"")</f>
        <v/>
      </c>
    </row>
    <row r="4119" spans="1:1" x14ac:dyDescent="0.25">
      <c r="A4119" t="str" cm="1">
        <f t="array" ref="A4119">IF(INDEX(CUEs!$A:$A,INT((ROW()-1)/7)*57+MOD(ROW()-1,7)+50)&lt;&gt;"","set "&amp;INDEX(CUEs!$A:$A,INT((ROW()-1)/7)*57+MOD(ROW()-1,7)+50)&amp;"=/ s "&amp;INDEX(CUEs!$B:$B,INT((ROW()-1)/7)*57+MOD(ROW()-1,7)+50),"")</f>
        <v/>
      </c>
    </row>
    <row r="4120" spans="1:1" x14ac:dyDescent="0.25">
      <c r="A4120" t="str" cm="1">
        <f t="array" ref="A4120">IF(INDEX(CUEs!$A:$A,INT((ROW()-1)/7)*57+MOD(ROW()-1,7)+50)&lt;&gt;"","set "&amp;INDEX(CUEs!$A:$A,INT((ROW()-1)/7)*57+MOD(ROW()-1,7)+50)&amp;"=/ s "&amp;INDEX(CUEs!$B:$B,INT((ROW()-1)/7)*57+MOD(ROW()-1,7)+50),"")</f>
        <v/>
      </c>
    </row>
    <row r="4121" spans="1:1" x14ac:dyDescent="0.25">
      <c r="A4121" t="str" cm="1">
        <f t="array" ref="A4121">IF(INDEX(CUEs!$A:$A,INT((ROW()-1)/7)*57+MOD(ROW()-1,7)+50)&lt;&gt;"","set "&amp;INDEX(CUEs!$A:$A,INT((ROW()-1)/7)*57+MOD(ROW()-1,7)+50)&amp;"=/ s "&amp;INDEX(CUEs!$B:$B,INT((ROW()-1)/7)*57+MOD(ROW()-1,7)+50),"")</f>
        <v/>
      </c>
    </row>
    <row r="4122" spans="1:1" x14ac:dyDescent="0.25">
      <c r="A4122" t="str" cm="1">
        <f t="array" ref="A4122">IF(INDEX(CUEs!$A:$A,INT((ROW()-1)/7)*57+MOD(ROW()-1,7)+50)&lt;&gt;"","set "&amp;INDEX(CUEs!$A:$A,INT((ROW()-1)/7)*57+MOD(ROW()-1,7)+50)&amp;"=/ s "&amp;INDEX(CUEs!$B:$B,INT((ROW()-1)/7)*57+MOD(ROW()-1,7)+50),"")</f>
        <v/>
      </c>
    </row>
    <row r="4123" spans="1:1" x14ac:dyDescent="0.25">
      <c r="A4123" t="str" cm="1">
        <f t="array" ref="A4123">IF(INDEX(CUEs!$A:$A,INT((ROW()-1)/7)*57+MOD(ROW()-1,7)+50)&lt;&gt;"","set "&amp;INDEX(CUEs!$A:$A,INT((ROW()-1)/7)*57+MOD(ROW()-1,7)+50)&amp;"=/ s "&amp;INDEX(CUEs!$B:$B,INT((ROW()-1)/7)*57+MOD(ROW()-1,7)+50),"")</f>
        <v/>
      </c>
    </row>
    <row r="4124" spans="1:1" x14ac:dyDescent="0.25">
      <c r="A4124" t="str" cm="1">
        <f t="array" ref="A4124">IF(INDEX(CUEs!$A:$A,INT((ROW()-1)/7)*57+MOD(ROW()-1,7)+50)&lt;&gt;"","set "&amp;INDEX(CUEs!$A:$A,INT((ROW()-1)/7)*57+MOD(ROW()-1,7)+50)&amp;"=/ s "&amp;INDEX(CUEs!$B:$B,INT((ROW()-1)/7)*57+MOD(ROW()-1,7)+50),"")</f>
        <v/>
      </c>
    </row>
    <row r="4125" spans="1:1" x14ac:dyDescent="0.25">
      <c r="A4125" t="str" cm="1">
        <f t="array" ref="A4125">IF(INDEX(CUEs!$A:$A,INT((ROW()-1)/7)*57+MOD(ROW()-1,7)+50)&lt;&gt;"","set "&amp;INDEX(CUEs!$A:$A,INT((ROW()-1)/7)*57+MOD(ROW()-1,7)+50)&amp;"=/ s "&amp;INDEX(CUEs!$B:$B,INT((ROW()-1)/7)*57+MOD(ROW()-1,7)+50),"")</f>
        <v/>
      </c>
    </row>
    <row r="4126" spans="1:1" x14ac:dyDescent="0.25">
      <c r="A4126" t="str" cm="1">
        <f t="array" ref="A4126">IF(INDEX(CUEs!$A:$A,INT((ROW()-1)/7)*57+MOD(ROW()-1,7)+50)&lt;&gt;"","set "&amp;INDEX(CUEs!$A:$A,INT((ROW()-1)/7)*57+MOD(ROW()-1,7)+50)&amp;"=/ s "&amp;INDEX(CUEs!$B:$B,INT((ROW()-1)/7)*57+MOD(ROW()-1,7)+50),"")</f>
        <v/>
      </c>
    </row>
    <row r="4127" spans="1:1" x14ac:dyDescent="0.25">
      <c r="A4127" t="str" cm="1">
        <f t="array" ref="A4127">IF(INDEX(CUEs!$A:$A,INT((ROW()-1)/7)*57+MOD(ROW()-1,7)+50)&lt;&gt;"","set "&amp;INDEX(CUEs!$A:$A,INT((ROW()-1)/7)*57+MOD(ROW()-1,7)+50)&amp;"=/ s "&amp;INDEX(CUEs!$B:$B,INT((ROW()-1)/7)*57+MOD(ROW()-1,7)+50),"")</f>
        <v/>
      </c>
    </row>
    <row r="4128" spans="1:1" x14ac:dyDescent="0.25">
      <c r="A4128" t="str" cm="1">
        <f t="array" ref="A4128">IF(INDEX(CUEs!$A:$A,INT((ROW()-1)/7)*57+MOD(ROW()-1,7)+50)&lt;&gt;"","set "&amp;INDEX(CUEs!$A:$A,INT((ROW()-1)/7)*57+MOD(ROW()-1,7)+50)&amp;"=/ s "&amp;INDEX(CUEs!$B:$B,INT((ROW()-1)/7)*57+MOD(ROW()-1,7)+50),"")</f>
        <v/>
      </c>
    </row>
    <row r="4129" spans="1:1" x14ac:dyDescent="0.25">
      <c r="A4129" t="str" cm="1">
        <f t="array" ref="A4129">IF(INDEX(CUEs!$A:$A,INT((ROW()-1)/7)*57+MOD(ROW()-1,7)+50)&lt;&gt;"","set "&amp;INDEX(CUEs!$A:$A,INT((ROW()-1)/7)*57+MOD(ROW()-1,7)+50)&amp;"=/ s "&amp;INDEX(CUEs!$B:$B,INT((ROW()-1)/7)*57+MOD(ROW()-1,7)+50),"")</f>
        <v/>
      </c>
    </row>
    <row r="4130" spans="1:1" x14ac:dyDescent="0.25">
      <c r="A4130" t="str" cm="1">
        <f t="array" ref="A4130">IF(INDEX(CUEs!$A:$A,INT((ROW()-1)/7)*57+MOD(ROW()-1,7)+50)&lt;&gt;"","set "&amp;INDEX(CUEs!$A:$A,INT((ROW()-1)/7)*57+MOD(ROW()-1,7)+50)&amp;"=/ s "&amp;INDEX(CUEs!$B:$B,INT((ROW()-1)/7)*57+MOD(ROW()-1,7)+50),"")</f>
        <v/>
      </c>
    </row>
    <row r="4131" spans="1:1" x14ac:dyDescent="0.25">
      <c r="A4131" t="str" cm="1">
        <f t="array" ref="A4131">IF(INDEX(CUEs!$A:$A,INT((ROW()-1)/7)*57+MOD(ROW()-1,7)+50)&lt;&gt;"","set "&amp;INDEX(CUEs!$A:$A,INT((ROW()-1)/7)*57+MOD(ROW()-1,7)+50)&amp;"=/ s "&amp;INDEX(CUEs!$B:$B,INT((ROW()-1)/7)*57+MOD(ROW()-1,7)+50),"")</f>
        <v/>
      </c>
    </row>
    <row r="4132" spans="1:1" x14ac:dyDescent="0.25">
      <c r="A4132" t="str" cm="1">
        <f t="array" ref="A4132">IF(INDEX(CUEs!$A:$A,INT((ROW()-1)/7)*57+MOD(ROW()-1,7)+50)&lt;&gt;"","set "&amp;INDEX(CUEs!$A:$A,INT((ROW()-1)/7)*57+MOD(ROW()-1,7)+50)&amp;"=/ s "&amp;INDEX(CUEs!$B:$B,INT((ROW()-1)/7)*57+MOD(ROW()-1,7)+50),"")</f>
        <v/>
      </c>
    </row>
    <row r="4133" spans="1:1" x14ac:dyDescent="0.25">
      <c r="A4133" t="str" cm="1">
        <f t="array" ref="A4133">IF(INDEX(CUEs!$A:$A,INT((ROW()-1)/7)*57+MOD(ROW()-1,7)+50)&lt;&gt;"","set "&amp;INDEX(CUEs!$A:$A,INT((ROW()-1)/7)*57+MOD(ROW()-1,7)+50)&amp;"=/ s "&amp;INDEX(CUEs!$B:$B,INT((ROW()-1)/7)*57+MOD(ROW()-1,7)+50),"")</f>
        <v/>
      </c>
    </row>
    <row r="4134" spans="1:1" x14ac:dyDescent="0.25">
      <c r="A4134" t="str" cm="1">
        <f t="array" ref="A4134">IF(INDEX(CUEs!$A:$A,INT((ROW()-1)/7)*57+MOD(ROW()-1,7)+50)&lt;&gt;"","set "&amp;INDEX(CUEs!$A:$A,INT((ROW()-1)/7)*57+MOD(ROW()-1,7)+50)&amp;"=/ s "&amp;INDEX(CUEs!$B:$B,INT((ROW()-1)/7)*57+MOD(ROW()-1,7)+50),"")</f>
        <v/>
      </c>
    </row>
    <row r="4135" spans="1:1" x14ac:dyDescent="0.25">
      <c r="A4135" t="str" cm="1">
        <f t="array" ref="A4135">IF(INDEX(CUEs!$A:$A,INT((ROW()-1)/7)*57+MOD(ROW()-1,7)+50)&lt;&gt;"","set "&amp;INDEX(CUEs!$A:$A,INT((ROW()-1)/7)*57+MOD(ROW()-1,7)+50)&amp;"=/ s "&amp;INDEX(CUEs!$B:$B,INT((ROW()-1)/7)*57+MOD(ROW()-1,7)+50),"")</f>
        <v/>
      </c>
    </row>
    <row r="4136" spans="1:1" x14ac:dyDescent="0.25">
      <c r="A4136" t="str" cm="1">
        <f t="array" ref="A4136">IF(INDEX(CUEs!$A:$A,INT((ROW()-1)/7)*57+MOD(ROW()-1,7)+50)&lt;&gt;"","set "&amp;INDEX(CUEs!$A:$A,INT((ROW()-1)/7)*57+MOD(ROW()-1,7)+50)&amp;"=/ s "&amp;INDEX(CUEs!$B:$B,INT((ROW()-1)/7)*57+MOD(ROW()-1,7)+50),"")</f>
        <v/>
      </c>
    </row>
    <row r="4137" spans="1:1" x14ac:dyDescent="0.25">
      <c r="A4137" t="str" cm="1">
        <f t="array" ref="A4137">IF(INDEX(CUEs!$A:$A,INT((ROW()-1)/7)*57+MOD(ROW()-1,7)+50)&lt;&gt;"","set "&amp;INDEX(CUEs!$A:$A,INT((ROW()-1)/7)*57+MOD(ROW()-1,7)+50)&amp;"=/ s "&amp;INDEX(CUEs!$B:$B,INT((ROW()-1)/7)*57+MOD(ROW()-1,7)+50),"")</f>
        <v/>
      </c>
    </row>
    <row r="4138" spans="1:1" x14ac:dyDescent="0.25">
      <c r="A4138" t="str" cm="1">
        <f t="array" ref="A4138">IF(INDEX(CUEs!$A:$A,INT((ROW()-1)/7)*57+MOD(ROW()-1,7)+50)&lt;&gt;"","set "&amp;INDEX(CUEs!$A:$A,INT((ROW()-1)/7)*57+MOD(ROW()-1,7)+50)&amp;"=/ s "&amp;INDEX(CUEs!$B:$B,INT((ROW()-1)/7)*57+MOD(ROW()-1,7)+50),"")</f>
        <v/>
      </c>
    </row>
    <row r="4139" spans="1:1" x14ac:dyDescent="0.25">
      <c r="A4139" t="str" cm="1">
        <f t="array" ref="A4139">IF(INDEX(CUEs!$A:$A,INT((ROW()-1)/7)*57+MOD(ROW()-1,7)+50)&lt;&gt;"","set "&amp;INDEX(CUEs!$A:$A,INT((ROW()-1)/7)*57+MOD(ROW()-1,7)+50)&amp;"=/ s "&amp;INDEX(CUEs!$B:$B,INT((ROW()-1)/7)*57+MOD(ROW()-1,7)+50),"")</f>
        <v/>
      </c>
    </row>
    <row r="4140" spans="1:1" x14ac:dyDescent="0.25">
      <c r="A4140" t="str" cm="1">
        <f t="array" ref="A4140">IF(INDEX(CUEs!$A:$A,INT((ROW()-1)/7)*57+MOD(ROW()-1,7)+50)&lt;&gt;"","set "&amp;INDEX(CUEs!$A:$A,INT((ROW()-1)/7)*57+MOD(ROW()-1,7)+50)&amp;"=/ s "&amp;INDEX(CUEs!$B:$B,INT((ROW()-1)/7)*57+MOD(ROW()-1,7)+50),"")</f>
        <v/>
      </c>
    </row>
    <row r="4141" spans="1:1" x14ac:dyDescent="0.25">
      <c r="A4141" t="str" cm="1">
        <f t="array" ref="A4141">IF(INDEX(CUEs!$A:$A,INT((ROW()-1)/7)*57+MOD(ROW()-1,7)+50)&lt;&gt;"","set "&amp;INDEX(CUEs!$A:$A,INT((ROW()-1)/7)*57+MOD(ROW()-1,7)+50)&amp;"=/ s "&amp;INDEX(CUEs!$B:$B,INT((ROW()-1)/7)*57+MOD(ROW()-1,7)+50),"")</f>
        <v/>
      </c>
    </row>
    <row r="4142" spans="1:1" x14ac:dyDescent="0.25">
      <c r="A4142" t="str" cm="1">
        <f t="array" ref="A4142">IF(INDEX(CUEs!$A:$A,INT((ROW()-1)/7)*57+MOD(ROW()-1,7)+50)&lt;&gt;"","set "&amp;INDEX(CUEs!$A:$A,INT((ROW()-1)/7)*57+MOD(ROW()-1,7)+50)&amp;"=/ s "&amp;INDEX(CUEs!$B:$B,INT((ROW()-1)/7)*57+MOD(ROW()-1,7)+50),"")</f>
        <v/>
      </c>
    </row>
    <row r="4143" spans="1:1" x14ac:dyDescent="0.25">
      <c r="A4143" t="str" cm="1">
        <f t="array" ref="A4143">IF(INDEX(CUEs!$A:$A,INT((ROW()-1)/7)*57+MOD(ROW()-1,7)+50)&lt;&gt;"","set "&amp;INDEX(CUEs!$A:$A,INT((ROW()-1)/7)*57+MOD(ROW()-1,7)+50)&amp;"=/ s "&amp;INDEX(CUEs!$B:$B,INT((ROW()-1)/7)*57+MOD(ROW()-1,7)+50),"")</f>
        <v/>
      </c>
    </row>
    <row r="4144" spans="1:1" x14ac:dyDescent="0.25">
      <c r="A4144" t="str" cm="1">
        <f t="array" ref="A4144">IF(INDEX(CUEs!$A:$A,INT((ROW()-1)/7)*57+MOD(ROW()-1,7)+50)&lt;&gt;"","set "&amp;INDEX(CUEs!$A:$A,INT((ROW()-1)/7)*57+MOD(ROW()-1,7)+50)&amp;"=/ s "&amp;INDEX(CUEs!$B:$B,INT((ROW()-1)/7)*57+MOD(ROW()-1,7)+50),"")</f>
        <v/>
      </c>
    </row>
    <row r="4145" spans="1:1" x14ac:dyDescent="0.25">
      <c r="A4145" t="str" cm="1">
        <f t="array" ref="A4145">IF(INDEX(CUEs!$A:$A,INT((ROW()-1)/7)*57+MOD(ROW()-1,7)+50)&lt;&gt;"","set "&amp;INDEX(CUEs!$A:$A,INT((ROW()-1)/7)*57+MOD(ROW()-1,7)+50)&amp;"=/ s "&amp;INDEX(CUEs!$B:$B,INT((ROW()-1)/7)*57+MOD(ROW()-1,7)+50),"")</f>
        <v/>
      </c>
    </row>
    <row r="4146" spans="1:1" x14ac:dyDescent="0.25">
      <c r="A4146" t="str" cm="1">
        <f t="array" ref="A4146">IF(INDEX(CUEs!$A:$A,INT((ROW()-1)/7)*57+MOD(ROW()-1,7)+50)&lt;&gt;"","set "&amp;INDEX(CUEs!$A:$A,INT((ROW()-1)/7)*57+MOD(ROW()-1,7)+50)&amp;"=/ s "&amp;INDEX(CUEs!$B:$B,INT((ROW()-1)/7)*57+MOD(ROW()-1,7)+50),"")</f>
        <v/>
      </c>
    </row>
    <row r="4147" spans="1:1" x14ac:dyDescent="0.25">
      <c r="A4147" t="str" cm="1">
        <f t="array" ref="A4147">IF(INDEX(CUEs!$A:$A,INT((ROW()-1)/7)*57+MOD(ROW()-1,7)+50)&lt;&gt;"","set "&amp;INDEX(CUEs!$A:$A,INT((ROW()-1)/7)*57+MOD(ROW()-1,7)+50)&amp;"=/ s "&amp;INDEX(CUEs!$B:$B,INT((ROW()-1)/7)*57+MOD(ROW()-1,7)+50),"")</f>
        <v/>
      </c>
    </row>
    <row r="4148" spans="1:1" x14ac:dyDescent="0.25">
      <c r="A4148" t="str" cm="1">
        <f t="array" ref="A4148">IF(INDEX(CUEs!$A:$A,INT((ROW()-1)/7)*57+MOD(ROW()-1,7)+50)&lt;&gt;"","set "&amp;INDEX(CUEs!$A:$A,INT((ROW()-1)/7)*57+MOD(ROW()-1,7)+50)&amp;"=/ s "&amp;INDEX(CUEs!$B:$B,INT((ROW()-1)/7)*57+MOD(ROW()-1,7)+50),"")</f>
        <v/>
      </c>
    </row>
    <row r="4149" spans="1:1" x14ac:dyDescent="0.25">
      <c r="A4149" t="str" cm="1">
        <f t="array" ref="A4149">IF(INDEX(CUEs!$A:$A,INT((ROW()-1)/7)*57+MOD(ROW()-1,7)+50)&lt;&gt;"","set "&amp;INDEX(CUEs!$A:$A,INT((ROW()-1)/7)*57+MOD(ROW()-1,7)+50)&amp;"=/ s "&amp;INDEX(CUEs!$B:$B,INT((ROW()-1)/7)*57+MOD(ROW()-1,7)+50),"")</f>
        <v/>
      </c>
    </row>
    <row r="4150" spans="1:1" x14ac:dyDescent="0.25">
      <c r="A4150" t="str" cm="1">
        <f t="array" ref="A4150">IF(INDEX(CUEs!$A:$A,INT((ROW()-1)/7)*57+MOD(ROW()-1,7)+50)&lt;&gt;"","set "&amp;INDEX(CUEs!$A:$A,INT((ROW()-1)/7)*57+MOD(ROW()-1,7)+50)&amp;"=/ s "&amp;INDEX(CUEs!$B:$B,INT((ROW()-1)/7)*57+MOD(ROW()-1,7)+50),"")</f>
        <v/>
      </c>
    </row>
    <row r="4151" spans="1:1" x14ac:dyDescent="0.25">
      <c r="A4151" t="str" cm="1">
        <f t="array" ref="A4151">IF(INDEX(CUEs!$A:$A,INT((ROW()-1)/7)*57+MOD(ROW()-1,7)+50)&lt;&gt;"","set "&amp;INDEX(CUEs!$A:$A,INT((ROW()-1)/7)*57+MOD(ROW()-1,7)+50)&amp;"=/ s "&amp;INDEX(CUEs!$B:$B,INT((ROW()-1)/7)*57+MOD(ROW()-1,7)+50),"")</f>
        <v/>
      </c>
    </row>
    <row r="4152" spans="1:1" x14ac:dyDescent="0.25">
      <c r="A4152" t="str" cm="1">
        <f t="array" ref="A4152">IF(INDEX(CUEs!$A:$A,INT((ROW()-1)/7)*57+MOD(ROW()-1,7)+50)&lt;&gt;"","set "&amp;INDEX(CUEs!$A:$A,INT((ROW()-1)/7)*57+MOD(ROW()-1,7)+50)&amp;"=/ s "&amp;INDEX(CUEs!$B:$B,INT((ROW()-1)/7)*57+MOD(ROW()-1,7)+50),"")</f>
        <v/>
      </c>
    </row>
    <row r="4153" spans="1:1" x14ac:dyDescent="0.25">
      <c r="A4153" t="str" cm="1">
        <f t="array" ref="A4153">IF(INDEX(CUEs!$A:$A,INT((ROW()-1)/7)*57+MOD(ROW()-1,7)+50)&lt;&gt;"","set "&amp;INDEX(CUEs!$A:$A,INT((ROW()-1)/7)*57+MOD(ROW()-1,7)+50)&amp;"=/ s "&amp;INDEX(CUEs!$B:$B,INT((ROW()-1)/7)*57+MOD(ROW()-1,7)+50),"")</f>
        <v/>
      </c>
    </row>
    <row r="4154" spans="1:1" x14ac:dyDescent="0.25">
      <c r="A4154" t="str" cm="1">
        <f t="array" ref="A4154">IF(INDEX(CUEs!$A:$A,INT((ROW()-1)/7)*57+MOD(ROW()-1,7)+50)&lt;&gt;"","set "&amp;INDEX(CUEs!$A:$A,INT((ROW()-1)/7)*57+MOD(ROW()-1,7)+50)&amp;"=/ s "&amp;INDEX(CUEs!$B:$B,INT((ROW()-1)/7)*57+MOD(ROW()-1,7)+50),"")</f>
        <v/>
      </c>
    </row>
    <row r="4155" spans="1:1" x14ac:dyDescent="0.25">
      <c r="A4155" t="str" cm="1">
        <f t="array" ref="A4155">IF(INDEX(CUEs!$A:$A,INT((ROW()-1)/7)*57+MOD(ROW()-1,7)+50)&lt;&gt;"","set "&amp;INDEX(CUEs!$A:$A,INT((ROW()-1)/7)*57+MOD(ROW()-1,7)+50)&amp;"=/ s "&amp;INDEX(CUEs!$B:$B,INT((ROW()-1)/7)*57+MOD(ROW()-1,7)+50),"")</f>
        <v/>
      </c>
    </row>
    <row r="4156" spans="1:1" x14ac:dyDescent="0.25">
      <c r="A4156" t="str" cm="1">
        <f t="array" ref="A4156">IF(INDEX(CUEs!$A:$A,INT((ROW()-1)/7)*57+MOD(ROW()-1,7)+50)&lt;&gt;"","set "&amp;INDEX(CUEs!$A:$A,INT((ROW()-1)/7)*57+MOD(ROW()-1,7)+50)&amp;"=/ s "&amp;INDEX(CUEs!$B:$B,INT((ROW()-1)/7)*57+MOD(ROW()-1,7)+50),"")</f>
        <v/>
      </c>
    </row>
    <row r="4157" spans="1:1" x14ac:dyDescent="0.25">
      <c r="A4157" t="str" cm="1">
        <f t="array" ref="A4157">IF(INDEX(CUEs!$A:$A,INT((ROW()-1)/7)*57+MOD(ROW()-1,7)+50)&lt;&gt;"","set "&amp;INDEX(CUEs!$A:$A,INT((ROW()-1)/7)*57+MOD(ROW()-1,7)+50)&amp;"=/ s "&amp;INDEX(CUEs!$B:$B,INT((ROW()-1)/7)*57+MOD(ROW()-1,7)+50),"")</f>
        <v/>
      </c>
    </row>
    <row r="4158" spans="1:1" x14ac:dyDescent="0.25">
      <c r="A4158" t="str" cm="1">
        <f t="array" ref="A4158">IF(INDEX(CUEs!$A:$A,INT((ROW()-1)/7)*57+MOD(ROW()-1,7)+50)&lt;&gt;"","set "&amp;INDEX(CUEs!$A:$A,INT((ROW()-1)/7)*57+MOD(ROW()-1,7)+50)&amp;"=/ s "&amp;INDEX(CUEs!$B:$B,INT((ROW()-1)/7)*57+MOD(ROW()-1,7)+50),"")</f>
        <v/>
      </c>
    </row>
    <row r="4159" spans="1:1" x14ac:dyDescent="0.25">
      <c r="A4159" t="str" cm="1">
        <f t="array" ref="A4159">IF(INDEX(CUEs!$A:$A,INT((ROW()-1)/7)*57+MOD(ROW()-1,7)+50)&lt;&gt;"","set "&amp;INDEX(CUEs!$A:$A,INT((ROW()-1)/7)*57+MOD(ROW()-1,7)+50)&amp;"=/ s "&amp;INDEX(CUEs!$B:$B,INT((ROW()-1)/7)*57+MOD(ROW()-1,7)+50),"")</f>
        <v/>
      </c>
    </row>
    <row r="4160" spans="1:1" x14ac:dyDescent="0.25">
      <c r="A4160" t="str" cm="1">
        <f t="array" ref="A4160">IF(INDEX(CUEs!$A:$A,INT((ROW()-1)/7)*57+MOD(ROW()-1,7)+50)&lt;&gt;"","set "&amp;INDEX(CUEs!$A:$A,INT((ROW()-1)/7)*57+MOD(ROW()-1,7)+50)&amp;"=/ s "&amp;INDEX(CUEs!$B:$B,INT((ROW()-1)/7)*57+MOD(ROW()-1,7)+50),"")</f>
        <v/>
      </c>
    </row>
    <row r="4161" spans="1:1" x14ac:dyDescent="0.25">
      <c r="A4161" t="str" cm="1">
        <f t="array" ref="A4161">IF(INDEX(CUEs!$A:$A,INT((ROW()-1)/7)*57+MOD(ROW()-1,7)+50)&lt;&gt;"","set "&amp;INDEX(CUEs!$A:$A,INT((ROW()-1)/7)*57+MOD(ROW()-1,7)+50)&amp;"=/ s "&amp;INDEX(CUEs!$B:$B,INT((ROW()-1)/7)*57+MOD(ROW()-1,7)+50),"")</f>
        <v/>
      </c>
    </row>
    <row r="4162" spans="1:1" x14ac:dyDescent="0.25">
      <c r="A4162" t="str" cm="1">
        <f t="array" ref="A4162">IF(INDEX(CUEs!$A:$A,INT((ROW()-1)/7)*57+MOD(ROW()-1,7)+50)&lt;&gt;"","set "&amp;INDEX(CUEs!$A:$A,INT((ROW()-1)/7)*57+MOD(ROW()-1,7)+50)&amp;"=/ s "&amp;INDEX(CUEs!$B:$B,INT((ROW()-1)/7)*57+MOD(ROW()-1,7)+50),"")</f>
        <v/>
      </c>
    </row>
    <row r="4163" spans="1:1" x14ac:dyDescent="0.25">
      <c r="A4163" t="str" cm="1">
        <f t="array" ref="A4163">IF(INDEX(CUEs!$A:$A,INT((ROW()-1)/7)*57+MOD(ROW()-1,7)+50)&lt;&gt;"","set "&amp;INDEX(CUEs!$A:$A,INT((ROW()-1)/7)*57+MOD(ROW()-1,7)+50)&amp;"=/ s "&amp;INDEX(CUEs!$B:$B,INT((ROW()-1)/7)*57+MOD(ROW()-1,7)+50),"")</f>
        <v/>
      </c>
    </row>
    <row r="4164" spans="1:1" x14ac:dyDescent="0.25">
      <c r="A4164" t="str" cm="1">
        <f t="array" ref="A4164">IF(INDEX(CUEs!$A:$A,INT((ROW()-1)/7)*57+MOD(ROW()-1,7)+50)&lt;&gt;"","set "&amp;INDEX(CUEs!$A:$A,INT((ROW()-1)/7)*57+MOD(ROW()-1,7)+50)&amp;"=/ s "&amp;INDEX(CUEs!$B:$B,INT((ROW()-1)/7)*57+MOD(ROW()-1,7)+50),"")</f>
        <v/>
      </c>
    </row>
    <row r="4165" spans="1:1" x14ac:dyDescent="0.25">
      <c r="A4165" t="str" cm="1">
        <f t="array" ref="A4165">IF(INDEX(CUEs!$A:$A,INT((ROW()-1)/7)*57+MOD(ROW()-1,7)+50)&lt;&gt;"","set "&amp;INDEX(CUEs!$A:$A,INT((ROW()-1)/7)*57+MOD(ROW()-1,7)+50)&amp;"=/ s "&amp;INDEX(CUEs!$B:$B,INT((ROW()-1)/7)*57+MOD(ROW()-1,7)+50),"")</f>
        <v/>
      </c>
    </row>
    <row r="4166" spans="1:1" x14ac:dyDescent="0.25">
      <c r="A4166" t="str" cm="1">
        <f t="array" ref="A4166">IF(INDEX(CUEs!$A:$A,INT((ROW()-1)/7)*57+MOD(ROW()-1,7)+50)&lt;&gt;"","set "&amp;INDEX(CUEs!$A:$A,INT((ROW()-1)/7)*57+MOD(ROW()-1,7)+50)&amp;"=/ s "&amp;INDEX(CUEs!$B:$B,INT((ROW()-1)/7)*57+MOD(ROW()-1,7)+50),"")</f>
        <v/>
      </c>
    </row>
    <row r="4167" spans="1:1" x14ac:dyDescent="0.25">
      <c r="A4167" t="str" cm="1">
        <f t="array" ref="A4167">IF(INDEX(CUEs!$A:$A,INT((ROW()-1)/7)*57+MOD(ROW()-1,7)+50)&lt;&gt;"","set "&amp;INDEX(CUEs!$A:$A,INT((ROW()-1)/7)*57+MOD(ROW()-1,7)+50)&amp;"=/ s "&amp;INDEX(CUEs!$B:$B,INT((ROW()-1)/7)*57+MOD(ROW()-1,7)+50),"")</f>
        <v/>
      </c>
    </row>
    <row r="4168" spans="1:1" x14ac:dyDescent="0.25">
      <c r="A4168" t="str" cm="1">
        <f t="array" ref="A4168">IF(INDEX(CUEs!$A:$A,INT((ROW()-1)/7)*57+MOD(ROW()-1,7)+50)&lt;&gt;"","set "&amp;INDEX(CUEs!$A:$A,INT((ROW()-1)/7)*57+MOD(ROW()-1,7)+50)&amp;"=/ s "&amp;INDEX(CUEs!$B:$B,INT((ROW()-1)/7)*57+MOD(ROW()-1,7)+50),"")</f>
        <v/>
      </c>
    </row>
    <row r="4169" spans="1:1" x14ac:dyDescent="0.25">
      <c r="A4169" t="str" cm="1">
        <f t="array" ref="A4169">IF(INDEX(CUEs!$A:$A,INT((ROW()-1)/7)*57+MOD(ROW()-1,7)+50)&lt;&gt;"","set "&amp;INDEX(CUEs!$A:$A,INT((ROW()-1)/7)*57+MOD(ROW()-1,7)+50)&amp;"=/ s "&amp;INDEX(CUEs!$B:$B,INT((ROW()-1)/7)*57+MOD(ROW()-1,7)+50),"")</f>
        <v/>
      </c>
    </row>
    <row r="4170" spans="1:1" x14ac:dyDescent="0.25">
      <c r="A4170" t="str" cm="1">
        <f t="array" ref="A4170">IF(INDEX(CUEs!$A:$A,INT((ROW()-1)/7)*57+MOD(ROW()-1,7)+50)&lt;&gt;"","set "&amp;INDEX(CUEs!$A:$A,INT((ROW()-1)/7)*57+MOD(ROW()-1,7)+50)&amp;"=/ s "&amp;INDEX(CUEs!$B:$B,INT((ROW()-1)/7)*57+MOD(ROW()-1,7)+50),"")</f>
        <v/>
      </c>
    </row>
    <row r="4171" spans="1:1" x14ac:dyDescent="0.25">
      <c r="A4171" t="str" cm="1">
        <f t="array" ref="A4171">IF(INDEX(CUEs!$A:$A,INT((ROW()-1)/7)*57+MOD(ROW()-1,7)+50)&lt;&gt;"","set "&amp;INDEX(CUEs!$A:$A,INT((ROW()-1)/7)*57+MOD(ROW()-1,7)+50)&amp;"=/ s "&amp;INDEX(CUEs!$B:$B,INT((ROW()-1)/7)*57+MOD(ROW()-1,7)+50),"")</f>
        <v/>
      </c>
    </row>
    <row r="4172" spans="1:1" x14ac:dyDescent="0.25">
      <c r="A4172" t="str" cm="1">
        <f t="array" ref="A4172">IF(INDEX(CUEs!$A:$A,INT((ROW()-1)/7)*57+MOD(ROW()-1,7)+50)&lt;&gt;"","set "&amp;INDEX(CUEs!$A:$A,INT((ROW()-1)/7)*57+MOD(ROW()-1,7)+50)&amp;"=/ s "&amp;INDEX(CUEs!$B:$B,INT((ROW()-1)/7)*57+MOD(ROW()-1,7)+50),"")</f>
        <v/>
      </c>
    </row>
    <row r="4173" spans="1:1" x14ac:dyDescent="0.25">
      <c r="A4173" t="str" cm="1">
        <f t="array" ref="A4173">IF(INDEX(CUEs!$A:$A,INT((ROW()-1)/7)*57+MOD(ROW()-1,7)+50)&lt;&gt;"","set "&amp;INDEX(CUEs!$A:$A,INT((ROW()-1)/7)*57+MOD(ROW()-1,7)+50)&amp;"=/ s "&amp;INDEX(CUEs!$B:$B,INT((ROW()-1)/7)*57+MOD(ROW()-1,7)+50),"")</f>
        <v/>
      </c>
    </row>
    <row r="4174" spans="1:1" x14ac:dyDescent="0.25">
      <c r="A4174" t="str" cm="1">
        <f t="array" ref="A4174">IF(INDEX(CUEs!$A:$A,INT((ROW()-1)/7)*57+MOD(ROW()-1,7)+50)&lt;&gt;"","set "&amp;INDEX(CUEs!$A:$A,INT((ROW()-1)/7)*57+MOD(ROW()-1,7)+50)&amp;"=/ s "&amp;INDEX(CUEs!$B:$B,INT((ROW()-1)/7)*57+MOD(ROW()-1,7)+50),"")</f>
        <v/>
      </c>
    </row>
    <row r="4175" spans="1:1" x14ac:dyDescent="0.25">
      <c r="A4175" t="str" cm="1">
        <f t="array" ref="A4175">IF(INDEX(CUEs!$A:$A,INT((ROW()-1)/7)*57+MOD(ROW()-1,7)+50)&lt;&gt;"","set "&amp;INDEX(CUEs!$A:$A,INT((ROW()-1)/7)*57+MOD(ROW()-1,7)+50)&amp;"=/ s "&amp;INDEX(CUEs!$B:$B,INT((ROW()-1)/7)*57+MOD(ROW()-1,7)+50),"")</f>
        <v/>
      </c>
    </row>
    <row r="4176" spans="1:1" x14ac:dyDescent="0.25">
      <c r="A4176" t="str" cm="1">
        <f t="array" ref="A4176">IF(INDEX(CUEs!$A:$A,INT((ROW()-1)/7)*57+MOD(ROW()-1,7)+50)&lt;&gt;"","set "&amp;INDEX(CUEs!$A:$A,INT((ROW()-1)/7)*57+MOD(ROW()-1,7)+50)&amp;"=/ s "&amp;INDEX(CUEs!$B:$B,INT((ROW()-1)/7)*57+MOD(ROW()-1,7)+50),"")</f>
        <v/>
      </c>
    </row>
    <row r="4177" spans="1:1" x14ac:dyDescent="0.25">
      <c r="A4177" t="str" cm="1">
        <f t="array" ref="A4177">IF(INDEX(CUEs!$A:$A,INT((ROW()-1)/7)*57+MOD(ROW()-1,7)+50)&lt;&gt;"","set "&amp;INDEX(CUEs!$A:$A,INT((ROW()-1)/7)*57+MOD(ROW()-1,7)+50)&amp;"=/ s "&amp;INDEX(CUEs!$B:$B,INT((ROW()-1)/7)*57+MOD(ROW()-1,7)+50),"")</f>
        <v/>
      </c>
    </row>
    <row r="4178" spans="1:1" x14ac:dyDescent="0.25">
      <c r="A4178" t="str" cm="1">
        <f t="array" ref="A4178">IF(INDEX(CUEs!$A:$A,INT((ROW()-1)/7)*57+MOD(ROW()-1,7)+50)&lt;&gt;"","set "&amp;INDEX(CUEs!$A:$A,INT((ROW()-1)/7)*57+MOD(ROW()-1,7)+50)&amp;"=/ s "&amp;INDEX(CUEs!$B:$B,INT((ROW()-1)/7)*57+MOD(ROW()-1,7)+50),"")</f>
        <v/>
      </c>
    </row>
    <row r="4179" spans="1:1" x14ac:dyDescent="0.25">
      <c r="A4179" t="str" cm="1">
        <f t="array" ref="A4179">IF(INDEX(CUEs!$A:$A,INT((ROW()-1)/7)*57+MOD(ROW()-1,7)+50)&lt;&gt;"","set "&amp;INDEX(CUEs!$A:$A,INT((ROW()-1)/7)*57+MOD(ROW()-1,7)+50)&amp;"=/ s "&amp;INDEX(CUEs!$B:$B,INT((ROW()-1)/7)*57+MOD(ROW()-1,7)+50),"")</f>
        <v/>
      </c>
    </row>
    <row r="4180" spans="1:1" x14ac:dyDescent="0.25">
      <c r="A4180" t="str" cm="1">
        <f t="array" ref="A4180">IF(INDEX(CUEs!$A:$A,INT((ROW()-1)/7)*57+MOD(ROW()-1,7)+50)&lt;&gt;"","set "&amp;INDEX(CUEs!$A:$A,INT((ROW()-1)/7)*57+MOD(ROW()-1,7)+50)&amp;"=/ s "&amp;INDEX(CUEs!$B:$B,INT((ROW()-1)/7)*57+MOD(ROW()-1,7)+50),"")</f>
        <v/>
      </c>
    </row>
    <row r="4181" spans="1:1" x14ac:dyDescent="0.25">
      <c r="A4181" t="str" cm="1">
        <f t="array" ref="A4181">IF(INDEX(CUEs!$A:$A,INT((ROW()-1)/7)*57+MOD(ROW()-1,7)+50)&lt;&gt;"","set "&amp;INDEX(CUEs!$A:$A,INT((ROW()-1)/7)*57+MOD(ROW()-1,7)+50)&amp;"=/ s "&amp;INDEX(CUEs!$B:$B,INT((ROW()-1)/7)*57+MOD(ROW()-1,7)+50),"")</f>
        <v/>
      </c>
    </row>
    <row r="4182" spans="1:1" x14ac:dyDescent="0.25">
      <c r="A4182" t="str" cm="1">
        <f t="array" ref="A4182">IF(INDEX(CUEs!$A:$A,INT((ROW()-1)/7)*57+MOD(ROW()-1,7)+50)&lt;&gt;"","set "&amp;INDEX(CUEs!$A:$A,INT((ROW()-1)/7)*57+MOD(ROW()-1,7)+50)&amp;"=/ s "&amp;INDEX(CUEs!$B:$B,INT((ROW()-1)/7)*57+MOD(ROW()-1,7)+50),"")</f>
        <v/>
      </c>
    </row>
    <row r="4183" spans="1:1" x14ac:dyDescent="0.25">
      <c r="A4183" t="str" cm="1">
        <f t="array" ref="A4183">IF(INDEX(CUEs!$A:$A,INT((ROW()-1)/7)*57+MOD(ROW()-1,7)+50)&lt;&gt;"","set "&amp;INDEX(CUEs!$A:$A,INT((ROW()-1)/7)*57+MOD(ROW()-1,7)+50)&amp;"=/ s "&amp;INDEX(CUEs!$B:$B,INT((ROW()-1)/7)*57+MOD(ROW()-1,7)+50),"")</f>
        <v/>
      </c>
    </row>
    <row r="4184" spans="1:1" x14ac:dyDescent="0.25">
      <c r="A4184" t="str" cm="1">
        <f t="array" ref="A4184">IF(INDEX(CUEs!$A:$A,INT((ROW()-1)/7)*57+MOD(ROW()-1,7)+50)&lt;&gt;"","set "&amp;INDEX(CUEs!$A:$A,INT((ROW()-1)/7)*57+MOD(ROW()-1,7)+50)&amp;"=/ s "&amp;INDEX(CUEs!$B:$B,INT((ROW()-1)/7)*57+MOD(ROW()-1,7)+50),"")</f>
        <v/>
      </c>
    </row>
    <row r="4185" spans="1:1" x14ac:dyDescent="0.25">
      <c r="A4185" t="str" cm="1">
        <f t="array" ref="A4185">IF(INDEX(CUEs!$A:$A,INT((ROW()-1)/7)*57+MOD(ROW()-1,7)+50)&lt;&gt;"","set "&amp;INDEX(CUEs!$A:$A,INT((ROW()-1)/7)*57+MOD(ROW()-1,7)+50)&amp;"=/ s "&amp;INDEX(CUEs!$B:$B,INT((ROW()-1)/7)*57+MOD(ROW()-1,7)+50),"")</f>
        <v/>
      </c>
    </row>
    <row r="4186" spans="1:1" x14ac:dyDescent="0.25">
      <c r="A4186" t="str" cm="1">
        <f t="array" ref="A4186">IF(INDEX(CUEs!$A:$A,INT((ROW()-1)/7)*57+MOD(ROW()-1,7)+50)&lt;&gt;"","set "&amp;INDEX(CUEs!$A:$A,INT((ROW()-1)/7)*57+MOD(ROW()-1,7)+50)&amp;"=/ s "&amp;INDEX(CUEs!$B:$B,INT((ROW()-1)/7)*57+MOD(ROW()-1,7)+50),"")</f>
        <v/>
      </c>
    </row>
    <row r="4187" spans="1:1" x14ac:dyDescent="0.25">
      <c r="A4187" t="str" cm="1">
        <f t="array" ref="A4187">IF(INDEX(CUEs!$A:$A,INT((ROW()-1)/7)*57+MOD(ROW()-1,7)+50)&lt;&gt;"","set "&amp;INDEX(CUEs!$A:$A,INT((ROW()-1)/7)*57+MOD(ROW()-1,7)+50)&amp;"=/ s "&amp;INDEX(CUEs!$B:$B,INT((ROW()-1)/7)*57+MOD(ROW()-1,7)+50),"")</f>
        <v/>
      </c>
    </row>
    <row r="4188" spans="1:1" x14ac:dyDescent="0.25">
      <c r="A4188" t="str" cm="1">
        <f t="array" ref="A4188">IF(INDEX(CUEs!$A:$A,INT((ROW()-1)/7)*57+MOD(ROW()-1,7)+50)&lt;&gt;"","set "&amp;INDEX(CUEs!$A:$A,INT((ROW()-1)/7)*57+MOD(ROW()-1,7)+50)&amp;"=/ s "&amp;INDEX(CUEs!$B:$B,INT((ROW()-1)/7)*57+MOD(ROW()-1,7)+50),"")</f>
        <v/>
      </c>
    </row>
    <row r="4189" spans="1:1" x14ac:dyDescent="0.25">
      <c r="A4189" t="str" cm="1">
        <f t="array" ref="A4189">IF(INDEX(CUEs!$A:$A,INT((ROW()-1)/7)*57+MOD(ROW()-1,7)+50)&lt;&gt;"","set "&amp;INDEX(CUEs!$A:$A,INT((ROW()-1)/7)*57+MOD(ROW()-1,7)+50)&amp;"=/ s "&amp;INDEX(CUEs!$B:$B,INT((ROW()-1)/7)*57+MOD(ROW()-1,7)+50),"")</f>
        <v/>
      </c>
    </row>
    <row r="4190" spans="1:1" x14ac:dyDescent="0.25">
      <c r="A4190" t="str" cm="1">
        <f t="array" ref="A4190">IF(INDEX(CUEs!$A:$A,INT((ROW()-1)/7)*57+MOD(ROW()-1,7)+50)&lt;&gt;"","set "&amp;INDEX(CUEs!$A:$A,INT((ROW()-1)/7)*57+MOD(ROW()-1,7)+50)&amp;"=/ s "&amp;INDEX(CUEs!$B:$B,INT((ROW()-1)/7)*57+MOD(ROW()-1,7)+50),"")</f>
        <v/>
      </c>
    </row>
    <row r="4191" spans="1:1" x14ac:dyDescent="0.25">
      <c r="A4191" t="str" cm="1">
        <f t="array" ref="A4191">IF(INDEX(CUEs!$A:$A,INT((ROW()-1)/7)*57+MOD(ROW()-1,7)+50)&lt;&gt;"","set "&amp;INDEX(CUEs!$A:$A,INT((ROW()-1)/7)*57+MOD(ROW()-1,7)+50)&amp;"=/ s "&amp;INDEX(CUEs!$B:$B,INT((ROW()-1)/7)*57+MOD(ROW()-1,7)+50),"")</f>
        <v/>
      </c>
    </row>
    <row r="4192" spans="1:1" x14ac:dyDescent="0.25">
      <c r="A4192" t="str" cm="1">
        <f t="array" ref="A4192">IF(INDEX(CUEs!$A:$A,INT((ROW()-1)/7)*57+MOD(ROW()-1,7)+50)&lt;&gt;"","set "&amp;INDEX(CUEs!$A:$A,INT((ROW()-1)/7)*57+MOD(ROW()-1,7)+50)&amp;"=/ s "&amp;INDEX(CUEs!$B:$B,INT((ROW()-1)/7)*57+MOD(ROW()-1,7)+50),"")</f>
        <v/>
      </c>
    </row>
    <row r="4193" spans="1:1" x14ac:dyDescent="0.25">
      <c r="A4193" t="str" cm="1">
        <f t="array" ref="A4193">IF(INDEX(CUEs!$A:$A,INT((ROW()-1)/7)*57+MOD(ROW()-1,7)+50)&lt;&gt;"","set "&amp;INDEX(CUEs!$A:$A,INT((ROW()-1)/7)*57+MOD(ROW()-1,7)+50)&amp;"=/ s "&amp;INDEX(CUEs!$B:$B,INT((ROW()-1)/7)*57+MOD(ROW()-1,7)+50),"")</f>
        <v/>
      </c>
    </row>
    <row r="4194" spans="1:1" x14ac:dyDescent="0.25">
      <c r="A4194" t="str" cm="1">
        <f t="array" ref="A4194">IF(INDEX(CUEs!$A:$A,INT((ROW()-1)/7)*57+MOD(ROW()-1,7)+50)&lt;&gt;"","set "&amp;INDEX(CUEs!$A:$A,INT((ROW()-1)/7)*57+MOD(ROW()-1,7)+50)&amp;"=/ s "&amp;INDEX(CUEs!$B:$B,INT((ROW()-1)/7)*57+MOD(ROW()-1,7)+50),"")</f>
        <v/>
      </c>
    </row>
    <row r="4195" spans="1:1" x14ac:dyDescent="0.25">
      <c r="A4195" t="str" cm="1">
        <f t="array" ref="A4195">IF(INDEX(CUEs!$A:$A,INT((ROW()-1)/7)*57+MOD(ROW()-1,7)+50)&lt;&gt;"","set "&amp;INDEX(CUEs!$A:$A,INT((ROW()-1)/7)*57+MOD(ROW()-1,7)+50)&amp;"=/ s "&amp;INDEX(CUEs!$B:$B,INT((ROW()-1)/7)*57+MOD(ROW()-1,7)+50),"")</f>
        <v/>
      </c>
    </row>
    <row r="4196" spans="1:1" x14ac:dyDescent="0.25">
      <c r="A4196" t="str" cm="1">
        <f t="array" ref="A4196">IF(INDEX(CUEs!$A:$A,INT((ROW()-1)/7)*57+MOD(ROW()-1,7)+50)&lt;&gt;"","set "&amp;INDEX(CUEs!$A:$A,INT((ROW()-1)/7)*57+MOD(ROW()-1,7)+50)&amp;"=/ s "&amp;INDEX(CUEs!$B:$B,INT((ROW()-1)/7)*57+MOD(ROW()-1,7)+50),"")</f>
        <v/>
      </c>
    </row>
    <row r="4197" spans="1:1" x14ac:dyDescent="0.25">
      <c r="A4197" t="str" cm="1">
        <f t="array" ref="A4197">IF(INDEX(CUEs!$A:$A,INT((ROW()-1)/7)*57+MOD(ROW()-1,7)+50)&lt;&gt;"","set "&amp;INDEX(CUEs!$A:$A,INT((ROW()-1)/7)*57+MOD(ROW()-1,7)+50)&amp;"=/ s "&amp;INDEX(CUEs!$B:$B,INT((ROW()-1)/7)*57+MOD(ROW()-1,7)+50),"")</f>
        <v/>
      </c>
    </row>
    <row r="4198" spans="1:1" x14ac:dyDescent="0.25">
      <c r="A4198" t="str" cm="1">
        <f t="array" ref="A4198">IF(INDEX(CUEs!$A:$A,INT((ROW()-1)/7)*57+MOD(ROW()-1,7)+50)&lt;&gt;"","set "&amp;INDEX(CUEs!$A:$A,INT((ROW()-1)/7)*57+MOD(ROW()-1,7)+50)&amp;"=/ s "&amp;INDEX(CUEs!$B:$B,INT((ROW()-1)/7)*57+MOD(ROW()-1,7)+50),"")</f>
        <v/>
      </c>
    </row>
    <row r="4199" spans="1:1" x14ac:dyDescent="0.25">
      <c r="A4199" t="str" cm="1">
        <f t="array" ref="A4199">IF(INDEX(CUEs!$A:$A,INT((ROW()-1)/7)*57+MOD(ROW()-1,7)+50)&lt;&gt;"","set "&amp;INDEX(CUEs!$A:$A,INT((ROW()-1)/7)*57+MOD(ROW()-1,7)+50)&amp;"=/ s "&amp;INDEX(CUEs!$B:$B,INT((ROW()-1)/7)*57+MOD(ROW()-1,7)+50),"")</f>
        <v/>
      </c>
    </row>
    <row r="4200" spans="1:1" x14ac:dyDescent="0.25">
      <c r="A4200" t="str" cm="1">
        <f t="array" ref="A4200">IF(INDEX(CUEs!$A:$A,INT((ROW()-1)/7)*57+MOD(ROW()-1,7)+50)&lt;&gt;"","set "&amp;INDEX(CUEs!$A:$A,INT((ROW()-1)/7)*57+MOD(ROW()-1,7)+50)&amp;"=/ s "&amp;INDEX(CUEs!$B:$B,INT((ROW()-1)/7)*57+MOD(ROW()-1,7)+50),"")</f>
        <v/>
      </c>
    </row>
    <row r="4201" spans="1:1" x14ac:dyDescent="0.25">
      <c r="A4201" t="str" cm="1">
        <f t="array" ref="A4201">IF(INDEX(CUEs!$A:$A,INT((ROW()-1)/7)*57+MOD(ROW()-1,7)+50)&lt;&gt;"","set "&amp;INDEX(CUEs!$A:$A,INT((ROW()-1)/7)*57+MOD(ROW()-1,7)+50)&amp;"=/ s "&amp;INDEX(CUEs!$B:$B,INT((ROW()-1)/7)*57+MOD(ROW()-1,7)+50),"")</f>
        <v/>
      </c>
    </row>
    <row r="4202" spans="1:1" x14ac:dyDescent="0.25">
      <c r="A4202" t="str" cm="1">
        <f t="array" ref="A4202">IF(INDEX(CUEs!$A:$A,INT((ROW()-1)/7)*57+MOD(ROW()-1,7)+50)&lt;&gt;"","set "&amp;INDEX(CUEs!$A:$A,INT((ROW()-1)/7)*57+MOD(ROW()-1,7)+50)&amp;"=/ s "&amp;INDEX(CUEs!$B:$B,INT((ROW()-1)/7)*57+MOD(ROW()-1,7)+50),"")</f>
        <v/>
      </c>
    </row>
    <row r="4203" spans="1:1" x14ac:dyDescent="0.25">
      <c r="A4203" t="str" cm="1">
        <f t="array" ref="A4203">IF(INDEX(CUEs!$A:$A,INT((ROW()-1)/7)*57+MOD(ROW()-1,7)+50)&lt;&gt;"","set "&amp;INDEX(CUEs!$A:$A,INT((ROW()-1)/7)*57+MOD(ROW()-1,7)+50)&amp;"=/ s "&amp;INDEX(CUEs!$B:$B,INT((ROW()-1)/7)*57+MOD(ROW()-1,7)+50),"")</f>
        <v/>
      </c>
    </row>
    <row r="4204" spans="1:1" x14ac:dyDescent="0.25">
      <c r="A4204" t="str" cm="1">
        <f t="array" ref="A4204">IF(INDEX(CUEs!$A:$A,INT((ROW()-1)/7)*57+MOD(ROW()-1,7)+50)&lt;&gt;"","set "&amp;INDEX(CUEs!$A:$A,INT((ROW()-1)/7)*57+MOD(ROW()-1,7)+50)&amp;"=/ s "&amp;INDEX(CUEs!$B:$B,INT((ROW()-1)/7)*57+MOD(ROW()-1,7)+50),"")</f>
        <v/>
      </c>
    </row>
    <row r="4205" spans="1:1" x14ac:dyDescent="0.25">
      <c r="A4205" t="str" cm="1">
        <f t="array" ref="A4205">IF(INDEX(CUEs!$A:$A,INT((ROW()-1)/7)*57+MOD(ROW()-1,7)+50)&lt;&gt;"","set "&amp;INDEX(CUEs!$A:$A,INT((ROW()-1)/7)*57+MOD(ROW()-1,7)+50)&amp;"=/ s "&amp;INDEX(CUEs!$B:$B,INT((ROW()-1)/7)*57+MOD(ROW()-1,7)+50),"")</f>
        <v/>
      </c>
    </row>
    <row r="4206" spans="1:1" x14ac:dyDescent="0.25">
      <c r="A4206" t="str" cm="1">
        <f t="array" ref="A4206">IF(INDEX(CUEs!$A:$A,INT((ROW()-1)/7)*57+MOD(ROW()-1,7)+50)&lt;&gt;"","set "&amp;INDEX(CUEs!$A:$A,INT((ROW()-1)/7)*57+MOD(ROW()-1,7)+50)&amp;"=/ s "&amp;INDEX(CUEs!$B:$B,INT((ROW()-1)/7)*57+MOD(ROW()-1,7)+50),"")</f>
        <v/>
      </c>
    </row>
    <row r="4207" spans="1:1" x14ac:dyDescent="0.25">
      <c r="A4207" t="str" cm="1">
        <f t="array" ref="A4207">IF(INDEX(CUEs!$A:$A,INT((ROW()-1)/7)*57+MOD(ROW()-1,7)+50)&lt;&gt;"","set "&amp;INDEX(CUEs!$A:$A,INT((ROW()-1)/7)*57+MOD(ROW()-1,7)+50)&amp;"=/ s "&amp;INDEX(CUEs!$B:$B,INT((ROW()-1)/7)*57+MOD(ROW()-1,7)+50),"")</f>
        <v/>
      </c>
    </row>
    <row r="4208" spans="1:1" x14ac:dyDescent="0.25">
      <c r="A4208" t="str" cm="1">
        <f t="array" ref="A4208">IF(INDEX(CUEs!$A:$A,INT((ROW()-1)/7)*57+MOD(ROW()-1,7)+50)&lt;&gt;"","set "&amp;INDEX(CUEs!$A:$A,INT((ROW()-1)/7)*57+MOD(ROW()-1,7)+50)&amp;"=/ s "&amp;INDEX(CUEs!$B:$B,INT((ROW()-1)/7)*57+MOD(ROW()-1,7)+50),"")</f>
        <v/>
      </c>
    </row>
    <row r="4209" spans="1:1" x14ac:dyDescent="0.25">
      <c r="A4209" t="str" cm="1">
        <f t="array" ref="A4209">IF(INDEX(CUEs!$A:$A,INT((ROW()-1)/7)*57+MOD(ROW()-1,7)+50)&lt;&gt;"","set "&amp;INDEX(CUEs!$A:$A,INT((ROW()-1)/7)*57+MOD(ROW()-1,7)+50)&amp;"=/ s "&amp;INDEX(CUEs!$B:$B,INT((ROW()-1)/7)*57+MOD(ROW()-1,7)+50),"")</f>
        <v/>
      </c>
    </row>
    <row r="4210" spans="1:1" x14ac:dyDescent="0.25">
      <c r="A4210" t="str" cm="1">
        <f t="array" ref="A4210">IF(INDEX(CUEs!$A:$A,INT((ROW()-1)/7)*57+MOD(ROW()-1,7)+50)&lt;&gt;"","set "&amp;INDEX(CUEs!$A:$A,INT((ROW()-1)/7)*57+MOD(ROW()-1,7)+50)&amp;"=/ s "&amp;INDEX(CUEs!$B:$B,INT((ROW()-1)/7)*57+MOD(ROW()-1,7)+50),"")</f>
        <v/>
      </c>
    </row>
    <row r="4211" spans="1:1" x14ac:dyDescent="0.25">
      <c r="A4211" t="str" cm="1">
        <f t="array" ref="A4211">IF(INDEX(CUEs!$A:$A,INT((ROW()-1)/7)*57+MOD(ROW()-1,7)+50)&lt;&gt;"","set "&amp;INDEX(CUEs!$A:$A,INT((ROW()-1)/7)*57+MOD(ROW()-1,7)+50)&amp;"=/ s "&amp;INDEX(CUEs!$B:$B,INT((ROW()-1)/7)*57+MOD(ROW()-1,7)+50),"")</f>
        <v/>
      </c>
    </row>
    <row r="4212" spans="1:1" x14ac:dyDescent="0.25">
      <c r="A4212" t="str" cm="1">
        <f t="array" ref="A4212">IF(INDEX(CUEs!$A:$A,INT((ROW()-1)/7)*57+MOD(ROW()-1,7)+50)&lt;&gt;"","set "&amp;INDEX(CUEs!$A:$A,INT((ROW()-1)/7)*57+MOD(ROW()-1,7)+50)&amp;"=/ s "&amp;INDEX(CUEs!$B:$B,INT((ROW()-1)/7)*57+MOD(ROW()-1,7)+50),"")</f>
        <v/>
      </c>
    </row>
    <row r="4213" spans="1:1" x14ac:dyDescent="0.25">
      <c r="A4213" t="str" cm="1">
        <f t="array" ref="A4213">IF(INDEX(CUEs!$A:$A,INT((ROW()-1)/7)*57+MOD(ROW()-1,7)+50)&lt;&gt;"","set "&amp;INDEX(CUEs!$A:$A,INT((ROW()-1)/7)*57+MOD(ROW()-1,7)+50)&amp;"=/ s "&amp;INDEX(CUEs!$B:$B,INT((ROW()-1)/7)*57+MOD(ROW()-1,7)+50),"")</f>
        <v/>
      </c>
    </row>
    <row r="4214" spans="1:1" x14ac:dyDescent="0.25">
      <c r="A4214" t="str" cm="1">
        <f t="array" ref="A4214">IF(INDEX(CUEs!$A:$A,INT((ROW()-1)/7)*57+MOD(ROW()-1,7)+50)&lt;&gt;"","set "&amp;INDEX(CUEs!$A:$A,INT((ROW()-1)/7)*57+MOD(ROW()-1,7)+50)&amp;"=/ s "&amp;INDEX(CUEs!$B:$B,INT((ROW()-1)/7)*57+MOD(ROW()-1,7)+50),"")</f>
        <v/>
      </c>
    </row>
    <row r="4215" spans="1:1" x14ac:dyDescent="0.25">
      <c r="A4215" t="str" cm="1">
        <f t="array" ref="A4215">IF(INDEX(CUEs!$A:$A,INT((ROW()-1)/7)*57+MOD(ROW()-1,7)+50)&lt;&gt;"","set "&amp;INDEX(CUEs!$A:$A,INT((ROW()-1)/7)*57+MOD(ROW()-1,7)+50)&amp;"=/ s "&amp;INDEX(CUEs!$B:$B,INT((ROW()-1)/7)*57+MOD(ROW()-1,7)+50),"")</f>
        <v/>
      </c>
    </row>
    <row r="4216" spans="1:1" x14ac:dyDescent="0.25">
      <c r="A4216" t="str" cm="1">
        <f t="array" ref="A4216">IF(INDEX(CUEs!$A:$A,INT((ROW()-1)/7)*57+MOD(ROW()-1,7)+50)&lt;&gt;"","set "&amp;INDEX(CUEs!$A:$A,INT((ROW()-1)/7)*57+MOD(ROW()-1,7)+50)&amp;"=/ s "&amp;INDEX(CUEs!$B:$B,INT((ROW()-1)/7)*57+MOD(ROW()-1,7)+50),"")</f>
        <v/>
      </c>
    </row>
    <row r="4217" spans="1:1" x14ac:dyDescent="0.25">
      <c r="A4217" t="str" cm="1">
        <f t="array" ref="A4217">IF(INDEX(CUEs!$A:$A,INT((ROW()-1)/7)*57+MOD(ROW()-1,7)+50)&lt;&gt;"","set "&amp;INDEX(CUEs!$A:$A,INT((ROW()-1)/7)*57+MOD(ROW()-1,7)+50)&amp;"=/ s "&amp;INDEX(CUEs!$B:$B,INT((ROW()-1)/7)*57+MOD(ROW()-1,7)+50),"")</f>
        <v/>
      </c>
    </row>
    <row r="4218" spans="1:1" x14ac:dyDescent="0.25">
      <c r="A4218" t="str" cm="1">
        <f t="array" ref="A4218">IF(INDEX(CUEs!$A:$A,INT((ROW()-1)/7)*57+MOD(ROW()-1,7)+50)&lt;&gt;"","set "&amp;INDEX(CUEs!$A:$A,INT((ROW()-1)/7)*57+MOD(ROW()-1,7)+50)&amp;"=/ s "&amp;INDEX(CUEs!$B:$B,INT((ROW()-1)/7)*57+MOD(ROW()-1,7)+50),"")</f>
        <v/>
      </c>
    </row>
    <row r="4219" spans="1:1" x14ac:dyDescent="0.25">
      <c r="A4219" t="str" cm="1">
        <f t="array" ref="A4219">IF(INDEX(CUEs!$A:$A,INT((ROW()-1)/7)*57+MOD(ROW()-1,7)+50)&lt;&gt;"","set "&amp;INDEX(CUEs!$A:$A,INT((ROW()-1)/7)*57+MOD(ROW()-1,7)+50)&amp;"=/ s "&amp;INDEX(CUEs!$B:$B,INT((ROW()-1)/7)*57+MOD(ROW()-1,7)+50),"")</f>
        <v/>
      </c>
    </row>
    <row r="4220" spans="1:1" x14ac:dyDescent="0.25">
      <c r="A4220" t="str" cm="1">
        <f t="array" ref="A4220">IF(INDEX(CUEs!$A:$A,INT((ROW()-1)/7)*57+MOD(ROW()-1,7)+50)&lt;&gt;"","set "&amp;INDEX(CUEs!$A:$A,INT((ROW()-1)/7)*57+MOD(ROW()-1,7)+50)&amp;"=/ s "&amp;INDEX(CUEs!$B:$B,INT((ROW()-1)/7)*57+MOD(ROW()-1,7)+50),"")</f>
        <v/>
      </c>
    </row>
    <row r="4221" spans="1:1" x14ac:dyDescent="0.25">
      <c r="A4221" t="str" cm="1">
        <f t="array" ref="A4221">IF(INDEX(CUEs!$A:$A,INT((ROW()-1)/7)*57+MOD(ROW()-1,7)+50)&lt;&gt;"","set "&amp;INDEX(CUEs!$A:$A,INT((ROW()-1)/7)*57+MOD(ROW()-1,7)+50)&amp;"=/ s "&amp;INDEX(CUEs!$B:$B,INT((ROW()-1)/7)*57+MOD(ROW()-1,7)+50),"")</f>
        <v/>
      </c>
    </row>
    <row r="4222" spans="1:1" x14ac:dyDescent="0.25">
      <c r="A4222" t="str" cm="1">
        <f t="array" ref="A4222">IF(INDEX(CUEs!$A:$A,INT((ROW()-1)/7)*57+MOD(ROW()-1,7)+50)&lt;&gt;"","set "&amp;INDEX(CUEs!$A:$A,INT((ROW()-1)/7)*57+MOD(ROW()-1,7)+50)&amp;"=/ s "&amp;INDEX(CUEs!$B:$B,INT((ROW()-1)/7)*57+MOD(ROW()-1,7)+50),"")</f>
        <v/>
      </c>
    </row>
    <row r="4223" spans="1:1" x14ac:dyDescent="0.25">
      <c r="A4223" t="str" cm="1">
        <f t="array" ref="A4223">IF(INDEX(CUEs!$A:$A,INT((ROW()-1)/7)*57+MOD(ROW()-1,7)+50)&lt;&gt;"","set "&amp;INDEX(CUEs!$A:$A,INT((ROW()-1)/7)*57+MOD(ROW()-1,7)+50)&amp;"=/ s "&amp;INDEX(CUEs!$B:$B,INT((ROW()-1)/7)*57+MOD(ROW()-1,7)+50),"")</f>
        <v/>
      </c>
    </row>
    <row r="4224" spans="1:1" x14ac:dyDescent="0.25">
      <c r="A4224" t="str" cm="1">
        <f t="array" ref="A4224">IF(INDEX(CUEs!$A:$A,INT((ROW()-1)/7)*57+MOD(ROW()-1,7)+50)&lt;&gt;"","set "&amp;INDEX(CUEs!$A:$A,INT((ROW()-1)/7)*57+MOD(ROW()-1,7)+50)&amp;"=/ s "&amp;INDEX(CUEs!$B:$B,INT((ROW()-1)/7)*57+MOD(ROW()-1,7)+50),"")</f>
        <v/>
      </c>
    </row>
    <row r="4225" spans="1:1" x14ac:dyDescent="0.25">
      <c r="A4225" t="str" cm="1">
        <f t="array" ref="A4225">IF(INDEX(CUEs!$A:$A,INT((ROW()-1)/7)*57+MOD(ROW()-1,7)+50)&lt;&gt;"","set "&amp;INDEX(CUEs!$A:$A,INT((ROW()-1)/7)*57+MOD(ROW()-1,7)+50)&amp;"=/ s "&amp;INDEX(CUEs!$B:$B,INT((ROW()-1)/7)*57+MOD(ROW()-1,7)+50),"")</f>
        <v/>
      </c>
    </row>
    <row r="4226" spans="1:1" x14ac:dyDescent="0.25">
      <c r="A4226" t="str" cm="1">
        <f t="array" ref="A4226">IF(INDEX(CUEs!$A:$A,INT((ROW()-1)/7)*57+MOD(ROW()-1,7)+50)&lt;&gt;"","set "&amp;INDEX(CUEs!$A:$A,INT((ROW()-1)/7)*57+MOD(ROW()-1,7)+50)&amp;"=/ s "&amp;INDEX(CUEs!$B:$B,INT((ROW()-1)/7)*57+MOD(ROW()-1,7)+50),"")</f>
        <v/>
      </c>
    </row>
    <row r="4227" spans="1:1" x14ac:dyDescent="0.25">
      <c r="A4227" t="str" cm="1">
        <f t="array" ref="A4227">IF(INDEX(CUEs!$A:$A,INT((ROW()-1)/7)*57+MOD(ROW()-1,7)+50)&lt;&gt;"","set "&amp;INDEX(CUEs!$A:$A,INT((ROW()-1)/7)*57+MOD(ROW()-1,7)+50)&amp;"=/ s "&amp;INDEX(CUEs!$B:$B,INT((ROW()-1)/7)*57+MOD(ROW()-1,7)+50),"")</f>
        <v/>
      </c>
    </row>
    <row r="4228" spans="1:1" x14ac:dyDescent="0.25">
      <c r="A4228" t="str" cm="1">
        <f t="array" ref="A4228">IF(INDEX(CUEs!$A:$A,INT((ROW()-1)/7)*57+MOD(ROW()-1,7)+50)&lt;&gt;"","set "&amp;INDEX(CUEs!$A:$A,INT((ROW()-1)/7)*57+MOD(ROW()-1,7)+50)&amp;"=/ s "&amp;INDEX(CUEs!$B:$B,INT((ROW()-1)/7)*57+MOD(ROW()-1,7)+50),"")</f>
        <v/>
      </c>
    </row>
    <row r="4229" spans="1:1" x14ac:dyDescent="0.25">
      <c r="A4229" t="str" cm="1">
        <f t="array" ref="A4229">IF(INDEX(CUEs!$A:$A,INT((ROW()-1)/7)*57+MOD(ROW()-1,7)+50)&lt;&gt;"","set "&amp;INDEX(CUEs!$A:$A,INT((ROW()-1)/7)*57+MOD(ROW()-1,7)+50)&amp;"=/ s "&amp;INDEX(CUEs!$B:$B,INT((ROW()-1)/7)*57+MOD(ROW()-1,7)+50),"")</f>
        <v/>
      </c>
    </row>
    <row r="4230" spans="1:1" x14ac:dyDescent="0.25">
      <c r="A4230" t="str" cm="1">
        <f t="array" ref="A4230">IF(INDEX(CUEs!$A:$A,INT((ROW()-1)/7)*57+MOD(ROW()-1,7)+50)&lt;&gt;"","set "&amp;INDEX(CUEs!$A:$A,INT((ROW()-1)/7)*57+MOD(ROW()-1,7)+50)&amp;"=/ s "&amp;INDEX(CUEs!$B:$B,INT((ROW()-1)/7)*57+MOD(ROW()-1,7)+50),"")</f>
        <v/>
      </c>
    </row>
    <row r="4231" spans="1:1" x14ac:dyDescent="0.25">
      <c r="A4231" t="str" cm="1">
        <f t="array" ref="A4231">IF(INDEX(CUEs!$A:$A,INT((ROW()-1)/7)*57+MOD(ROW()-1,7)+50)&lt;&gt;"","set "&amp;INDEX(CUEs!$A:$A,INT((ROW()-1)/7)*57+MOD(ROW()-1,7)+50)&amp;"=/ s "&amp;INDEX(CUEs!$B:$B,INT((ROW()-1)/7)*57+MOD(ROW()-1,7)+50),"")</f>
        <v/>
      </c>
    </row>
    <row r="4232" spans="1:1" x14ac:dyDescent="0.25">
      <c r="A4232" t="str" cm="1">
        <f t="array" ref="A4232">IF(INDEX(CUEs!$A:$A,INT((ROW()-1)/7)*57+MOD(ROW()-1,7)+50)&lt;&gt;"","set "&amp;INDEX(CUEs!$A:$A,INT((ROW()-1)/7)*57+MOD(ROW()-1,7)+50)&amp;"=/ s "&amp;INDEX(CUEs!$B:$B,INT((ROW()-1)/7)*57+MOD(ROW()-1,7)+50),"")</f>
        <v/>
      </c>
    </row>
    <row r="4233" spans="1:1" x14ac:dyDescent="0.25">
      <c r="A4233" t="str" cm="1">
        <f t="array" ref="A4233">IF(INDEX(CUEs!$A:$A,INT((ROW()-1)/7)*57+MOD(ROW()-1,7)+50)&lt;&gt;"","set "&amp;INDEX(CUEs!$A:$A,INT((ROW()-1)/7)*57+MOD(ROW()-1,7)+50)&amp;"=/ s "&amp;INDEX(CUEs!$B:$B,INT((ROW()-1)/7)*57+MOD(ROW()-1,7)+50),"")</f>
        <v/>
      </c>
    </row>
    <row r="4234" spans="1:1" x14ac:dyDescent="0.25">
      <c r="A4234" t="str" cm="1">
        <f t="array" ref="A4234">IF(INDEX(CUEs!$A:$A,INT((ROW()-1)/7)*57+MOD(ROW()-1,7)+50)&lt;&gt;"","set "&amp;INDEX(CUEs!$A:$A,INT((ROW()-1)/7)*57+MOD(ROW()-1,7)+50)&amp;"=/ s "&amp;INDEX(CUEs!$B:$B,INT((ROW()-1)/7)*57+MOD(ROW()-1,7)+50),"")</f>
        <v/>
      </c>
    </row>
    <row r="4235" spans="1:1" x14ac:dyDescent="0.25">
      <c r="A4235" t="str" cm="1">
        <f t="array" ref="A4235">IF(INDEX(CUEs!$A:$A,INT((ROW()-1)/7)*57+MOD(ROW()-1,7)+50)&lt;&gt;"","set "&amp;INDEX(CUEs!$A:$A,INT((ROW()-1)/7)*57+MOD(ROW()-1,7)+50)&amp;"=/ s "&amp;INDEX(CUEs!$B:$B,INT((ROW()-1)/7)*57+MOD(ROW()-1,7)+50),"")</f>
        <v/>
      </c>
    </row>
    <row r="4236" spans="1:1" x14ac:dyDescent="0.25">
      <c r="A4236" t="str" cm="1">
        <f t="array" ref="A4236">IF(INDEX(CUEs!$A:$A,INT((ROW()-1)/7)*57+MOD(ROW()-1,7)+50)&lt;&gt;"","set "&amp;INDEX(CUEs!$A:$A,INT((ROW()-1)/7)*57+MOD(ROW()-1,7)+50)&amp;"=/ s "&amp;INDEX(CUEs!$B:$B,INT((ROW()-1)/7)*57+MOD(ROW()-1,7)+50),"")</f>
        <v/>
      </c>
    </row>
    <row r="4237" spans="1:1" x14ac:dyDescent="0.25">
      <c r="A4237" t="str" cm="1">
        <f t="array" ref="A4237">IF(INDEX(CUEs!$A:$A,INT((ROW()-1)/7)*57+MOD(ROW()-1,7)+50)&lt;&gt;"","set "&amp;INDEX(CUEs!$A:$A,INT((ROW()-1)/7)*57+MOD(ROW()-1,7)+50)&amp;"=/ s "&amp;INDEX(CUEs!$B:$B,INT((ROW()-1)/7)*57+MOD(ROW()-1,7)+50),"")</f>
        <v/>
      </c>
    </row>
    <row r="4238" spans="1:1" x14ac:dyDescent="0.25">
      <c r="A4238" t="str" cm="1">
        <f t="array" ref="A4238">IF(INDEX(CUEs!$A:$A,INT((ROW()-1)/7)*57+MOD(ROW()-1,7)+50)&lt;&gt;"","set "&amp;INDEX(CUEs!$A:$A,INT((ROW()-1)/7)*57+MOD(ROW()-1,7)+50)&amp;"=/ s "&amp;INDEX(CUEs!$B:$B,INT((ROW()-1)/7)*57+MOD(ROW()-1,7)+50),"")</f>
        <v/>
      </c>
    </row>
    <row r="4239" spans="1:1" x14ac:dyDescent="0.25">
      <c r="A4239" t="str" cm="1">
        <f t="array" ref="A4239">IF(INDEX(CUEs!$A:$A,INT((ROW()-1)/7)*57+MOD(ROW()-1,7)+50)&lt;&gt;"","set "&amp;INDEX(CUEs!$A:$A,INT((ROW()-1)/7)*57+MOD(ROW()-1,7)+50)&amp;"=/ s "&amp;INDEX(CUEs!$B:$B,INT((ROW()-1)/7)*57+MOD(ROW()-1,7)+50),"")</f>
        <v/>
      </c>
    </row>
    <row r="4240" spans="1:1" x14ac:dyDescent="0.25">
      <c r="A4240" t="str" cm="1">
        <f t="array" ref="A4240">IF(INDEX(CUEs!$A:$A,INT((ROW()-1)/7)*57+MOD(ROW()-1,7)+50)&lt;&gt;"","set "&amp;INDEX(CUEs!$A:$A,INT((ROW()-1)/7)*57+MOD(ROW()-1,7)+50)&amp;"=/ s "&amp;INDEX(CUEs!$B:$B,INT((ROW()-1)/7)*57+MOD(ROW()-1,7)+50),"")</f>
        <v/>
      </c>
    </row>
    <row r="4241" spans="1:1" x14ac:dyDescent="0.25">
      <c r="A4241" t="str" cm="1">
        <f t="array" ref="A4241">IF(INDEX(CUEs!$A:$A,INT((ROW()-1)/7)*57+MOD(ROW()-1,7)+50)&lt;&gt;"","set "&amp;INDEX(CUEs!$A:$A,INT((ROW()-1)/7)*57+MOD(ROW()-1,7)+50)&amp;"=/ s "&amp;INDEX(CUEs!$B:$B,INT((ROW()-1)/7)*57+MOD(ROW()-1,7)+50),"")</f>
        <v/>
      </c>
    </row>
    <row r="4242" spans="1:1" x14ac:dyDescent="0.25">
      <c r="A4242" t="str" cm="1">
        <f t="array" ref="A4242">IF(INDEX(CUEs!$A:$A,INT((ROW()-1)/7)*57+MOD(ROW()-1,7)+50)&lt;&gt;"","set "&amp;INDEX(CUEs!$A:$A,INT((ROW()-1)/7)*57+MOD(ROW()-1,7)+50)&amp;"=/ s "&amp;INDEX(CUEs!$B:$B,INT((ROW()-1)/7)*57+MOD(ROW()-1,7)+50),"")</f>
        <v/>
      </c>
    </row>
    <row r="4243" spans="1:1" x14ac:dyDescent="0.25">
      <c r="A4243" t="str" cm="1">
        <f t="array" ref="A4243">IF(INDEX(CUEs!$A:$A,INT((ROW()-1)/7)*57+MOD(ROW()-1,7)+50)&lt;&gt;"","set "&amp;INDEX(CUEs!$A:$A,INT((ROW()-1)/7)*57+MOD(ROW()-1,7)+50)&amp;"=/ s "&amp;INDEX(CUEs!$B:$B,INT((ROW()-1)/7)*57+MOD(ROW()-1,7)+50),"")</f>
        <v/>
      </c>
    </row>
    <row r="4244" spans="1:1" x14ac:dyDescent="0.25">
      <c r="A4244" t="str" cm="1">
        <f t="array" ref="A4244">IF(INDEX(CUEs!$A:$A,INT((ROW()-1)/7)*57+MOD(ROW()-1,7)+50)&lt;&gt;"","set "&amp;INDEX(CUEs!$A:$A,INT((ROW()-1)/7)*57+MOD(ROW()-1,7)+50)&amp;"=/ s "&amp;INDEX(CUEs!$B:$B,INT((ROW()-1)/7)*57+MOD(ROW()-1,7)+50),"")</f>
        <v/>
      </c>
    </row>
    <row r="4245" spans="1:1" x14ac:dyDescent="0.25">
      <c r="A4245" t="str" cm="1">
        <f t="array" ref="A4245">IF(INDEX(CUEs!$A:$A,INT((ROW()-1)/7)*57+MOD(ROW()-1,7)+50)&lt;&gt;"","set "&amp;INDEX(CUEs!$A:$A,INT((ROW()-1)/7)*57+MOD(ROW()-1,7)+50)&amp;"=/ s "&amp;INDEX(CUEs!$B:$B,INT((ROW()-1)/7)*57+MOD(ROW()-1,7)+50),"")</f>
        <v/>
      </c>
    </row>
    <row r="4246" spans="1:1" x14ac:dyDescent="0.25">
      <c r="A4246" t="str" cm="1">
        <f t="array" ref="A4246">IF(INDEX(CUEs!$A:$A,INT((ROW()-1)/7)*57+MOD(ROW()-1,7)+50)&lt;&gt;"","set "&amp;INDEX(CUEs!$A:$A,INT((ROW()-1)/7)*57+MOD(ROW()-1,7)+50)&amp;"=/ s "&amp;INDEX(CUEs!$B:$B,INT((ROW()-1)/7)*57+MOD(ROW()-1,7)+50),"")</f>
        <v/>
      </c>
    </row>
    <row r="4247" spans="1:1" x14ac:dyDescent="0.25">
      <c r="A4247" t="str" cm="1">
        <f t="array" ref="A4247">IF(INDEX(CUEs!$A:$A,INT((ROW()-1)/7)*57+MOD(ROW()-1,7)+50)&lt;&gt;"","set "&amp;INDEX(CUEs!$A:$A,INT((ROW()-1)/7)*57+MOD(ROW()-1,7)+50)&amp;"=/ s "&amp;INDEX(CUEs!$B:$B,INT((ROW()-1)/7)*57+MOD(ROW()-1,7)+50),"")</f>
        <v/>
      </c>
    </row>
    <row r="4248" spans="1:1" x14ac:dyDescent="0.25">
      <c r="A4248" t="str" cm="1">
        <f t="array" ref="A4248">IF(INDEX(CUEs!$A:$A,INT((ROW()-1)/7)*57+MOD(ROW()-1,7)+50)&lt;&gt;"","set "&amp;INDEX(CUEs!$A:$A,INT((ROW()-1)/7)*57+MOD(ROW()-1,7)+50)&amp;"=/ s "&amp;INDEX(CUEs!$B:$B,INT((ROW()-1)/7)*57+MOD(ROW()-1,7)+50),"")</f>
        <v/>
      </c>
    </row>
    <row r="4249" spans="1:1" x14ac:dyDescent="0.25">
      <c r="A4249" t="str" cm="1">
        <f t="array" ref="A4249">IF(INDEX(CUEs!$A:$A,INT((ROW()-1)/7)*57+MOD(ROW()-1,7)+50)&lt;&gt;"","set "&amp;INDEX(CUEs!$A:$A,INT((ROW()-1)/7)*57+MOD(ROW()-1,7)+50)&amp;"=/ s "&amp;INDEX(CUEs!$B:$B,INT((ROW()-1)/7)*57+MOD(ROW()-1,7)+50),"")</f>
        <v/>
      </c>
    </row>
    <row r="4250" spans="1:1" x14ac:dyDescent="0.25">
      <c r="A4250" t="str" cm="1">
        <f t="array" ref="A4250">IF(INDEX(CUEs!$A:$A,INT((ROW()-1)/7)*57+MOD(ROW()-1,7)+50)&lt;&gt;"","set "&amp;INDEX(CUEs!$A:$A,INT((ROW()-1)/7)*57+MOD(ROW()-1,7)+50)&amp;"=/ s "&amp;INDEX(CUEs!$B:$B,INT((ROW()-1)/7)*57+MOD(ROW()-1,7)+50),"")</f>
        <v/>
      </c>
    </row>
    <row r="4251" spans="1:1" x14ac:dyDescent="0.25">
      <c r="A4251" t="str" cm="1">
        <f t="array" ref="A4251">IF(INDEX(CUEs!$A:$A,INT((ROW()-1)/7)*57+MOD(ROW()-1,7)+50)&lt;&gt;"","set "&amp;INDEX(CUEs!$A:$A,INT((ROW()-1)/7)*57+MOD(ROW()-1,7)+50)&amp;"=/ s "&amp;INDEX(CUEs!$B:$B,INT((ROW()-1)/7)*57+MOD(ROW()-1,7)+50),"")</f>
        <v/>
      </c>
    </row>
    <row r="4252" spans="1:1" x14ac:dyDescent="0.25">
      <c r="A4252" t="str" cm="1">
        <f t="array" ref="A4252">IF(INDEX(CUEs!$A:$A,INT((ROW()-1)/7)*57+MOD(ROW()-1,7)+50)&lt;&gt;"","set "&amp;INDEX(CUEs!$A:$A,INT((ROW()-1)/7)*57+MOD(ROW()-1,7)+50)&amp;"=/ s "&amp;INDEX(CUEs!$B:$B,INT((ROW()-1)/7)*57+MOD(ROW()-1,7)+50),"")</f>
        <v/>
      </c>
    </row>
    <row r="4253" spans="1:1" x14ac:dyDescent="0.25">
      <c r="A4253" t="str" cm="1">
        <f t="array" ref="A4253">IF(INDEX(CUEs!$A:$A,INT((ROW()-1)/7)*57+MOD(ROW()-1,7)+50)&lt;&gt;"","set "&amp;INDEX(CUEs!$A:$A,INT((ROW()-1)/7)*57+MOD(ROW()-1,7)+50)&amp;"=/ s "&amp;INDEX(CUEs!$B:$B,INT((ROW()-1)/7)*57+MOD(ROW()-1,7)+50),"")</f>
        <v/>
      </c>
    </row>
    <row r="4254" spans="1:1" x14ac:dyDescent="0.25">
      <c r="A4254" t="str" cm="1">
        <f t="array" ref="A4254">IF(INDEX(CUEs!$A:$A,INT((ROW()-1)/7)*57+MOD(ROW()-1,7)+50)&lt;&gt;"","set "&amp;INDEX(CUEs!$A:$A,INT((ROW()-1)/7)*57+MOD(ROW()-1,7)+50)&amp;"=/ s "&amp;INDEX(CUEs!$B:$B,INT((ROW()-1)/7)*57+MOD(ROW()-1,7)+50),"")</f>
        <v/>
      </c>
    </row>
    <row r="4255" spans="1:1" x14ac:dyDescent="0.25">
      <c r="A4255" t="str" cm="1">
        <f t="array" ref="A4255">IF(INDEX(CUEs!$A:$A,INT((ROW()-1)/7)*57+MOD(ROW()-1,7)+50)&lt;&gt;"","set "&amp;INDEX(CUEs!$A:$A,INT((ROW()-1)/7)*57+MOD(ROW()-1,7)+50)&amp;"=/ s "&amp;INDEX(CUEs!$B:$B,INT((ROW()-1)/7)*57+MOD(ROW()-1,7)+50),"")</f>
        <v/>
      </c>
    </row>
    <row r="4256" spans="1:1" x14ac:dyDescent="0.25">
      <c r="A4256" t="str" cm="1">
        <f t="array" ref="A4256">IF(INDEX(CUEs!$A:$A,INT((ROW()-1)/7)*57+MOD(ROW()-1,7)+50)&lt;&gt;"","set "&amp;INDEX(CUEs!$A:$A,INT((ROW()-1)/7)*57+MOD(ROW()-1,7)+50)&amp;"=/ s "&amp;INDEX(CUEs!$B:$B,INT((ROW()-1)/7)*57+MOD(ROW()-1,7)+50),"")</f>
        <v/>
      </c>
    </row>
    <row r="4257" spans="1:1" x14ac:dyDescent="0.25">
      <c r="A4257" t="str" cm="1">
        <f t="array" ref="A4257">IF(INDEX(CUEs!$A:$A,INT((ROW()-1)/7)*57+MOD(ROW()-1,7)+50)&lt;&gt;"","set "&amp;INDEX(CUEs!$A:$A,INT((ROW()-1)/7)*57+MOD(ROW()-1,7)+50)&amp;"=/ s "&amp;INDEX(CUEs!$B:$B,INT((ROW()-1)/7)*57+MOD(ROW()-1,7)+50),"")</f>
        <v/>
      </c>
    </row>
    <row r="4258" spans="1:1" x14ac:dyDescent="0.25">
      <c r="A4258" t="str" cm="1">
        <f t="array" ref="A4258">IF(INDEX(CUEs!$A:$A,INT((ROW()-1)/7)*57+MOD(ROW()-1,7)+50)&lt;&gt;"","set "&amp;INDEX(CUEs!$A:$A,INT((ROW()-1)/7)*57+MOD(ROW()-1,7)+50)&amp;"=/ s "&amp;INDEX(CUEs!$B:$B,INT((ROW()-1)/7)*57+MOD(ROW()-1,7)+50),"")</f>
        <v/>
      </c>
    </row>
    <row r="4259" spans="1:1" x14ac:dyDescent="0.25">
      <c r="A4259" t="str" cm="1">
        <f t="array" ref="A4259">IF(INDEX(CUEs!$A:$A,INT((ROW()-1)/7)*57+MOD(ROW()-1,7)+50)&lt;&gt;"","set "&amp;INDEX(CUEs!$A:$A,INT((ROW()-1)/7)*57+MOD(ROW()-1,7)+50)&amp;"=/ s "&amp;INDEX(CUEs!$B:$B,INT((ROW()-1)/7)*57+MOD(ROW()-1,7)+50),"")</f>
        <v/>
      </c>
    </row>
    <row r="4260" spans="1:1" x14ac:dyDescent="0.25">
      <c r="A4260" t="str" cm="1">
        <f t="array" ref="A4260">IF(INDEX(CUEs!$A:$A,INT((ROW()-1)/7)*57+MOD(ROW()-1,7)+50)&lt;&gt;"","set "&amp;INDEX(CUEs!$A:$A,INT((ROW()-1)/7)*57+MOD(ROW()-1,7)+50)&amp;"=/ s "&amp;INDEX(CUEs!$B:$B,INT((ROW()-1)/7)*57+MOD(ROW()-1,7)+50),"")</f>
        <v/>
      </c>
    </row>
    <row r="4261" spans="1:1" x14ac:dyDescent="0.25">
      <c r="A4261" t="str" cm="1">
        <f t="array" ref="A4261">IF(INDEX(CUEs!$A:$A,INT((ROW()-1)/7)*57+MOD(ROW()-1,7)+50)&lt;&gt;"","set "&amp;INDEX(CUEs!$A:$A,INT((ROW()-1)/7)*57+MOD(ROW()-1,7)+50)&amp;"=/ s "&amp;INDEX(CUEs!$B:$B,INT((ROW()-1)/7)*57+MOD(ROW()-1,7)+50),"")</f>
        <v/>
      </c>
    </row>
    <row r="4262" spans="1:1" x14ac:dyDescent="0.25">
      <c r="A4262" t="str" cm="1">
        <f t="array" ref="A4262">IF(INDEX(CUEs!$A:$A,INT((ROW()-1)/7)*57+MOD(ROW()-1,7)+50)&lt;&gt;"","set "&amp;INDEX(CUEs!$A:$A,INT((ROW()-1)/7)*57+MOD(ROW()-1,7)+50)&amp;"=/ s "&amp;INDEX(CUEs!$B:$B,INT((ROW()-1)/7)*57+MOD(ROW()-1,7)+50),"")</f>
        <v/>
      </c>
    </row>
    <row r="4263" spans="1:1" x14ac:dyDescent="0.25">
      <c r="A4263" t="str" cm="1">
        <f t="array" ref="A4263">IF(INDEX(CUEs!$A:$A,INT((ROW()-1)/7)*57+MOD(ROW()-1,7)+50)&lt;&gt;"","set "&amp;INDEX(CUEs!$A:$A,INT((ROW()-1)/7)*57+MOD(ROW()-1,7)+50)&amp;"=/ s "&amp;INDEX(CUEs!$B:$B,INT((ROW()-1)/7)*57+MOD(ROW()-1,7)+50),"")</f>
        <v/>
      </c>
    </row>
    <row r="4264" spans="1:1" x14ac:dyDescent="0.25">
      <c r="A4264" t="str" cm="1">
        <f t="array" ref="A4264">IF(INDEX(CUEs!$A:$A,INT((ROW()-1)/7)*57+MOD(ROW()-1,7)+50)&lt;&gt;"","set "&amp;INDEX(CUEs!$A:$A,INT((ROW()-1)/7)*57+MOD(ROW()-1,7)+50)&amp;"=/ s "&amp;INDEX(CUEs!$B:$B,INT((ROW()-1)/7)*57+MOD(ROW()-1,7)+50),"")</f>
        <v/>
      </c>
    </row>
    <row r="4265" spans="1:1" x14ac:dyDescent="0.25">
      <c r="A4265" t="str" cm="1">
        <f t="array" ref="A4265">IF(INDEX(CUEs!$A:$A,INT((ROW()-1)/7)*57+MOD(ROW()-1,7)+50)&lt;&gt;"","set "&amp;INDEX(CUEs!$A:$A,INT((ROW()-1)/7)*57+MOD(ROW()-1,7)+50)&amp;"=/ s "&amp;INDEX(CUEs!$B:$B,INT((ROW()-1)/7)*57+MOD(ROW()-1,7)+50),"")</f>
        <v/>
      </c>
    </row>
    <row r="4266" spans="1:1" x14ac:dyDescent="0.25">
      <c r="A4266" t="str" cm="1">
        <f t="array" ref="A4266">IF(INDEX(CUEs!$A:$A,INT((ROW()-1)/7)*57+MOD(ROW()-1,7)+50)&lt;&gt;"","set "&amp;INDEX(CUEs!$A:$A,INT((ROW()-1)/7)*57+MOD(ROW()-1,7)+50)&amp;"=/ s "&amp;INDEX(CUEs!$B:$B,INT((ROW()-1)/7)*57+MOD(ROW()-1,7)+50),"")</f>
        <v/>
      </c>
    </row>
    <row r="4267" spans="1:1" x14ac:dyDescent="0.25">
      <c r="A4267" t="str" cm="1">
        <f t="array" ref="A4267">IF(INDEX(CUEs!$A:$A,INT((ROW()-1)/7)*57+MOD(ROW()-1,7)+50)&lt;&gt;"","set "&amp;INDEX(CUEs!$A:$A,INT((ROW()-1)/7)*57+MOD(ROW()-1,7)+50)&amp;"=/ s "&amp;INDEX(CUEs!$B:$B,INT((ROW()-1)/7)*57+MOD(ROW()-1,7)+50),"")</f>
        <v/>
      </c>
    </row>
    <row r="4268" spans="1:1" x14ac:dyDescent="0.25">
      <c r="A4268" t="str" cm="1">
        <f t="array" ref="A4268">IF(INDEX(CUEs!$A:$A,INT((ROW()-1)/7)*57+MOD(ROW()-1,7)+50)&lt;&gt;"","set "&amp;INDEX(CUEs!$A:$A,INT((ROW()-1)/7)*57+MOD(ROW()-1,7)+50)&amp;"=/ s "&amp;INDEX(CUEs!$B:$B,INT((ROW()-1)/7)*57+MOD(ROW()-1,7)+50),"")</f>
        <v/>
      </c>
    </row>
    <row r="4269" spans="1:1" x14ac:dyDescent="0.25">
      <c r="A4269" t="str" cm="1">
        <f t="array" ref="A4269">IF(INDEX(CUEs!$A:$A,INT((ROW()-1)/7)*57+MOD(ROW()-1,7)+50)&lt;&gt;"","set "&amp;INDEX(CUEs!$A:$A,INT((ROW()-1)/7)*57+MOD(ROW()-1,7)+50)&amp;"=/ s "&amp;INDEX(CUEs!$B:$B,INT((ROW()-1)/7)*57+MOD(ROW()-1,7)+50),"")</f>
        <v/>
      </c>
    </row>
    <row r="4270" spans="1:1" x14ac:dyDescent="0.25">
      <c r="A4270" t="str" cm="1">
        <f t="array" ref="A4270">IF(INDEX(CUEs!$A:$A,INT((ROW()-1)/7)*57+MOD(ROW()-1,7)+50)&lt;&gt;"","set "&amp;INDEX(CUEs!$A:$A,INT((ROW()-1)/7)*57+MOD(ROW()-1,7)+50)&amp;"=/ s "&amp;INDEX(CUEs!$B:$B,INT((ROW()-1)/7)*57+MOD(ROW()-1,7)+50),"")</f>
        <v/>
      </c>
    </row>
    <row r="4271" spans="1:1" x14ac:dyDescent="0.25">
      <c r="A4271" t="str" cm="1">
        <f t="array" ref="A4271">IF(INDEX(CUEs!$A:$A,INT((ROW()-1)/7)*57+MOD(ROW()-1,7)+50)&lt;&gt;"","set "&amp;INDEX(CUEs!$A:$A,INT((ROW()-1)/7)*57+MOD(ROW()-1,7)+50)&amp;"=/ s "&amp;INDEX(CUEs!$B:$B,INT((ROW()-1)/7)*57+MOD(ROW()-1,7)+50),"")</f>
        <v/>
      </c>
    </row>
    <row r="4272" spans="1:1" x14ac:dyDescent="0.25">
      <c r="A4272" t="str" cm="1">
        <f t="array" ref="A4272">IF(INDEX(CUEs!$A:$A,INT((ROW()-1)/7)*57+MOD(ROW()-1,7)+50)&lt;&gt;"","set "&amp;INDEX(CUEs!$A:$A,INT((ROW()-1)/7)*57+MOD(ROW()-1,7)+50)&amp;"=/ s "&amp;INDEX(CUEs!$B:$B,INT((ROW()-1)/7)*57+MOD(ROW()-1,7)+50),"")</f>
        <v/>
      </c>
    </row>
    <row r="4273" spans="1:1" x14ac:dyDescent="0.25">
      <c r="A4273" t="str" cm="1">
        <f t="array" ref="A4273">IF(INDEX(CUEs!$A:$A,INT((ROW()-1)/7)*57+MOD(ROW()-1,7)+50)&lt;&gt;"","set "&amp;INDEX(CUEs!$A:$A,INT((ROW()-1)/7)*57+MOD(ROW()-1,7)+50)&amp;"=/ s "&amp;INDEX(CUEs!$B:$B,INT((ROW()-1)/7)*57+MOD(ROW()-1,7)+50),"")</f>
        <v/>
      </c>
    </row>
    <row r="4274" spans="1:1" x14ac:dyDescent="0.25">
      <c r="A4274" t="str" cm="1">
        <f t="array" ref="A4274">IF(INDEX(CUEs!$A:$A,INT((ROW()-1)/7)*57+MOD(ROW()-1,7)+50)&lt;&gt;"","set "&amp;INDEX(CUEs!$A:$A,INT((ROW()-1)/7)*57+MOD(ROW()-1,7)+50)&amp;"=/ s "&amp;INDEX(CUEs!$B:$B,INT((ROW()-1)/7)*57+MOD(ROW()-1,7)+50),"")</f>
        <v/>
      </c>
    </row>
    <row r="4275" spans="1:1" x14ac:dyDescent="0.25">
      <c r="A4275" t="str" cm="1">
        <f t="array" ref="A4275">IF(INDEX(CUEs!$A:$A,INT((ROW()-1)/7)*57+MOD(ROW()-1,7)+50)&lt;&gt;"","set "&amp;INDEX(CUEs!$A:$A,INT((ROW()-1)/7)*57+MOD(ROW()-1,7)+50)&amp;"=/ s "&amp;INDEX(CUEs!$B:$B,INT((ROW()-1)/7)*57+MOD(ROW()-1,7)+50),"")</f>
        <v/>
      </c>
    </row>
    <row r="4276" spans="1:1" x14ac:dyDescent="0.25">
      <c r="A4276" t="str" cm="1">
        <f t="array" ref="A4276">IF(INDEX(CUEs!$A:$A,INT((ROW()-1)/7)*57+MOD(ROW()-1,7)+50)&lt;&gt;"","set "&amp;INDEX(CUEs!$A:$A,INT((ROW()-1)/7)*57+MOD(ROW()-1,7)+50)&amp;"=/ s "&amp;INDEX(CUEs!$B:$B,INT((ROW()-1)/7)*57+MOD(ROW()-1,7)+50),"")</f>
        <v/>
      </c>
    </row>
    <row r="4277" spans="1:1" x14ac:dyDescent="0.25">
      <c r="A4277" t="str" cm="1">
        <f t="array" ref="A4277">IF(INDEX(CUEs!$A:$A,INT((ROW()-1)/7)*57+MOD(ROW()-1,7)+50)&lt;&gt;"","set "&amp;INDEX(CUEs!$A:$A,INT((ROW()-1)/7)*57+MOD(ROW()-1,7)+50)&amp;"=/ s "&amp;INDEX(CUEs!$B:$B,INT((ROW()-1)/7)*57+MOD(ROW()-1,7)+50),"")</f>
        <v/>
      </c>
    </row>
    <row r="4278" spans="1:1" x14ac:dyDescent="0.25">
      <c r="A4278" t="str" cm="1">
        <f t="array" ref="A4278">IF(INDEX(CUEs!$A:$A,INT((ROW()-1)/7)*57+MOD(ROW()-1,7)+50)&lt;&gt;"","set "&amp;INDEX(CUEs!$A:$A,INT((ROW()-1)/7)*57+MOD(ROW()-1,7)+50)&amp;"=/ s "&amp;INDEX(CUEs!$B:$B,INT((ROW()-1)/7)*57+MOD(ROW()-1,7)+50),"")</f>
        <v/>
      </c>
    </row>
    <row r="4279" spans="1:1" x14ac:dyDescent="0.25">
      <c r="A4279" t="str" cm="1">
        <f t="array" ref="A4279">IF(INDEX(CUEs!$A:$A,INT((ROW()-1)/7)*57+MOD(ROW()-1,7)+50)&lt;&gt;"","set "&amp;INDEX(CUEs!$A:$A,INT((ROW()-1)/7)*57+MOD(ROW()-1,7)+50)&amp;"=/ s "&amp;INDEX(CUEs!$B:$B,INT((ROW()-1)/7)*57+MOD(ROW()-1,7)+50),"")</f>
        <v/>
      </c>
    </row>
    <row r="4280" spans="1:1" x14ac:dyDescent="0.25">
      <c r="A4280" t="str" cm="1">
        <f t="array" ref="A4280">IF(INDEX(CUEs!$A:$A,INT((ROW()-1)/7)*57+MOD(ROW()-1,7)+50)&lt;&gt;"","set "&amp;INDEX(CUEs!$A:$A,INT((ROW()-1)/7)*57+MOD(ROW()-1,7)+50)&amp;"=/ s "&amp;INDEX(CUEs!$B:$B,INT((ROW()-1)/7)*57+MOD(ROW()-1,7)+50),"")</f>
        <v/>
      </c>
    </row>
    <row r="4281" spans="1:1" x14ac:dyDescent="0.25">
      <c r="A4281" t="str" cm="1">
        <f t="array" ref="A4281">IF(INDEX(CUEs!$A:$A,INT((ROW()-1)/7)*57+MOD(ROW()-1,7)+50)&lt;&gt;"","set "&amp;INDEX(CUEs!$A:$A,INT((ROW()-1)/7)*57+MOD(ROW()-1,7)+50)&amp;"=/ s "&amp;INDEX(CUEs!$B:$B,INT((ROW()-1)/7)*57+MOD(ROW()-1,7)+50),"")</f>
        <v/>
      </c>
    </row>
    <row r="4282" spans="1:1" x14ac:dyDescent="0.25">
      <c r="A4282" t="str" cm="1">
        <f t="array" ref="A4282">IF(INDEX(CUEs!$A:$A,INT((ROW()-1)/7)*57+MOD(ROW()-1,7)+50)&lt;&gt;"","set "&amp;INDEX(CUEs!$A:$A,INT((ROW()-1)/7)*57+MOD(ROW()-1,7)+50)&amp;"=/ s "&amp;INDEX(CUEs!$B:$B,INT((ROW()-1)/7)*57+MOD(ROW()-1,7)+50),"")</f>
        <v/>
      </c>
    </row>
    <row r="4283" spans="1:1" x14ac:dyDescent="0.25">
      <c r="A4283" t="str" cm="1">
        <f t="array" ref="A4283">IF(INDEX(CUEs!$A:$A,INT((ROW()-1)/7)*57+MOD(ROW()-1,7)+50)&lt;&gt;"","set "&amp;INDEX(CUEs!$A:$A,INT((ROW()-1)/7)*57+MOD(ROW()-1,7)+50)&amp;"=/ s "&amp;INDEX(CUEs!$B:$B,INT((ROW()-1)/7)*57+MOD(ROW()-1,7)+50),"")</f>
        <v/>
      </c>
    </row>
    <row r="4284" spans="1:1" x14ac:dyDescent="0.25">
      <c r="A4284" t="str" cm="1">
        <f t="array" ref="A4284">IF(INDEX(CUEs!$A:$A,INT((ROW()-1)/7)*57+MOD(ROW()-1,7)+50)&lt;&gt;"","set "&amp;INDEX(CUEs!$A:$A,INT((ROW()-1)/7)*57+MOD(ROW()-1,7)+50)&amp;"=/ s "&amp;INDEX(CUEs!$B:$B,INT((ROW()-1)/7)*57+MOD(ROW()-1,7)+50),"")</f>
        <v/>
      </c>
    </row>
    <row r="4285" spans="1:1" x14ac:dyDescent="0.25">
      <c r="A4285" t="str" cm="1">
        <f t="array" ref="A4285">IF(INDEX(CUEs!$A:$A,INT((ROW()-1)/7)*57+MOD(ROW()-1,7)+50)&lt;&gt;"","set "&amp;INDEX(CUEs!$A:$A,INT((ROW()-1)/7)*57+MOD(ROW()-1,7)+50)&amp;"=/ s "&amp;INDEX(CUEs!$B:$B,INT((ROW()-1)/7)*57+MOD(ROW()-1,7)+50),"")</f>
        <v/>
      </c>
    </row>
    <row r="4286" spans="1:1" x14ac:dyDescent="0.25">
      <c r="A4286" t="str" cm="1">
        <f t="array" ref="A4286">IF(INDEX(CUEs!$A:$A,INT((ROW()-1)/7)*57+MOD(ROW()-1,7)+50)&lt;&gt;"","set "&amp;INDEX(CUEs!$A:$A,INT((ROW()-1)/7)*57+MOD(ROW()-1,7)+50)&amp;"=/ s "&amp;INDEX(CUEs!$B:$B,INT((ROW()-1)/7)*57+MOD(ROW()-1,7)+50),"")</f>
        <v/>
      </c>
    </row>
    <row r="4287" spans="1:1" x14ac:dyDescent="0.25">
      <c r="A4287" t="str" cm="1">
        <f t="array" ref="A4287">IF(INDEX(CUEs!$A:$A,INT((ROW()-1)/7)*57+MOD(ROW()-1,7)+50)&lt;&gt;"","set "&amp;INDEX(CUEs!$A:$A,INT((ROW()-1)/7)*57+MOD(ROW()-1,7)+50)&amp;"=/ s "&amp;INDEX(CUEs!$B:$B,INT((ROW()-1)/7)*57+MOD(ROW()-1,7)+50),"")</f>
        <v/>
      </c>
    </row>
    <row r="4288" spans="1:1" x14ac:dyDescent="0.25">
      <c r="A4288" t="str" cm="1">
        <f t="array" ref="A4288">IF(INDEX(CUEs!$A:$A,INT((ROW()-1)/7)*57+MOD(ROW()-1,7)+50)&lt;&gt;"","set "&amp;INDEX(CUEs!$A:$A,INT((ROW()-1)/7)*57+MOD(ROW()-1,7)+50)&amp;"=/ s "&amp;INDEX(CUEs!$B:$B,INT((ROW()-1)/7)*57+MOD(ROW()-1,7)+50),"")</f>
        <v/>
      </c>
    </row>
    <row r="4289" spans="1:1" x14ac:dyDescent="0.25">
      <c r="A4289" t="str" cm="1">
        <f t="array" ref="A4289">IF(INDEX(CUEs!$A:$A,INT((ROW()-1)/7)*57+MOD(ROW()-1,7)+50)&lt;&gt;"","set "&amp;INDEX(CUEs!$A:$A,INT((ROW()-1)/7)*57+MOD(ROW()-1,7)+50)&amp;"=/ s "&amp;INDEX(CUEs!$B:$B,INT((ROW()-1)/7)*57+MOD(ROW()-1,7)+50),"")</f>
        <v/>
      </c>
    </row>
    <row r="4290" spans="1:1" x14ac:dyDescent="0.25">
      <c r="A4290" t="str" cm="1">
        <f t="array" ref="A4290">IF(INDEX(CUEs!$A:$A,INT((ROW()-1)/7)*57+MOD(ROW()-1,7)+50)&lt;&gt;"","set "&amp;INDEX(CUEs!$A:$A,INT((ROW()-1)/7)*57+MOD(ROW()-1,7)+50)&amp;"=/ s "&amp;INDEX(CUEs!$B:$B,INT((ROW()-1)/7)*57+MOD(ROW()-1,7)+50),"")</f>
        <v/>
      </c>
    </row>
    <row r="4291" spans="1:1" x14ac:dyDescent="0.25">
      <c r="A4291" t="str" cm="1">
        <f t="array" ref="A4291">IF(INDEX(CUEs!$A:$A,INT((ROW()-1)/7)*57+MOD(ROW()-1,7)+50)&lt;&gt;"","set "&amp;INDEX(CUEs!$A:$A,INT((ROW()-1)/7)*57+MOD(ROW()-1,7)+50)&amp;"=/ s "&amp;INDEX(CUEs!$B:$B,INT((ROW()-1)/7)*57+MOD(ROW()-1,7)+50),"")</f>
        <v/>
      </c>
    </row>
    <row r="4292" spans="1:1" x14ac:dyDescent="0.25">
      <c r="A4292" t="str" cm="1">
        <f t="array" ref="A4292">IF(INDEX(CUEs!$A:$A,INT((ROW()-1)/7)*57+MOD(ROW()-1,7)+50)&lt;&gt;"","set "&amp;INDEX(CUEs!$A:$A,INT((ROW()-1)/7)*57+MOD(ROW()-1,7)+50)&amp;"=/ s "&amp;INDEX(CUEs!$B:$B,INT((ROW()-1)/7)*57+MOD(ROW()-1,7)+50),"")</f>
        <v/>
      </c>
    </row>
    <row r="4293" spans="1:1" x14ac:dyDescent="0.25">
      <c r="A4293" t="str" cm="1">
        <f t="array" ref="A4293">IF(INDEX(CUEs!$A:$A,INT((ROW()-1)/7)*57+MOD(ROW()-1,7)+50)&lt;&gt;"","set "&amp;INDEX(CUEs!$A:$A,INT((ROW()-1)/7)*57+MOD(ROW()-1,7)+50)&amp;"=/ s "&amp;INDEX(CUEs!$B:$B,INT((ROW()-1)/7)*57+MOD(ROW()-1,7)+50),"")</f>
        <v/>
      </c>
    </row>
    <row r="4294" spans="1:1" x14ac:dyDescent="0.25">
      <c r="A4294" t="str" cm="1">
        <f t="array" ref="A4294">IF(INDEX(CUEs!$A:$A,INT((ROW()-1)/7)*57+MOD(ROW()-1,7)+50)&lt;&gt;"","set "&amp;INDEX(CUEs!$A:$A,INT((ROW()-1)/7)*57+MOD(ROW()-1,7)+50)&amp;"=/ s "&amp;INDEX(CUEs!$B:$B,INT((ROW()-1)/7)*57+MOD(ROW()-1,7)+50),"")</f>
        <v/>
      </c>
    </row>
    <row r="4295" spans="1:1" x14ac:dyDescent="0.25">
      <c r="A4295" t="str" cm="1">
        <f t="array" ref="A4295">IF(INDEX(CUEs!$A:$A,INT((ROW()-1)/7)*57+MOD(ROW()-1,7)+50)&lt;&gt;"","set "&amp;INDEX(CUEs!$A:$A,INT((ROW()-1)/7)*57+MOD(ROW()-1,7)+50)&amp;"=/ s "&amp;INDEX(CUEs!$B:$B,INT((ROW()-1)/7)*57+MOD(ROW()-1,7)+50),"")</f>
        <v/>
      </c>
    </row>
    <row r="4296" spans="1:1" x14ac:dyDescent="0.25">
      <c r="A4296" t="str" cm="1">
        <f t="array" ref="A4296">IF(INDEX(CUEs!$A:$A,INT((ROW()-1)/7)*57+MOD(ROW()-1,7)+50)&lt;&gt;"","set "&amp;INDEX(CUEs!$A:$A,INT((ROW()-1)/7)*57+MOD(ROW()-1,7)+50)&amp;"=/ s "&amp;INDEX(CUEs!$B:$B,INT((ROW()-1)/7)*57+MOD(ROW()-1,7)+50),"")</f>
        <v/>
      </c>
    </row>
    <row r="4297" spans="1:1" x14ac:dyDescent="0.25">
      <c r="A4297" t="str" cm="1">
        <f t="array" ref="A4297">IF(INDEX(CUEs!$A:$A,INT((ROW()-1)/7)*57+MOD(ROW()-1,7)+50)&lt;&gt;"","set "&amp;INDEX(CUEs!$A:$A,INT((ROW()-1)/7)*57+MOD(ROW()-1,7)+50)&amp;"=/ s "&amp;INDEX(CUEs!$B:$B,INT((ROW()-1)/7)*57+MOD(ROW()-1,7)+50),"")</f>
        <v/>
      </c>
    </row>
    <row r="4298" spans="1:1" x14ac:dyDescent="0.25">
      <c r="A4298" t="str" cm="1">
        <f t="array" ref="A4298">IF(INDEX(CUEs!$A:$A,INT((ROW()-1)/7)*57+MOD(ROW()-1,7)+50)&lt;&gt;"","set "&amp;INDEX(CUEs!$A:$A,INT((ROW()-1)/7)*57+MOD(ROW()-1,7)+50)&amp;"=/ s "&amp;INDEX(CUEs!$B:$B,INT((ROW()-1)/7)*57+MOD(ROW()-1,7)+50),"")</f>
        <v/>
      </c>
    </row>
    <row r="4299" spans="1:1" x14ac:dyDescent="0.25">
      <c r="A4299" t="str" cm="1">
        <f t="array" ref="A4299">IF(INDEX(CUEs!$A:$A,INT((ROW()-1)/7)*57+MOD(ROW()-1,7)+50)&lt;&gt;"","set "&amp;INDEX(CUEs!$A:$A,INT((ROW()-1)/7)*57+MOD(ROW()-1,7)+50)&amp;"=/ s "&amp;INDEX(CUEs!$B:$B,INT((ROW()-1)/7)*57+MOD(ROW()-1,7)+50),"")</f>
        <v/>
      </c>
    </row>
    <row r="4300" spans="1:1" x14ac:dyDescent="0.25">
      <c r="A4300" t="str" cm="1">
        <f t="array" ref="A4300">IF(INDEX(CUEs!$A:$A,INT((ROW()-1)/7)*57+MOD(ROW()-1,7)+50)&lt;&gt;"","set "&amp;INDEX(CUEs!$A:$A,INT((ROW()-1)/7)*57+MOD(ROW()-1,7)+50)&amp;"=/ s "&amp;INDEX(CUEs!$B:$B,INT((ROW()-1)/7)*57+MOD(ROW()-1,7)+50),"")</f>
        <v/>
      </c>
    </row>
    <row r="4301" spans="1:1" x14ac:dyDescent="0.25">
      <c r="A4301" t="str" cm="1">
        <f t="array" ref="A4301">IF(INDEX(CUEs!$A:$A,INT((ROW()-1)/7)*57+MOD(ROW()-1,7)+50)&lt;&gt;"","set "&amp;INDEX(CUEs!$A:$A,INT((ROW()-1)/7)*57+MOD(ROW()-1,7)+50)&amp;"=/ s "&amp;INDEX(CUEs!$B:$B,INT((ROW()-1)/7)*57+MOD(ROW()-1,7)+50),"")</f>
        <v/>
      </c>
    </row>
    <row r="4302" spans="1:1" x14ac:dyDescent="0.25">
      <c r="A4302" t="str" cm="1">
        <f t="array" ref="A4302">IF(INDEX(CUEs!$A:$A,INT((ROW()-1)/7)*57+MOD(ROW()-1,7)+50)&lt;&gt;"","set "&amp;INDEX(CUEs!$A:$A,INT((ROW()-1)/7)*57+MOD(ROW()-1,7)+50)&amp;"=/ s "&amp;INDEX(CUEs!$B:$B,INT((ROW()-1)/7)*57+MOD(ROW()-1,7)+50),"")</f>
        <v/>
      </c>
    </row>
    <row r="4303" spans="1:1" x14ac:dyDescent="0.25">
      <c r="A4303" t="str" cm="1">
        <f t="array" ref="A4303">IF(INDEX(CUEs!$A:$A,INT((ROW()-1)/7)*57+MOD(ROW()-1,7)+50)&lt;&gt;"","set "&amp;INDEX(CUEs!$A:$A,INT((ROW()-1)/7)*57+MOD(ROW()-1,7)+50)&amp;"=/ s "&amp;INDEX(CUEs!$B:$B,INT((ROW()-1)/7)*57+MOD(ROW()-1,7)+50),"")</f>
        <v/>
      </c>
    </row>
    <row r="4304" spans="1:1" x14ac:dyDescent="0.25">
      <c r="A4304" t="str" cm="1">
        <f t="array" ref="A4304">IF(INDEX(CUEs!$A:$A,INT((ROW()-1)/7)*57+MOD(ROW()-1,7)+50)&lt;&gt;"","set "&amp;INDEX(CUEs!$A:$A,INT((ROW()-1)/7)*57+MOD(ROW()-1,7)+50)&amp;"=/ s "&amp;INDEX(CUEs!$B:$B,INT((ROW()-1)/7)*57+MOD(ROW()-1,7)+50),"")</f>
        <v/>
      </c>
    </row>
    <row r="4305" spans="1:1" x14ac:dyDescent="0.25">
      <c r="A4305" t="str" cm="1">
        <f t="array" ref="A4305">IF(INDEX(CUEs!$A:$A,INT((ROW()-1)/7)*57+MOD(ROW()-1,7)+50)&lt;&gt;"","set "&amp;INDEX(CUEs!$A:$A,INT((ROW()-1)/7)*57+MOD(ROW()-1,7)+50)&amp;"=/ s "&amp;INDEX(CUEs!$B:$B,INT((ROW()-1)/7)*57+MOD(ROW()-1,7)+50),"")</f>
        <v/>
      </c>
    </row>
    <row r="4306" spans="1:1" x14ac:dyDescent="0.25">
      <c r="A4306" t="str" cm="1">
        <f t="array" ref="A4306">IF(INDEX(CUEs!$A:$A,INT((ROW()-1)/7)*57+MOD(ROW()-1,7)+50)&lt;&gt;"","set "&amp;INDEX(CUEs!$A:$A,INT((ROW()-1)/7)*57+MOD(ROW()-1,7)+50)&amp;"=/ s "&amp;INDEX(CUEs!$B:$B,INT((ROW()-1)/7)*57+MOD(ROW()-1,7)+50),"")</f>
        <v/>
      </c>
    </row>
    <row r="4307" spans="1:1" x14ac:dyDescent="0.25">
      <c r="A4307" t="str" cm="1">
        <f t="array" ref="A4307">IF(INDEX(CUEs!$A:$A,INT((ROW()-1)/7)*57+MOD(ROW()-1,7)+50)&lt;&gt;"","set "&amp;INDEX(CUEs!$A:$A,INT((ROW()-1)/7)*57+MOD(ROW()-1,7)+50)&amp;"=/ s "&amp;INDEX(CUEs!$B:$B,INT((ROW()-1)/7)*57+MOD(ROW()-1,7)+50),"")</f>
        <v/>
      </c>
    </row>
    <row r="4308" spans="1:1" x14ac:dyDescent="0.25">
      <c r="A4308" t="str" cm="1">
        <f t="array" ref="A4308">IF(INDEX(CUEs!$A:$A,INT((ROW()-1)/7)*57+MOD(ROW()-1,7)+50)&lt;&gt;"","set "&amp;INDEX(CUEs!$A:$A,INT((ROW()-1)/7)*57+MOD(ROW()-1,7)+50)&amp;"=/ s "&amp;INDEX(CUEs!$B:$B,INT((ROW()-1)/7)*57+MOD(ROW()-1,7)+50),"")</f>
        <v/>
      </c>
    </row>
    <row r="4309" spans="1:1" x14ac:dyDescent="0.25">
      <c r="A4309" t="str" cm="1">
        <f t="array" ref="A4309">IF(INDEX(CUEs!$A:$A,INT((ROW()-1)/7)*57+MOD(ROW()-1,7)+50)&lt;&gt;"","set "&amp;INDEX(CUEs!$A:$A,INT((ROW()-1)/7)*57+MOD(ROW()-1,7)+50)&amp;"=/ s "&amp;INDEX(CUEs!$B:$B,INT((ROW()-1)/7)*57+MOD(ROW()-1,7)+50),"")</f>
        <v/>
      </c>
    </row>
    <row r="4310" spans="1:1" x14ac:dyDescent="0.25">
      <c r="A4310" t="str" cm="1">
        <f t="array" ref="A4310">IF(INDEX(CUEs!$A:$A,INT((ROW()-1)/7)*57+MOD(ROW()-1,7)+50)&lt;&gt;"","set "&amp;INDEX(CUEs!$A:$A,INT((ROW()-1)/7)*57+MOD(ROW()-1,7)+50)&amp;"=/ s "&amp;INDEX(CUEs!$B:$B,INT((ROW()-1)/7)*57+MOD(ROW()-1,7)+50),"")</f>
        <v/>
      </c>
    </row>
    <row r="4311" spans="1:1" x14ac:dyDescent="0.25">
      <c r="A4311" t="str" cm="1">
        <f t="array" ref="A4311">IF(INDEX(CUEs!$A:$A,INT((ROW()-1)/7)*57+MOD(ROW()-1,7)+50)&lt;&gt;"","set "&amp;INDEX(CUEs!$A:$A,INT((ROW()-1)/7)*57+MOD(ROW()-1,7)+50)&amp;"=/ s "&amp;INDEX(CUEs!$B:$B,INT((ROW()-1)/7)*57+MOD(ROW()-1,7)+50),"")</f>
        <v/>
      </c>
    </row>
    <row r="4312" spans="1:1" x14ac:dyDescent="0.25">
      <c r="A4312" t="str" cm="1">
        <f t="array" ref="A4312">IF(INDEX(CUEs!$A:$A,INT((ROW()-1)/7)*57+MOD(ROW()-1,7)+50)&lt;&gt;"","set "&amp;INDEX(CUEs!$A:$A,INT((ROW()-1)/7)*57+MOD(ROW()-1,7)+50)&amp;"=/ s "&amp;INDEX(CUEs!$B:$B,INT((ROW()-1)/7)*57+MOD(ROW()-1,7)+50),"")</f>
        <v/>
      </c>
    </row>
    <row r="4313" spans="1:1" x14ac:dyDescent="0.25">
      <c r="A4313" t="str" cm="1">
        <f t="array" ref="A4313">IF(INDEX(CUEs!$A:$A,INT((ROW()-1)/7)*57+MOD(ROW()-1,7)+50)&lt;&gt;"","set "&amp;INDEX(CUEs!$A:$A,INT((ROW()-1)/7)*57+MOD(ROW()-1,7)+50)&amp;"=/ s "&amp;INDEX(CUEs!$B:$B,INT((ROW()-1)/7)*57+MOD(ROW()-1,7)+50),"")</f>
        <v/>
      </c>
    </row>
    <row r="4314" spans="1:1" x14ac:dyDescent="0.25">
      <c r="A4314" t="str" cm="1">
        <f t="array" ref="A4314">IF(INDEX(CUEs!$A:$A,INT((ROW()-1)/7)*57+MOD(ROW()-1,7)+50)&lt;&gt;"","set "&amp;INDEX(CUEs!$A:$A,INT((ROW()-1)/7)*57+MOD(ROW()-1,7)+50)&amp;"=/ s "&amp;INDEX(CUEs!$B:$B,INT((ROW()-1)/7)*57+MOD(ROW()-1,7)+50),"")</f>
        <v/>
      </c>
    </row>
    <row r="4315" spans="1:1" x14ac:dyDescent="0.25">
      <c r="A4315" t="str" cm="1">
        <f t="array" ref="A4315">IF(INDEX(CUEs!$A:$A,INT((ROW()-1)/7)*57+MOD(ROW()-1,7)+50)&lt;&gt;"","set "&amp;INDEX(CUEs!$A:$A,INT((ROW()-1)/7)*57+MOD(ROW()-1,7)+50)&amp;"=/ s "&amp;INDEX(CUEs!$B:$B,INT((ROW()-1)/7)*57+MOD(ROW()-1,7)+50),"")</f>
        <v/>
      </c>
    </row>
    <row r="4316" spans="1:1" x14ac:dyDescent="0.25">
      <c r="A4316" t="str" cm="1">
        <f t="array" ref="A4316">IF(INDEX(CUEs!$A:$A,INT((ROW()-1)/7)*57+MOD(ROW()-1,7)+50)&lt;&gt;"","set "&amp;INDEX(CUEs!$A:$A,INT((ROW()-1)/7)*57+MOD(ROW()-1,7)+50)&amp;"=/ s "&amp;INDEX(CUEs!$B:$B,INT((ROW()-1)/7)*57+MOD(ROW()-1,7)+50),"")</f>
        <v/>
      </c>
    </row>
    <row r="4317" spans="1:1" x14ac:dyDescent="0.25">
      <c r="A4317" t="str" cm="1">
        <f t="array" ref="A4317">IF(INDEX(CUEs!$A:$A,INT((ROW()-1)/7)*57+MOD(ROW()-1,7)+50)&lt;&gt;"","set "&amp;INDEX(CUEs!$A:$A,INT((ROW()-1)/7)*57+MOD(ROW()-1,7)+50)&amp;"=/ s "&amp;INDEX(CUEs!$B:$B,INT((ROW()-1)/7)*57+MOD(ROW()-1,7)+50),"")</f>
        <v/>
      </c>
    </row>
    <row r="4318" spans="1:1" x14ac:dyDescent="0.25">
      <c r="A4318" t="str" cm="1">
        <f t="array" ref="A4318">IF(INDEX(CUEs!$A:$A,INT((ROW()-1)/7)*57+MOD(ROW()-1,7)+50)&lt;&gt;"","set "&amp;INDEX(CUEs!$A:$A,INT((ROW()-1)/7)*57+MOD(ROW()-1,7)+50)&amp;"=/ s "&amp;INDEX(CUEs!$B:$B,INT((ROW()-1)/7)*57+MOD(ROW()-1,7)+50),"")</f>
        <v/>
      </c>
    </row>
    <row r="4319" spans="1:1" x14ac:dyDescent="0.25">
      <c r="A4319" t="str" cm="1">
        <f t="array" ref="A4319">IF(INDEX(CUEs!$A:$A,INT((ROW()-1)/7)*57+MOD(ROW()-1,7)+50)&lt;&gt;"","set "&amp;INDEX(CUEs!$A:$A,INT((ROW()-1)/7)*57+MOD(ROW()-1,7)+50)&amp;"=/ s "&amp;INDEX(CUEs!$B:$B,INT((ROW()-1)/7)*57+MOD(ROW()-1,7)+50),"")</f>
        <v/>
      </c>
    </row>
    <row r="4320" spans="1:1" x14ac:dyDescent="0.25">
      <c r="A4320" t="str" cm="1">
        <f t="array" ref="A4320">IF(INDEX(CUEs!$A:$A,INT((ROW()-1)/7)*57+MOD(ROW()-1,7)+50)&lt;&gt;"","set "&amp;INDEX(CUEs!$A:$A,INT((ROW()-1)/7)*57+MOD(ROW()-1,7)+50)&amp;"=/ s "&amp;INDEX(CUEs!$B:$B,INT((ROW()-1)/7)*57+MOD(ROW()-1,7)+50),"")</f>
        <v/>
      </c>
    </row>
    <row r="4321" spans="1:1" x14ac:dyDescent="0.25">
      <c r="A4321" t="str" cm="1">
        <f t="array" ref="A4321">IF(INDEX(CUEs!$A:$A,INT((ROW()-1)/7)*57+MOD(ROW()-1,7)+50)&lt;&gt;"","set "&amp;INDEX(CUEs!$A:$A,INT((ROW()-1)/7)*57+MOD(ROW()-1,7)+50)&amp;"=/ s "&amp;INDEX(CUEs!$B:$B,INT((ROW()-1)/7)*57+MOD(ROW()-1,7)+50),"")</f>
        <v/>
      </c>
    </row>
    <row r="4322" spans="1:1" x14ac:dyDescent="0.25">
      <c r="A4322" t="str" cm="1">
        <f t="array" ref="A4322">IF(INDEX(CUEs!$A:$A,INT((ROW()-1)/7)*57+MOD(ROW()-1,7)+50)&lt;&gt;"","set "&amp;INDEX(CUEs!$A:$A,INT((ROW()-1)/7)*57+MOD(ROW()-1,7)+50)&amp;"=/ s "&amp;INDEX(CUEs!$B:$B,INT((ROW()-1)/7)*57+MOD(ROW()-1,7)+50),"")</f>
        <v/>
      </c>
    </row>
    <row r="4323" spans="1:1" x14ac:dyDescent="0.25">
      <c r="A4323" t="str" cm="1">
        <f t="array" ref="A4323">IF(INDEX(CUEs!$A:$A,INT((ROW()-1)/7)*57+MOD(ROW()-1,7)+50)&lt;&gt;"","set "&amp;INDEX(CUEs!$A:$A,INT((ROW()-1)/7)*57+MOD(ROW()-1,7)+50)&amp;"=/ s "&amp;INDEX(CUEs!$B:$B,INT((ROW()-1)/7)*57+MOD(ROW()-1,7)+50),"")</f>
        <v/>
      </c>
    </row>
    <row r="4324" spans="1:1" x14ac:dyDescent="0.25">
      <c r="A4324" t="str" cm="1">
        <f t="array" ref="A4324">IF(INDEX(CUEs!$A:$A,INT((ROW()-1)/7)*57+MOD(ROW()-1,7)+50)&lt;&gt;"","set "&amp;INDEX(CUEs!$A:$A,INT((ROW()-1)/7)*57+MOD(ROW()-1,7)+50)&amp;"=/ s "&amp;INDEX(CUEs!$B:$B,INT((ROW()-1)/7)*57+MOD(ROW()-1,7)+50),"")</f>
        <v/>
      </c>
    </row>
    <row r="4325" spans="1:1" x14ac:dyDescent="0.25">
      <c r="A4325" t="str" cm="1">
        <f t="array" ref="A4325">IF(INDEX(CUEs!$A:$A,INT((ROW()-1)/7)*57+MOD(ROW()-1,7)+50)&lt;&gt;"","set "&amp;INDEX(CUEs!$A:$A,INT((ROW()-1)/7)*57+MOD(ROW()-1,7)+50)&amp;"=/ s "&amp;INDEX(CUEs!$B:$B,INT((ROW()-1)/7)*57+MOD(ROW()-1,7)+50),"")</f>
        <v/>
      </c>
    </row>
    <row r="4326" spans="1:1" x14ac:dyDescent="0.25">
      <c r="A4326" t="str" cm="1">
        <f t="array" ref="A4326">IF(INDEX(CUEs!$A:$A,INT((ROW()-1)/7)*57+MOD(ROW()-1,7)+50)&lt;&gt;"","set "&amp;INDEX(CUEs!$A:$A,INT((ROW()-1)/7)*57+MOD(ROW()-1,7)+50)&amp;"=/ s "&amp;INDEX(CUEs!$B:$B,INT((ROW()-1)/7)*57+MOD(ROW()-1,7)+50),"")</f>
        <v/>
      </c>
    </row>
    <row r="4327" spans="1:1" x14ac:dyDescent="0.25">
      <c r="A4327" t="str" cm="1">
        <f t="array" ref="A4327">IF(INDEX(CUEs!$A:$A,INT((ROW()-1)/7)*57+MOD(ROW()-1,7)+50)&lt;&gt;"","set "&amp;INDEX(CUEs!$A:$A,INT((ROW()-1)/7)*57+MOD(ROW()-1,7)+50)&amp;"=/ s "&amp;INDEX(CUEs!$B:$B,INT((ROW()-1)/7)*57+MOD(ROW()-1,7)+50),"")</f>
        <v/>
      </c>
    </row>
    <row r="4328" spans="1:1" x14ac:dyDescent="0.25">
      <c r="A4328" t="str" cm="1">
        <f t="array" ref="A4328">IF(INDEX(CUEs!$A:$A,INT((ROW()-1)/7)*57+MOD(ROW()-1,7)+50)&lt;&gt;"","set "&amp;INDEX(CUEs!$A:$A,INT((ROW()-1)/7)*57+MOD(ROW()-1,7)+50)&amp;"=/ s "&amp;INDEX(CUEs!$B:$B,INT((ROW()-1)/7)*57+MOD(ROW()-1,7)+50),"")</f>
        <v/>
      </c>
    </row>
    <row r="4329" spans="1:1" x14ac:dyDescent="0.25">
      <c r="A4329" t="str" cm="1">
        <f t="array" ref="A4329">IF(INDEX(CUEs!$A:$A,INT((ROW()-1)/7)*57+MOD(ROW()-1,7)+50)&lt;&gt;"","set "&amp;INDEX(CUEs!$A:$A,INT((ROW()-1)/7)*57+MOD(ROW()-1,7)+50)&amp;"=/ s "&amp;INDEX(CUEs!$B:$B,INT((ROW()-1)/7)*57+MOD(ROW()-1,7)+50),"")</f>
        <v/>
      </c>
    </row>
    <row r="4330" spans="1:1" x14ac:dyDescent="0.25">
      <c r="A4330" t="str" cm="1">
        <f t="array" ref="A4330">IF(INDEX(CUEs!$A:$A,INT((ROW()-1)/7)*57+MOD(ROW()-1,7)+50)&lt;&gt;"","set "&amp;INDEX(CUEs!$A:$A,INT((ROW()-1)/7)*57+MOD(ROW()-1,7)+50)&amp;"=/ s "&amp;INDEX(CUEs!$B:$B,INT((ROW()-1)/7)*57+MOD(ROW()-1,7)+50),"")</f>
        <v/>
      </c>
    </row>
    <row r="4331" spans="1:1" x14ac:dyDescent="0.25">
      <c r="A4331" t="str" cm="1">
        <f t="array" ref="A4331">IF(INDEX(CUEs!$A:$A,INT((ROW()-1)/7)*57+MOD(ROW()-1,7)+50)&lt;&gt;"","set "&amp;INDEX(CUEs!$A:$A,INT((ROW()-1)/7)*57+MOD(ROW()-1,7)+50)&amp;"=/ s "&amp;INDEX(CUEs!$B:$B,INT((ROW()-1)/7)*57+MOD(ROW()-1,7)+50),"")</f>
        <v/>
      </c>
    </row>
    <row r="4332" spans="1:1" x14ac:dyDescent="0.25">
      <c r="A4332" t="str" cm="1">
        <f t="array" ref="A4332">IF(INDEX(CUEs!$A:$A,INT((ROW()-1)/7)*57+MOD(ROW()-1,7)+50)&lt;&gt;"","set "&amp;INDEX(CUEs!$A:$A,INT((ROW()-1)/7)*57+MOD(ROW()-1,7)+50)&amp;"=/ s "&amp;INDEX(CUEs!$B:$B,INT((ROW()-1)/7)*57+MOD(ROW()-1,7)+50),"")</f>
        <v/>
      </c>
    </row>
    <row r="4333" spans="1:1" x14ac:dyDescent="0.25">
      <c r="A4333" t="str" cm="1">
        <f t="array" ref="A4333">IF(INDEX(CUEs!$A:$A,INT((ROW()-1)/7)*57+MOD(ROW()-1,7)+50)&lt;&gt;"","set "&amp;INDEX(CUEs!$A:$A,INT((ROW()-1)/7)*57+MOD(ROW()-1,7)+50)&amp;"=/ s "&amp;INDEX(CUEs!$B:$B,INT((ROW()-1)/7)*57+MOD(ROW()-1,7)+50),"")</f>
        <v/>
      </c>
    </row>
    <row r="4334" spans="1:1" x14ac:dyDescent="0.25">
      <c r="A4334" t="str" cm="1">
        <f t="array" ref="A4334">IF(INDEX(CUEs!$A:$A,INT((ROW()-1)/7)*57+MOD(ROW()-1,7)+50)&lt;&gt;"","set "&amp;INDEX(CUEs!$A:$A,INT((ROW()-1)/7)*57+MOD(ROW()-1,7)+50)&amp;"=/ s "&amp;INDEX(CUEs!$B:$B,INT((ROW()-1)/7)*57+MOD(ROW()-1,7)+50),"")</f>
        <v/>
      </c>
    </row>
    <row r="4335" spans="1:1" x14ac:dyDescent="0.25">
      <c r="A4335" t="str" cm="1">
        <f t="array" ref="A4335">IF(INDEX(CUEs!$A:$A,INT((ROW()-1)/7)*57+MOD(ROW()-1,7)+50)&lt;&gt;"","set "&amp;INDEX(CUEs!$A:$A,INT((ROW()-1)/7)*57+MOD(ROW()-1,7)+50)&amp;"=/ s "&amp;INDEX(CUEs!$B:$B,INT((ROW()-1)/7)*57+MOD(ROW()-1,7)+50),"")</f>
        <v/>
      </c>
    </row>
    <row r="4336" spans="1:1" x14ac:dyDescent="0.25">
      <c r="A4336" t="str" cm="1">
        <f t="array" ref="A4336">IF(INDEX(CUEs!$A:$A,INT((ROW()-1)/7)*57+MOD(ROW()-1,7)+50)&lt;&gt;"","set "&amp;INDEX(CUEs!$A:$A,INT((ROW()-1)/7)*57+MOD(ROW()-1,7)+50)&amp;"=/ s "&amp;INDEX(CUEs!$B:$B,INT((ROW()-1)/7)*57+MOD(ROW()-1,7)+50),"")</f>
        <v/>
      </c>
    </row>
    <row r="4337" spans="1:1" x14ac:dyDescent="0.25">
      <c r="A4337" t="str" cm="1">
        <f t="array" ref="A4337">IF(INDEX(CUEs!$A:$A,INT((ROW()-1)/7)*57+MOD(ROW()-1,7)+50)&lt;&gt;"","set "&amp;INDEX(CUEs!$A:$A,INT((ROW()-1)/7)*57+MOD(ROW()-1,7)+50)&amp;"=/ s "&amp;INDEX(CUEs!$B:$B,INT((ROW()-1)/7)*57+MOD(ROW()-1,7)+50),"")</f>
        <v/>
      </c>
    </row>
    <row r="4338" spans="1:1" x14ac:dyDescent="0.25">
      <c r="A4338" t="str" cm="1">
        <f t="array" ref="A4338">IF(INDEX(CUEs!$A:$A,INT((ROW()-1)/7)*57+MOD(ROW()-1,7)+50)&lt;&gt;"","set "&amp;INDEX(CUEs!$A:$A,INT((ROW()-1)/7)*57+MOD(ROW()-1,7)+50)&amp;"=/ s "&amp;INDEX(CUEs!$B:$B,INT((ROW()-1)/7)*57+MOD(ROW()-1,7)+50),"")</f>
        <v/>
      </c>
    </row>
    <row r="4339" spans="1:1" x14ac:dyDescent="0.25">
      <c r="A4339" t="str" cm="1">
        <f t="array" ref="A4339">IF(INDEX(CUEs!$A:$A,INT((ROW()-1)/7)*57+MOD(ROW()-1,7)+50)&lt;&gt;"","set "&amp;INDEX(CUEs!$A:$A,INT((ROW()-1)/7)*57+MOD(ROW()-1,7)+50)&amp;"=/ s "&amp;INDEX(CUEs!$B:$B,INT((ROW()-1)/7)*57+MOD(ROW()-1,7)+50),"")</f>
        <v/>
      </c>
    </row>
    <row r="4340" spans="1:1" x14ac:dyDescent="0.25">
      <c r="A4340" t="str" cm="1">
        <f t="array" ref="A4340">IF(INDEX(CUEs!$A:$A,INT((ROW()-1)/7)*57+MOD(ROW()-1,7)+50)&lt;&gt;"","set "&amp;INDEX(CUEs!$A:$A,INT((ROW()-1)/7)*57+MOD(ROW()-1,7)+50)&amp;"=/ s "&amp;INDEX(CUEs!$B:$B,INT((ROW()-1)/7)*57+MOD(ROW()-1,7)+50),"")</f>
        <v/>
      </c>
    </row>
    <row r="4341" spans="1:1" x14ac:dyDescent="0.25">
      <c r="A4341" t="str" cm="1">
        <f t="array" ref="A4341">IF(INDEX(CUEs!$A:$A,INT((ROW()-1)/7)*57+MOD(ROW()-1,7)+50)&lt;&gt;"","set "&amp;INDEX(CUEs!$A:$A,INT((ROW()-1)/7)*57+MOD(ROW()-1,7)+50)&amp;"=/ s "&amp;INDEX(CUEs!$B:$B,INT((ROW()-1)/7)*57+MOD(ROW()-1,7)+50),"")</f>
        <v/>
      </c>
    </row>
    <row r="4342" spans="1:1" x14ac:dyDescent="0.25">
      <c r="A4342" t="str" cm="1">
        <f t="array" ref="A4342">IF(INDEX(CUEs!$A:$A,INT((ROW()-1)/7)*57+MOD(ROW()-1,7)+50)&lt;&gt;"","set "&amp;INDEX(CUEs!$A:$A,INT((ROW()-1)/7)*57+MOD(ROW()-1,7)+50)&amp;"=/ s "&amp;INDEX(CUEs!$B:$B,INT((ROW()-1)/7)*57+MOD(ROW()-1,7)+50),"")</f>
        <v/>
      </c>
    </row>
    <row r="4343" spans="1:1" x14ac:dyDescent="0.25">
      <c r="A4343" t="str" cm="1">
        <f t="array" ref="A4343">IF(INDEX(CUEs!$A:$A,INT((ROW()-1)/7)*57+MOD(ROW()-1,7)+50)&lt;&gt;"","set "&amp;INDEX(CUEs!$A:$A,INT((ROW()-1)/7)*57+MOD(ROW()-1,7)+50)&amp;"=/ s "&amp;INDEX(CUEs!$B:$B,INT((ROW()-1)/7)*57+MOD(ROW()-1,7)+50),"")</f>
        <v/>
      </c>
    </row>
    <row r="4344" spans="1:1" x14ac:dyDescent="0.25">
      <c r="A4344" t="str" cm="1">
        <f t="array" ref="A4344">IF(INDEX(CUEs!$A:$A,INT((ROW()-1)/7)*57+MOD(ROW()-1,7)+50)&lt;&gt;"","set "&amp;INDEX(CUEs!$A:$A,INT((ROW()-1)/7)*57+MOD(ROW()-1,7)+50)&amp;"=/ s "&amp;INDEX(CUEs!$B:$B,INT((ROW()-1)/7)*57+MOD(ROW()-1,7)+50),"")</f>
        <v/>
      </c>
    </row>
    <row r="4345" spans="1:1" x14ac:dyDescent="0.25">
      <c r="A4345" t="str" cm="1">
        <f t="array" ref="A4345">IF(INDEX(CUEs!$A:$A,INT((ROW()-1)/7)*57+MOD(ROW()-1,7)+50)&lt;&gt;"","set "&amp;INDEX(CUEs!$A:$A,INT((ROW()-1)/7)*57+MOD(ROW()-1,7)+50)&amp;"=/ s "&amp;INDEX(CUEs!$B:$B,INT((ROW()-1)/7)*57+MOD(ROW()-1,7)+50),"")</f>
        <v/>
      </c>
    </row>
    <row r="4346" spans="1:1" x14ac:dyDescent="0.25">
      <c r="A4346" t="str" cm="1">
        <f t="array" ref="A4346">IF(INDEX(CUEs!$A:$A,INT((ROW()-1)/7)*57+MOD(ROW()-1,7)+50)&lt;&gt;"","set "&amp;INDEX(CUEs!$A:$A,INT((ROW()-1)/7)*57+MOD(ROW()-1,7)+50)&amp;"=/ s "&amp;INDEX(CUEs!$B:$B,INT((ROW()-1)/7)*57+MOD(ROW()-1,7)+50),"")</f>
        <v/>
      </c>
    </row>
    <row r="4347" spans="1:1" x14ac:dyDescent="0.25">
      <c r="A4347" t="str" cm="1">
        <f t="array" ref="A4347">IF(INDEX(CUEs!$A:$A,INT((ROW()-1)/7)*57+MOD(ROW()-1,7)+50)&lt;&gt;"","set "&amp;INDEX(CUEs!$A:$A,INT((ROW()-1)/7)*57+MOD(ROW()-1,7)+50)&amp;"=/ s "&amp;INDEX(CUEs!$B:$B,INT((ROW()-1)/7)*57+MOD(ROW()-1,7)+50),"")</f>
        <v/>
      </c>
    </row>
    <row r="4348" spans="1:1" x14ac:dyDescent="0.25">
      <c r="A4348" t="str" cm="1">
        <f t="array" ref="A4348">IF(INDEX(CUEs!$A:$A,INT((ROW()-1)/7)*57+MOD(ROW()-1,7)+50)&lt;&gt;"","set "&amp;INDEX(CUEs!$A:$A,INT((ROW()-1)/7)*57+MOD(ROW()-1,7)+50)&amp;"=/ s "&amp;INDEX(CUEs!$B:$B,INT((ROW()-1)/7)*57+MOD(ROW()-1,7)+50),"")</f>
        <v/>
      </c>
    </row>
    <row r="4349" spans="1:1" x14ac:dyDescent="0.25">
      <c r="A4349" t="str" cm="1">
        <f t="array" ref="A4349">IF(INDEX(CUEs!$A:$A,INT((ROW()-1)/7)*57+MOD(ROW()-1,7)+50)&lt;&gt;"","set "&amp;INDEX(CUEs!$A:$A,INT((ROW()-1)/7)*57+MOD(ROW()-1,7)+50)&amp;"=/ s "&amp;INDEX(CUEs!$B:$B,INT((ROW()-1)/7)*57+MOD(ROW()-1,7)+50),"")</f>
        <v/>
      </c>
    </row>
    <row r="4350" spans="1:1" x14ac:dyDescent="0.25">
      <c r="A4350" t="str" cm="1">
        <f t="array" ref="A4350">IF(INDEX(CUEs!$A:$A,INT((ROW()-1)/7)*57+MOD(ROW()-1,7)+50)&lt;&gt;"","set "&amp;INDEX(CUEs!$A:$A,INT((ROW()-1)/7)*57+MOD(ROW()-1,7)+50)&amp;"=/ s "&amp;INDEX(CUEs!$B:$B,INT((ROW()-1)/7)*57+MOD(ROW()-1,7)+50),"")</f>
        <v/>
      </c>
    </row>
    <row r="4351" spans="1:1" x14ac:dyDescent="0.25">
      <c r="A4351" t="str" cm="1">
        <f t="array" ref="A4351">IF(INDEX(CUEs!$A:$A,INT((ROW()-1)/7)*57+MOD(ROW()-1,7)+50)&lt;&gt;"","set "&amp;INDEX(CUEs!$A:$A,INT((ROW()-1)/7)*57+MOD(ROW()-1,7)+50)&amp;"=/ s "&amp;INDEX(CUEs!$B:$B,INT((ROW()-1)/7)*57+MOD(ROW()-1,7)+50),"")</f>
        <v/>
      </c>
    </row>
    <row r="4352" spans="1:1" x14ac:dyDescent="0.25">
      <c r="A4352" t="str" cm="1">
        <f t="array" ref="A4352">IF(INDEX(CUEs!$A:$A,INT((ROW()-1)/7)*57+MOD(ROW()-1,7)+50)&lt;&gt;"","set "&amp;INDEX(CUEs!$A:$A,INT((ROW()-1)/7)*57+MOD(ROW()-1,7)+50)&amp;"=/ s "&amp;INDEX(CUEs!$B:$B,INT((ROW()-1)/7)*57+MOD(ROW()-1,7)+50),"")</f>
        <v/>
      </c>
    </row>
    <row r="4353" spans="1:1" x14ac:dyDescent="0.25">
      <c r="A4353" t="str" cm="1">
        <f t="array" ref="A4353">IF(INDEX(CUEs!$A:$A,INT((ROW()-1)/7)*57+MOD(ROW()-1,7)+50)&lt;&gt;"","set "&amp;INDEX(CUEs!$A:$A,INT((ROW()-1)/7)*57+MOD(ROW()-1,7)+50)&amp;"=/ s "&amp;INDEX(CUEs!$B:$B,INT((ROW()-1)/7)*57+MOD(ROW()-1,7)+50),"")</f>
        <v/>
      </c>
    </row>
    <row r="4354" spans="1:1" x14ac:dyDescent="0.25">
      <c r="A4354" t="str" cm="1">
        <f t="array" ref="A4354">IF(INDEX(CUEs!$A:$A,INT((ROW()-1)/7)*57+MOD(ROW()-1,7)+50)&lt;&gt;"","set "&amp;INDEX(CUEs!$A:$A,INT((ROW()-1)/7)*57+MOD(ROW()-1,7)+50)&amp;"=/ s "&amp;INDEX(CUEs!$B:$B,INT((ROW()-1)/7)*57+MOD(ROW()-1,7)+50),"")</f>
        <v/>
      </c>
    </row>
    <row r="4355" spans="1:1" x14ac:dyDescent="0.25">
      <c r="A4355" t="str" cm="1">
        <f t="array" ref="A4355">IF(INDEX(CUEs!$A:$A,INT((ROW()-1)/7)*57+MOD(ROW()-1,7)+50)&lt;&gt;"","set "&amp;INDEX(CUEs!$A:$A,INT((ROW()-1)/7)*57+MOD(ROW()-1,7)+50)&amp;"=/ s "&amp;INDEX(CUEs!$B:$B,INT((ROW()-1)/7)*57+MOD(ROW()-1,7)+50),"")</f>
        <v/>
      </c>
    </row>
    <row r="4356" spans="1:1" x14ac:dyDescent="0.25">
      <c r="A4356" t="str" cm="1">
        <f t="array" ref="A4356">IF(INDEX(CUEs!$A:$A,INT((ROW()-1)/7)*57+MOD(ROW()-1,7)+50)&lt;&gt;"","set "&amp;INDEX(CUEs!$A:$A,INT((ROW()-1)/7)*57+MOD(ROW()-1,7)+50)&amp;"=/ s "&amp;INDEX(CUEs!$B:$B,INT((ROW()-1)/7)*57+MOD(ROW()-1,7)+50),"")</f>
        <v/>
      </c>
    </row>
    <row r="4357" spans="1:1" x14ac:dyDescent="0.25">
      <c r="A4357" t="str" cm="1">
        <f t="array" ref="A4357">IF(INDEX(CUEs!$A:$A,INT((ROW()-1)/7)*57+MOD(ROW()-1,7)+50)&lt;&gt;"","set "&amp;INDEX(CUEs!$A:$A,INT((ROW()-1)/7)*57+MOD(ROW()-1,7)+50)&amp;"=/ s "&amp;INDEX(CUEs!$B:$B,INT((ROW()-1)/7)*57+MOD(ROW()-1,7)+50),"")</f>
        <v/>
      </c>
    </row>
    <row r="4358" spans="1:1" x14ac:dyDescent="0.25">
      <c r="A4358" t="str" cm="1">
        <f t="array" ref="A4358">IF(INDEX(CUEs!$A:$A,INT((ROW()-1)/7)*57+MOD(ROW()-1,7)+50)&lt;&gt;"","set "&amp;INDEX(CUEs!$A:$A,INT((ROW()-1)/7)*57+MOD(ROW()-1,7)+50)&amp;"=/ s "&amp;INDEX(CUEs!$B:$B,INT((ROW()-1)/7)*57+MOD(ROW()-1,7)+50),"")</f>
        <v/>
      </c>
    </row>
    <row r="4359" spans="1:1" x14ac:dyDescent="0.25">
      <c r="A4359" t="str" cm="1">
        <f t="array" ref="A4359">IF(INDEX(CUEs!$A:$A,INT((ROW()-1)/7)*57+MOD(ROW()-1,7)+50)&lt;&gt;"","set "&amp;INDEX(CUEs!$A:$A,INT((ROW()-1)/7)*57+MOD(ROW()-1,7)+50)&amp;"=/ s "&amp;INDEX(CUEs!$B:$B,INT((ROW()-1)/7)*57+MOD(ROW()-1,7)+50),"")</f>
        <v/>
      </c>
    </row>
    <row r="4360" spans="1:1" x14ac:dyDescent="0.25">
      <c r="A4360" t="str" cm="1">
        <f t="array" ref="A4360">IF(INDEX(CUEs!$A:$A,INT((ROW()-1)/7)*57+MOD(ROW()-1,7)+50)&lt;&gt;"","set "&amp;INDEX(CUEs!$A:$A,INT((ROW()-1)/7)*57+MOD(ROW()-1,7)+50)&amp;"=/ s "&amp;INDEX(CUEs!$B:$B,INT((ROW()-1)/7)*57+MOD(ROW()-1,7)+50),"")</f>
        <v/>
      </c>
    </row>
    <row r="4361" spans="1:1" x14ac:dyDescent="0.25">
      <c r="A4361" t="str" cm="1">
        <f t="array" ref="A4361">IF(INDEX(CUEs!$A:$A,INT((ROW()-1)/7)*57+MOD(ROW()-1,7)+50)&lt;&gt;"","set "&amp;INDEX(CUEs!$A:$A,INT((ROW()-1)/7)*57+MOD(ROW()-1,7)+50)&amp;"=/ s "&amp;INDEX(CUEs!$B:$B,INT((ROW()-1)/7)*57+MOD(ROW()-1,7)+50),"")</f>
        <v/>
      </c>
    </row>
    <row r="4362" spans="1:1" x14ac:dyDescent="0.25">
      <c r="A4362" t="str" cm="1">
        <f t="array" ref="A4362">IF(INDEX(CUEs!$A:$A,INT((ROW()-1)/7)*57+MOD(ROW()-1,7)+50)&lt;&gt;"","set "&amp;INDEX(CUEs!$A:$A,INT((ROW()-1)/7)*57+MOD(ROW()-1,7)+50)&amp;"=/ s "&amp;INDEX(CUEs!$B:$B,INT((ROW()-1)/7)*57+MOD(ROW()-1,7)+50),"")</f>
        <v/>
      </c>
    </row>
    <row r="4363" spans="1:1" x14ac:dyDescent="0.25">
      <c r="A4363" t="str" cm="1">
        <f t="array" ref="A4363">IF(INDEX(CUEs!$A:$A,INT((ROW()-1)/7)*57+MOD(ROW()-1,7)+50)&lt;&gt;"","set "&amp;INDEX(CUEs!$A:$A,INT((ROW()-1)/7)*57+MOD(ROW()-1,7)+50)&amp;"=/ s "&amp;INDEX(CUEs!$B:$B,INT((ROW()-1)/7)*57+MOD(ROW()-1,7)+50),"")</f>
        <v/>
      </c>
    </row>
    <row r="4364" spans="1:1" x14ac:dyDescent="0.25">
      <c r="A4364" t="str" cm="1">
        <f t="array" ref="A4364">IF(INDEX(CUEs!$A:$A,INT((ROW()-1)/7)*57+MOD(ROW()-1,7)+50)&lt;&gt;"","set "&amp;INDEX(CUEs!$A:$A,INT((ROW()-1)/7)*57+MOD(ROW()-1,7)+50)&amp;"=/ s "&amp;INDEX(CUEs!$B:$B,INT((ROW()-1)/7)*57+MOD(ROW()-1,7)+50),"")</f>
        <v/>
      </c>
    </row>
    <row r="4365" spans="1:1" x14ac:dyDescent="0.25">
      <c r="A4365" t="str" cm="1">
        <f t="array" ref="A4365">IF(INDEX(CUEs!$A:$A,INT((ROW()-1)/7)*57+MOD(ROW()-1,7)+50)&lt;&gt;"","set "&amp;INDEX(CUEs!$A:$A,INT((ROW()-1)/7)*57+MOD(ROW()-1,7)+50)&amp;"=/ s "&amp;INDEX(CUEs!$B:$B,INT((ROW()-1)/7)*57+MOD(ROW()-1,7)+50),"")</f>
        <v/>
      </c>
    </row>
    <row r="4366" spans="1:1" x14ac:dyDescent="0.25">
      <c r="A4366" t="str" cm="1">
        <f t="array" ref="A4366">IF(INDEX(CUEs!$A:$A,INT((ROW()-1)/7)*57+MOD(ROW()-1,7)+50)&lt;&gt;"","set "&amp;INDEX(CUEs!$A:$A,INT((ROW()-1)/7)*57+MOD(ROW()-1,7)+50)&amp;"=/ s "&amp;INDEX(CUEs!$B:$B,INT((ROW()-1)/7)*57+MOD(ROW()-1,7)+50),"")</f>
        <v/>
      </c>
    </row>
    <row r="4367" spans="1:1" x14ac:dyDescent="0.25">
      <c r="A4367" t="str" cm="1">
        <f t="array" ref="A4367">IF(INDEX(CUEs!$A:$A,INT((ROW()-1)/7)*57+MOD(ROW()-1,7)+50)&lt;&gt;"","set "&amp;INDEX(CUEs!$A:$A,INT((ROW()-1)/7)*57+MOD(ROW()-1,7)+50)&amp;"=/ s "&amp;INDEX(CUEs!$B:$B,INT((ROW()-1)/7)*57+MOD(ROW()-1,7)+50),"")</f>
        <v/>
      </c>
    </row>
    <row r="4368" spans="1:1" x14ac:dyDescent="0.25">
      <c r="A4368" t="str" cm="1">
        <f t="array" ref="A4368">IF(INDEX(CUEs!$A:$A,INT((ROW()-1)/7)*57+MOD(ROW()-1,7)+50)&lt;&gt;"","set "&amp;INDEX(CUEs!$A:$A,INT((ROW()-1)/7)*57+MOD(ROW()-1,7)+50)&amp;"=/ s "&amp;INDEX(CUEs!$B:$B,INT((ROW()-1)/7)*57+MOD(ROW()-1,7)+50),"")</f>
        <v/>
      </c>
    </row>
    <row r="4369" spans="1:1" x14ac:dyDescent="0.25">
      <c r="A4369" t="str" cm="1">
        <f t="array" ref="A4369">IF(INDEX(CUEs!$A:$A,INT((ROW()-1)/7)*57+MOD(ROW()-1,7)+50)&lt;&gt;"","set "&amp;INDEX(CUEs!$A:$A,INT((ROW()-1)/7)*57+MOD(ROW()-1,7)+50)&amp;"=/ s "&amp;INDEX(CUEs!$B:$B,INT((ROW()-1)/7)*57+MOD(ROW()-1,7)+50),"")</f>
        <v/>
      </c>
    </row>
    <row r="4370" spans="1:1" x14ac:dyDescent="0.25">
      <c r="A4370" t="str" cm="1">
        <f t="array" ref="A4370">IF(INDEX(CUEs!$A:$A,INT((ROW()-1)/7)*57+MOD(ROW()-1,7)+50)&lt;&gt;"","set "&amp;INDEX(CUEs!$A:$A,INT((ROW()-1)/7)*57+MOD(ROW()-1,7)+50)&amp;"=/ s "&amp;INDEX(CUEs!$B:$B,INT((ROW()-1)/7)*57+MOD(ROW()-1,7)+50),"")</f>
        <v/>
      </c>
    </row>
    <row r="4371" spans="1:1" x14ac:dyDescent="0.25">
      <c r="A4371" t="str" cm="1">
        <f t="array" ref="A4371">IF(INDEX(CUEs!$A:$A,INT((ROW()-1)/7)*57+MOD(ROW()-1,7)+50)&lt;&gt;"","set "&amp;INDEX(CUEs!$A:$A,INT((ROW()-1)/7)*57+MOD(ROW()-1,7)+50)&amp;"=/ s "&amp;INDEX(CUEs!$B:$B,INT((ROW()-1)/7)*57+MOD(ROW()-1,7)+50),"")</f>
        <v/>
      </c>
    </row>
    <row r="4372" spans="1:1" x14ac:dyDescent="0.25">
      <c r="A4372" t="str" cm="1">
        <f t="array" ref="A4372">IF(INDEX(CUEs!$A:$A,INT((ROW()-1)/7)*57+MOD(ROW()-1,7)+50)&lt;&gt;"","set "&amp;INDEX(CUEs!$A:$A,INT((ROW()-1)/7)*57+MOD(ROW()-1,7)+50)&amp;"=/ s "&amp;INDEX(CUEs!$B:$B,INT((ROW()-1)/7)*57+MOD(ROW()-1,7)+50),"")</f>
        <v/>
      </c>
    </row>
    <row r="4373" spans="1:1" x14ac:dyDescent="0.25">
      <c r="A4373" t="str" cm="1">
        <f t="array" ref="A4373">IF(INDEX(CUEs!$A:$A,INT((ROW()-1)/7)*57+MOD(ROW()-1,7)+50)&lt;&gt;"","set "&amp;INDEX(CUEs!$A:$A,INT((ROW()-1)/7)*57+MOD(ROW()-1,7)+50)&amp;"=/ s "&amp;INDEX(CUEs!$B:$B,INT((ROW()-1)/7)*57+MOD(ROW()-1,7)+50),"")</f>
        <v/>
      </c>
    </row>
    <row r="4374" spans="1:1" x14ac:dyDescent="0.25">
      <c r="A4374" t="str" cm="1">
        <f t="array" ref="A4374">IF(INDEX(CUEs!$A:$A,INT((ROW()-1)/7)*57+MOD(ROW()-1,7)+50)&lt;&gt;"","set "&amp;INDEX(CUEs!$A:$A,INT((ROW()-1)/7)*57+MOD(ROW()-1,7)+50)&amp;"=/ s "&amp;INDEX(CUEs!$B:$B,INT((ROW()-1)/7)*57+MOD(ROW()-1,7)+50),"")</f>
        <v/>
      </c>
    </row>
    <row r="4375" spans="1:1" x14ac:dyDescent="0.25">
      <c r="A4375" t="str" cm="1">
        <f t="array" ref="A4375">IF(INDEX(CUEs!$A:$A,INT((ROW()-1)/7)*57+MOD(ROW()-1,7)+50)&lt;&gt;"","set "&amp;INDEX(CUEs!$A:$A,INT((ROW()-1)/7)*57+MOD(ROW()-1,7)+50)&amp;"=/ s "&amp;INDEX(CUEs!$B:$B,INT((ROW()-1)/7)*57+MOD(ROW()-1,7)+50),"")</f>
        <v/>
      </c>
    </row>
    <row r="4376" spans="1:1" x14ac:dyDescent="0.25">
      <c r="A4376" t="str" cm="1">
        <f t="array" ref="A4376">IF(INDEX(CUEs!$A:$A,INT((ROW()-1)/7)*57+MOD(ROW()-1,7)+50)&lt;&gt;"","set "&amp;INDEX(CUEs!$A:$A,INT((ROW()-1)/7)*57+MOD(ROW()-1,7)+50)&amp;"=/ s "&amp;INDEX(CUEs!$B:$B,INT((ROW()-1)/7)*57+MOD(ROW()-1,7)+50),"")</f>
        <v/>
      </c>
    </row>
    <row r="4377" spans="1:1" x14ac:dyDescent="0.25">
      <c r="A4377" t="str" cm="1">
        <f t="array" ref="A4377">IF(INDEX(CUEs!$A:$A,INT((ROW()-1)/7)*57+MOD(ROW()-1,7)+50)&lt;&gt;"","set "&amp;INDEX(CUEs!$A:$A,INT((ROW()-1)/7)*57+MOD(ROW()-1,7)+50)&amp;"=/ s "&amp;INDEX(CUEs!$B:$B,INT((ROW()-1)/7)*57+MOD(ROW()-1,7)+50),"")</f>
        <v/>
      </c>
    </row>
    <row r="4378" spans="1:1" x14ac:dyDescent="0.25">
      <c r="A4378" t="str" cm="1">
        <f t="array" ref="A4378">IF(INDEX(CUEs!$A:$A,INT((ROW()-1)/7)*57+MOD(ROW()-1,7)+50)&lt;&gt;"","set "&amp;INDEX(CUEs!$A:$A,INT((ROW()-1)/7)*57+MOD(ROW()-1,7)+50)&amp;"=/ s "&amp;INDEX(CUEs!$B:$B,INT((ROW()-1)/7)*57+MOD(ROW()-1,7)+50),"")</f>
        <v/>
      </c>
    </row>
    <row r="4379" spans="1:1" x14ac:dyDescent="0.25">
      <c r="A4379" t="str" cm="1">
        <f t="array" ref="A4379">IF(INDEX(CUEs!$A:$A,INT((ROW()-1)/7)*57+MOD(ROW()-1,7)+50)&lt;&gt;"","set "&amp;INDEX(CUEs!$A:$A,INT((ROW()-1)/7)*57+MOD(ROW()-1,7)+50)&amp;"=/ s "&amp;INDEX(CUEs!$B:$B,INT((ROW()-1)/7)*57+MOD(ROW()-1,7)+50),"")</f>
        <v/>
      </c>
    </row>
    <row r="4380" spans="1:1" x14ac:dyDescent="0.25">
      <c r="A4380" t="str" cm="1">
        <f t="array" ref="A4380">IF(INDEX(CUEs!$A:$A,INT((ROW()-1)/7)*57+MOD(ROW()-1,7)+50)&lt;&gt;"","set "&amp;INDEX(CUEs!$A:$A,INT((ROW()-1)/7)*57+MOD(ROW()-1,7)+50)&amp;"=/ s "&amp;INDEX(CUEs!$B:$B,INT((ROW()-1)/7)*57+MOD(ROW()-1,7)+50),"")</f>
        <v/>
      </c>
    </row>
    <row r="4381" spans="1:1" x14ac:dyDescent="0.25">
      <c r="A4381" t="str" cm="1">
        <f t="array" ref="A4381">IF(INDEX(CUEs!$A:$A,INT((ROW()-1)/7)*57+MOD(ROW()-1,7)+50)&lt;&gt;"","set "&amp;INDEX(CUEs!$A:$A,INT((ROW()-1)/7)*57+MOD(ROW()-1,7)+50)&amp;"=/ s "&amp;INDEX(CUEs!$B:$B,INT((ROW()-1)/7)*57+MOD(ROW()-1,7)+50),"")</f>
        <v/>
      </c>
    </row>
    <row r="4382" spans="1:1" x14ac:dyDescent="0.25">
      <c r="A4382" t="str" cm="1">
        <f t="array" ref="A4382">IF(INDEX(CUEs!$A:$A,INT((ROW()-1)/7)*57+MOD(ROW()-1,7)+50)&lt;&gt;"","set "&amp;INDEX(CUEs!$A:$A,INT((ROW()-1)/7)*57+MOD(ROW()-1,7)+50)&amp;"=/ s "&amp;INDEX(CUEs!$B:$B,INT((ROW()-1)/7)*57+MOD(ROW()-1,7)+50),"")</f>
        <v/>
      </c>
    </row>
    <row r="4383" spans="1:1" x14ac:dyDescent="0.25">
      <c r="A4383" t="str" cm="1">
        <f t="array" ref="A4383">IF(INDEX(CUEs!$A:$A,INT((ROW()-1)/7)*57+MOD(ROW()-1,7)+50)&lt;&gt;"","set "&amp;INDEX(CUEs!$A:$A,INT((ROW()-1)/7)*57+MOD(ROW()-1,7)+50)&amp;"=/ s "&amp;INDEX(CUEs!$B:$B,INT((ROW()-1)/7)*57+MOD(ROW()-1,7)+50),"")</f>
        <v/>
      </c>
    </row>
    <row r="4384" spans="1:1" x14ac:dyDescent="0.25">
      <c r="A4384" t="str" cm="1">
        <f t="array" ref="A4384">IF(INDEX(CUEs!$A:$A,INT((ROW()-1)/7)*57+MOD(ROW()-1,7)+50)&lt;&gt;"","set "&amp;INDEX(CUEs!$A:$A,INT((ROW()-1)/7)*57+MOD(ROW()-1,7)+50)&amp;"=/ s "&amp;INDEX(CUEs!$B:$B,INT((ROW()-1)/7)*57+MOD(ROW()-1,7)+50),"")</f>
        <v/>
      </c>
    </row>
    <row r="4385" spans="1:1" x14ac:dyDescent="0.25">
      <c r="A4385" t="str" cm="1">
        <f t="array" ref="A4385">IF(INDEX(CUEs!$A:$A,INT((ROW()-1)/7)*57+MOD(ROW()-1,7)+50)&lt;&gt;"","set "&amp;INDEX(CUEs!$A:$A,INT((ROW()-1)/7)*57+MOD(ROW()-1,7)+50)&amp;"=/ s "&amp;INDEX(CUEs!$B:$B,INT((ROW()-1)/7)*57+MOD(ROW()-1,7)+50),"")</f>
        <v/>
      </c>
    </row>
    <row r="4386" spans="1:1" x14ac:dyDescent="0.25">
      <c r="A4386" t="str" cm="1">
        <f t="array" ref="A4386">IF(INDEX(CUEs!$A:$A,INT((ROW()-1)/7)*57+MOD(ROW()-1,7)+50)&lt;&gt;"","set "&amp;INDEX(CUEs!$A:$A,INT((ROW()-1)/7)*57+MOD(ROW()-1,7)+50)&amp;"=/ s "&amp;INDEX(CUEs!$B:$B,INT((ROW()-1)/7)*57+MOD(ROW()-1,7)+50),"")</f>
        <v/>
      </c>
    </row>
    <row r="4387" spans="1:1" x14ac:dyDescent="0.25">
      <c r="A4387" t="str" cm="1">
        <f t="array" ref="A4387">IF(INDEX(CUEs!$A:$A,INT((ROW()-1)/7)*57+MOD(ROW()-1,7)+50)&lt;&gt;"","set "&amp;INDEX(CUEs!$A:$A,INT((ROW()-1)/7)*57+MOD(ROW()-1,7)+50)&amp;"=/ s "&amp;INDEX(CUEs!$B:$B,INT((ROW()-1)/7)*57+MOD(ROW()-1,7)+50),"")</f>
        <v/>
      </c>
    </row>
    <row r="4388" spans="1:1" x14ac:dyDescent="0.25">
      <c r="A4388" t="str" cm="1">
        <f t="array" ref="A4388">IF(INDEX(CUEs!$A:$A,INT((ROW()-1)/7)*57+MOD(ROW()-1,7)+50)&lt;&gt;"","set "&amp;INDEX(CUEs!$A:$A,INT((ROW()-1)/7)*57+MOD(ROW()-1,7)+50)&amp;"=/ s "&amp;INDEX(CUEs!$B:$B,INT((ROW()-1)/7)*57+MOD(ROW()-1,7)+50),"")</f>
        <v/>
      </c>
    </row>
    <row r="4389" spans="1:1" x14ac:dyDescent="0.25">
      <c r="A4389" t="str" cm="1">
        <f t="array" ref="A4389">IF(INDEX(CUEs!$A:$A,INT((ROW()-1)/7)*57+MOD(ROW()-1,7)+50)&lt;&gt;"","set "&amp;INDEX(CUEs!$A:$A,INT((ROW()-1)/7)*57+MOD(ROW()-1,7)+50)&amp;"=/ s "&amp;INDEX(CUEs!$B:$B,INT((ROW()-1)/7)*57+MOD(ROW()-1,7)+50),"")</f>
        <v/>
      </c>
    </row>
    <row r="4390" spans="1:1" x14ac:dyDescent="0.25">
      <c r="A4390" t="str" cm="1">
        <f t="array" ref="A4390">IF(INDEX(CUEs!$A:$A,INT((ROW()-1)/7)*57+MOD(ROW()-1,7)+50)&lt;&gt;"","set "&amp;INDEX(CUEs!$A:$A,INT((ROW()-1)/7)*57+MOD(ROW()-1,7)+50)&amp;"=/ s "&amp;INDEX(CUEs!$B:$B,INT((ROW()-1)/7)*57+MOD(ROW()-1,7)+50),"")</f>
        <v/>
      </c>
    </row>
    <row r="4391" spans="1:1" x14ac:dyDescent="0.25">
      <c r="A4391" t="str" cm="1">
        <f t="array" ref="A4391">IF(INDEX(CUEs!$A:$A,INT((ROW()-1)/7)*57+MOD(ROW()-1,7)+50)&lt;&gt;"","set "&amp;INDEX(CUEs!$A:$A,INT((ROW()-1)/7)*57+MOD(ROW()-1,7)+50)&amp;"=/ s "&amp;INDEX(CUEs!$B:$B,INT((ROW()-1)/7)*57+MOD(ROW()-1,7)+50),"")</f>
        <v/>
      </c>
    </row>
    <row r="4392" spans="1:1" x14ac:dyDescent="0.25">
      <c r="A4392" t="str" cm="1">
        <f t="array" ref="A4392">IF(INDEX(CUEs!$A:$A,INT((ROW()-1)/7)*57+MOD(ROW()-1,7)+50)&lt;&gt;"","set "&amp;INDEX(CUEs!$A:$A,INT((ROW()-1)/7)*57+MOD(ROW()-1,7)+50)&amp;"=/ s "&amp;INDEX(CUEs!$B:$B,INT((ROW()-1)/7)*57+MOD(ROW()-1,7)+50),"")</f>
        <v/>
      </c>
    </row>
    <row r="4393" spans="1:1" x14ac:dyDescent="0.25">
      <c r="A4393" t="str" cm="1">
        <f t="array" ref="A4393">IF(INDEX(CUEs!$A:$A,INT((ROW()-1)/7)*57+MOD(ROW()-1,7)+50)&lt;&gt;"","set "&amp;INDEX(CUEs!$A:$A,INT((ROW()-1)/7)*57+MOD(ROW()-1,7)+50)&amp;"=/ s "&amp;INDEX(CUEs!$B:$B,INT((ROW()-1)/7)*57+MOD(ROW()-1,7)+50),"")</f>
        <v/>
      </c>
    </row>
    <row r="4394" spans="1:1" x14ac:dyDescent="0.25">
      <c r="A4394" t="str" cm="1">
        <f t="array" ref="A4394">IF(INDEX(CUEs!$A:$A,INT((ROW()-1)/7)*57+MOD(ROW()-1,7)+50)&lt;&gt;"","set "&amp;INDEX(CUEs!$A:$A,INT((ROW()-1)/7)*57+MOD(ROW()-1,7)+50)&amp;"=/ s "&amp;INDEX(CUEs!$B:$B,INT((ROW()-1)/7)*57+MOD(ROW()-1,7)+50),"")</f>
        <v/>
      </c>
    </row>
    <row r="4395" spans="1:1" x14ac:dyDescent="0.25">
      <c r="A4395" t="str" cm="1">
        <f t="array" ref="A4395">IF(INDEX(CUEs!$A:$A,INT((ROW()-1)/7)*57+MOD(ROW()-1,7)+50)&lt;&gt;"","set "&amp;INDEX(CUEs!$A:$A,INT((ROW()-1)/7)*57+MOD(ROW()-1,7)+50)&amp;"=/ s "&amp;INDEX(CUEs!$B:$B,INT((ROW()-1)/7)*57+MOD(ROW()-1,7)+50),"")</f>
        <v/>
      </c>
    </row>
    <row r="4396" spans="1:1" x14ac:dyDescent="0.25">
      <c r="A4396" t="str" cm="1">
        <f t="array" ref="A4396">IF(INDEX(CUEs!$A:$A,INT((ROW()-1)/7)*57+MOD(ROW()-1,7)+50)&lt;&gt;"","set "&amp;INDEX(CUEs!$A:$A,INT((ROW()-1)/7)*57+MOD(ROW()-1,7)+50)&amp;"=/ s "&amp;INDEX(CUEs!$B:$B,INT((ROW()-1)/7)*57+MOD(ROW()-1,7)+50),"")</f>
        <v/>
      </c>
    </row>
    <row r="4397" spans="1:1" x14ac:dyDescent="0.25">
      <c r="A4397" t="str" cm="1">
        <f t="array" ref="A4397">IF(INDEX(CUEs!$A:$A,INT((ROW()-1)/7)*57+MOD(ROW()-1,7)+50)&lt;&gt;"","set "&amp;INDEX(CUEs!$A:$A,INT((ROW()-1)/7)*57+MOD(ROW()-1,7)+50)&amp;"=/ s "&amp;INDEX(CUEs!$B:$B,INT((ROW()-1)/7)*57+MOD(ROW()-1,7)+50),"")</f>
        <v/>
      </c>
    </row>
    <row r="4398" spans="1:1" x14ac:dyDescent="0.25">
      <c r="A4398" t="str" cm="1">
        <f t="array" ref="A4398">IF(INDEX(CUEs!$A:$A,INT((ROW()-1)/7)*57+MOD(ROW()-1,7)+50)&lt;&gt;"","set "&amp;INDEX(CUEs!$A:$A,INT((ROW()-1)/7)*57+MOD(ROW()-1,7)+50)&amp;"=/ s "&amp;INDEX(CUEs!$B:$B,INT((ROW()-1)/7)*57+MOD(ROW()-1,7)+50),"")</f>
        <v/>
      </c>
    </row>
    <row r="4399" spans="1:1" x14ac:dyDescent="0.25">
      <c r="A4399" t="str" cm="1">
        <f t="array" ref="A4399">IF(INDEX(CUEs!$A:$A,INT((ROW()-1)/7)*57+MOD(ROW()-1,7)+50)&lt;&gt;"","set "&amp;INDEX(CUEs!$A:$A,INT((ROW()-1)/7)*57+MOD(ROW()-1,7)+50)&amp;"=/ s "&amp;INDEX(CUEs!$B:$B,INT((ROW()-1)/7)*57+MOD(ROW()-1,7)+50),"")</f>
        <v/>
      </c>
    </row>
    <row r="4400" spans="1:1" x14ac:dyDescent="0.25">
      <c r="A4400" t="str" cm="1">
        <f t="array" ref="A4400">IF(INDEX(CUEs!$A:$A,INT((ROW()-1)/7)*57+MOD(ROW()-1,7)+50)&lt;&gt;"","set "&amp;INDEX(CUEs!$A:$A,INT((ROW()-1)/7)*57+MOD(ROW()-1,7)+50)&amp;"=/ s "&amp;INDEX(CUEs!$B:$B,INT((ROW()-1)/7)*57+MOD(ROW()-1,7)+50),"")</f>
        <v/>
      </c>
    </row>
    <row r="4401" spans="1:1" x14ac:dyDescent="0.25">
      <c r="A4401" t="str" cm="1">
        <f t="array" ref="A4401">IF(INDEX(CUEs!$A:$A,INT((ROW()-1)/7)*57+MOD(ROW()-1,7)+50)&lt;&gt;"","set "&amp;INDEX(CUEs!$A:$A,INT((ROW()-1)/7)*57+MOD(ROW()-1,7)+50)&amp;"=/ s "&amp;INDEX(CUEs!$B:$B,INT((ROW()-1)/7)*57+MOD(ROW()-1,7)+50),"")</f>
        <v/>
      </c>
    </row>
    <row r="4402" spans="1:1" x14ac:dyDescent="0.25">
      <c r="A4402" t="str" cm="1">
        <f t="array" ref="A4402">IF(INDEX(CUEs!$A:$A,INT((ROW()-1)/7)*57+MOD(ROW()-1,7)+50)&lt;&gt;"","set "&amp;INDEX(CUEs!$A:$A,INT((ROW()-1)/7)*57+MOD(ROW()-1,7)+50)&amp;"=/ s "&amp;INDEX(CUEs!$B:$B,INT((ROW()-1)/7)*57+MOD(ROW()-1,7)+50),"")</f>
        <v/>
      </c>
    </row>
    <row r="4403" spans="1:1" x14ac:dyDescent="0.25">
      <c r="A4403" t="str" cm="1">
        <f t="array" ref="A4403">IF(INDEX(CUEs!$A:$A,INT((ROW()-1)/7)*57+MOD(ROW()-1,7)+50)&lt;&gt;"","set "&amp;INDEX(CUEs!$A:$A,INT((ROW()-1)/7)*57+MOD(ROW()-1,7)+50)&amp;"=/ s "&amp;INDEX(CUEs!$B:$B,INT((ROW()-1)/7)*57+MOD(ROW()-1,7)+50),"")</f>
        <v/>
      </c>
    </row>
    <row r="4404" spans="1:1" x14ac:dyDescent="0.25">
      <c r="A4404" t="str" cm="1">
        <f t="array" ref="A4404">IF(INDEX(CUEs!$A:$A,INT((ROW()-1)/7)*57+MOD(ROW()-1,7)+50)&lt;&gt;"","set "&amp;INDEX(CUEs!$A:$A,INT((ROW()-1)/7)*57+MOD(ROW()-1,7)+50)&amp;"=/ s "&amp;INDEX(CUEs!$B:$B,INT((ROW()-1)/7)*57+MOD(ROW()-1,7)+50),"")</f>
        <v/>
      </c>
    </row>
    <row r="4405" spans="1:1" x14ac:dyDescent="0.25">
      <c r="A4405" t="str" cm="1">
        <f t="array" ref="A4405">IF(INDEX(CUEs!$A:$A,INT((ROW()-1)/7)*57+MOD(ROW()-1,7)+50)&lt;&gt;"","set "&amp;INDEX(CUEs!$A:$A,INT((ROW()-1)/7)*57+MOD(ROW()-1,7)+50)&amp;"=/ s "&amp;INDEX(CUEs!$B:$B,INT((ROW()-1)/7)*57+MOD(ROW()-1,7)+50),"")</f>
        <v/>
      </c>
    </row>
    <row r="4406" spans="1:1" x14ac:dyDescent="0.25">
      <c r="A4406" t="str" cm="1">
        <f t="array" ref="A4406">IF(INDEX(CUEs!$A:$A,INT((ROW()-1)/7)*57+MOD(ROW()-1,7)+50)&lt;&gt;"","set "&amp;INDEX(CUEs!$A:$A,INT((ROW()-1)/7)*57+MOD(ROW()-1,7)+50)&amp;"=/ s "&amp;INDEX(CUEs!$B:$B,INT((ROW()-1)/7)*57+MOD(ROW()-1,7)+50),"")</f>
        <v/>
      </c>
    </row>
    <row r="4407" spans="1:1" x14ac:dyDescent="0.25">
      <c r="A4407" t="str" cm="1">
        <f t="array" ref="A4407">IF(INDEX(CUEs!$A:$A,INT((ROW()-1)/7)*57+MOD(ROW()-1,7)+50)&lt;&gt;"","set "&amp;INDEX(CUEs!$A:$A,INT((ROW()-1)/7)*57+MOD(ROW()-1,7)+50)&amp;"=/ s "&amp;INDEX(CUEs!$B:$B,INT((ROW()-1)/7)*57+MOD(ROW()-1,7)+50),"")</f>
        <v/>
      </c>
    </row>
    <row r="4408" spans="1:1" x14ac:dyDescent="0.25">
      <c r="A4408" t="str" cm="1">
        <f t="array" ref="A4408">IF(INDEX(CUEs!$A:$A,INT((ROW()-1)/7)*57+MOD(ROW()-1,7)+50)&lt;&gt;"","set "&amp;INDEX(CUEs!$A:$A,INT((ROW()-1)/7)*57+MOD(ROW()-1,7)+50)&amp;"=/ s "&amp;INDEX(CUEs!$B:$B,INT((ROW()-1)/7)*57+MOD(ROW()-1,7)+50),"")</f>
        <v/>
      </c>
    </row>
    <row r="4409" spans="1:1" x14ac:dyDescent="0.25">
      <c r="A4409" t="str" cm="1">
        <f t="array" ref="A4409">IF(INDEX(CUEs!$A:$A,INT((ROW()-1)/7)*57+MOD(ROW()-1,7)+50)&lt;&gt;"","set "&amp;INDEX(CUEs!$A:$A,INT((ROW()-1)/7)*57+MOD(ROW()-1,7)+50)&amp;"=/ s "&amp;INDEX(CUEs!$B:$B,INT((ROW()-1)/7)*57+MOD(ROW()-1,7)+50),"")</f>
        <v/>
      </c>
    </row>
    <row r="4410" spans="1:1" x14ac:dyDescent="0.25">
      <c r="A4410" t="str" cm="1">
        <f t="array" ref="A4410">IF(INDEX(CUEs!$A:$A,INT((ROW()-1)/7)*57+MOD(ROW()-1,7)+50)&lt;&gt;"","set "&amp;INDEX(CUEs!$A:$A,INT((ROW()-1)/7)*57+MOD(ROW()-1,7)+50)&amp;"=/ s "&amp;INDEX(CUEs!$B:$B,INT((ROW()-1)/7)*57+MOD(ROW()-1,7)+50),"")</f>
        <v/>
      </c>
    </row>
    <row r="4411" spans="1:1" x14ac:dyDescent="0.25">
      <c r="A4411" t="str" cm="1">
        <f t="array" ref="A4411">IF(INDEX(CUEs!$A:$A,INT((ROW()-1)/7)*57+MOD(ROW()-1,7)+50)&lt;&gt;"","set "&amp;INDEX(CUEs!$A:$A,INT((ROW()-1)/7)*57+MOD(ROW()-1,7)+50)&amp;"=/ s "&amp;INDEX(CUEs!$B:$B,INT((ROW()-1)/7)*57+MOD(ROW()-1,7)+50),"")</f>
        <v/>
      </c>
    </row>
    <row r="4412" spans="1:1" x14ac:dyDescent="0.25">
      <c r="A4412" t="str" cm="1">
        <f t="array" ref="A4412">IF(INDEX(CUEs!$A:$A,INT((ROW()-1)/7)*57+MOD(ROW()-1,7)+50)&lt;&gt;"","set "&amp;INDEX(CUEs!$A:$A,INT((ROW()-1)/7)*57+MOD(ROW()-1,7)+50)&amp;"=/ s "&amp;INDEX(CUEs!$B:$B,INT((ROW()-1)/7)*57+MOD(ROW()-1,7)+50),"")</f>
        <v/>
      </c>
    </row>
    <row r="4413" spans="1:1" x14ac:dyDescent="0.25">
      <c r="A4413" t="str" cm="1">
        <f t="array" ref="A4413">IF(INDEX(CUEs!$A:$A,INT((ROW()-1)/7)*57+MOD(ROW()-1,7)+50)&lt;&gt;"","set "&amp;INDEX(CUEs!$A:$A,INT((ROW()-1)/7)*57+MOD(ROW()-1,7)+50)&amp;"=/ s "&amp;INDEX(CUEs!$B:$B,INT((ROW()-1)/7)*57+MOD(ROW()-1,7)+50),"")</f>
        <v/>
      </c>
    </row>
    <row r="4414" spans="1:1" x14ac:dyDescent="0.25">
      <c r="A4414" t="str" cm="1">
        <f t="array" ref="A4414">IF(INDEX(CUEs!$A:$A,INT((ROW()-1)/7)*57+MOD(ROW()-1,7)+50)&lt;&gt;"","set "&amp;INDEX(CUEs!$A:$A,INT((ROW()-1)/7)*57+MOD(ROW()-1,7)+50)&amp;"=/ s "&amp;INDEX(CUEs!$B:$B,INT((ROW()-1)/7)*57+MOD(ROW()-1,7)+50),"")</f>
        <v/>
      </c>
    </row>
    <row r="4415" spans="1:1" x14ac:dyDescent="0.25">
      <c r="A4415" t="str" cm="1">
        <f t="array" ref="A4415">IF(INDEX(CUEs!$A:$A,INT((ROW()-1)/7)*57+MOD(ROW()-1,7)+50)&lt;&gt;"","set "&amp;INDEX(CUEs!$A:$A,INT((ROW()-1)/7)*57+MOD(ROW()-1,7)+50)&amp;"=/ s "&amp;INDEX(CUEs!$B:$B,INT((ROW()-1)/7)*57+MOD(ROW()-1,7)+50),"")</f>
        <v/>
      </c>
    </row>
    <row r="4416" spans="1:1" x14ac:dyDescent="0.25">
      <c r="A4416" t="str" cm="1">
        <f t="array" ref="A4416">IF(INDEX(CUEs!$A:$A,INT((ROW()-1)/7)*57+MOD(ROW()-1,7)+50)&lt;&gt;"","set "&amp;INDEX(CUEs!$A:$A,INT((ROW()-1)/7)*57+MOD(ROW()-1,7)+50)&amp;"=/ s "&amp;INDEX(CUEs!$B:$B,INT((ROW()-1)/7)*57+MOD(ROW()-1,7)+50),"")</f>
        <v/>
      </c>
    </row>
    <row r="4417" spans="1:1" x14ac:dyDescent="0.25">
      <c r="A4417" t="str" cm="1">
        <f t="array" ref="A4417">IF(INDEX(CUEs!$A:$A,INT((ROW()-1)/7)*57+MOD(ROW()-1,7)+50)&lt;&gt;"","set "&amp;INDEX(CUEs!$A:$A,INT((ROW()-1)/7)*57+MOD(ROW()-1,7)+50)&amp;"=/ s "&amp;INDEX(CUEs!$B:$B,INT((ROW()-1)/7)*57+MOD(ROW()-1,7)+50),"")</f>
        <v/>
      </c>
    </row>
    <row r="4418" spans="1:1" x14ac:dyDescent="0.25">
      <c r="A4418" t="str" cm="1">
        <f t="array" ref="A4418">IF(INDEX(CUEs!$A:$A,INT((ROW()-1)/7)*57+MOD(ROW()-1,7)+50)&lt;&gt;"","set "&amp;INDEX(CUEs!$A:$A,INT((ROW()-1)/7)*57+MOD(ROW()-1,7)+50)&amp;"=/ s "&amp;INDEX(CUEs!$B:$B,INT((ROW()-1)/7)*57+MOD(ROW()-1,7)+50),"")</f>
        <v/>
      </c>
    </row>
    <row r="4419" spans="1:1" x14ac:dyDescent="0.25">
      <c r="A4419" t="str" cm="1">
        <f t="array" ref="A4419">IF(INDEX(CUEs!$A:$A,INT((ROW()-1)/7)*57+MOD(ROW()-1,7)+50)&lt;&gt;"","set "&amp;INDEX(CUEs!$A:$A,INT((ROW()-1)/7)*57+MOD(ROW()-1,7)+50)&amp;"=/ s "&amp;INDEX(CUEs!$B:$B,INT((ROW()-1)/7)*57+MOD(ROW()-1,7)+50),"")</f>
        <v/>
      </c>
    </row>
    <row r="4420" spans="1:1" x14ac:dyDescent="0.25">
      <c r="A4420" t="str" cm="1">
        <f t="array" ref="A4420">IF(INDEX(CUEs!$A:$A,INT((ROW()-1)/7)*57+MOD(ROW()-1,7)+50)&lt;&gt;"","set "&amp;INDEX(CUEs!$A:$A,INT((ROW()-1)/7)*57+MOD(ROW()-1,7)+50)&amp;"=/ s "&amp;INDEX(CUEs!$B:$B,INT((ROW()-1)/7)*57+MOD(ROW()-1,7)+50),"")</f>
        <v/>
      </c>
    </row>
    <row r="4421" spans="1:1" x14ac:dyDescent="0.25">
      <c r="A4421" t="str" cm="1">
        <f t="array" ref="A4421">IF(INDEX(CUEs!$A:$A,INT((ROW()-1)/7)*57+MOD(ROW()-1,7)+50)&lt;&gt;"","set "&amp;INDEX(CUEs!$A:$A,INT((ROW()-1)/7)*57+MOD(ROW()-1,7)+50)&amp;"=/ s "&amp;INDEX(CUEs!$B:$B,INT((ROW()-1)/7)*57+MOD(ROW()-1,7)+50),"")</f>
        <v/>
      </c>
    </row>
    <row r="4422" spans="1:1" x14ac:dyDescent="0.25">
      <c r="A4422" t="str" cm="1">
        <f t="array" ref="A4422">IF(INDEX(CUEs!$A:$A,INT((ROW()-1)/7)*57+MOD(ROW()-1,7)+50)&lt;&gt;"","set "&amp;INDEX(CUEs!$A:$A,INT((ROW()-1)/7)*57+MOD(ROW()-1,7)+50)&amp;"=/ s "&amp;INDEX(CUEs!$B:$B,INT((ROW()-1)/7)*57+MOD(ROW()-1,7)+50),"")</f>
        <v/>
      </c>
    </row>
    <row r="4423" spans="1:1" x14ac:dyDescent="0.25">
      <c r="A4423" t="str" cm="1">
        <f t="array" ref="A4423">IF(INDEX(CUEs!$A:$A,INT((ROW()-1)/7)*57+MOD(ROW()-1,7)+50)&lt;&gt;"","set "&amp;INDEX(CUEs!$A:$A,INT((ROW()-1)/7)*57+MOD(ROW()-1,7)+50)&amp;"=/ s "&amp;INDEX(CUEs!$B:$B,INT((ROW()-1)/7)*57+MOD(ROW()-1,7)+50),"")</f>
        <v/>
      </c>
    </row>
    <row r="4424" spans="1:1" x14ac:dyDescent="0.25">
      <c r="A4424" t="str" cm="1">
        <f t="array" ref="A4424">IF(INDEX(CUEs!$A:$A,INT((ROW()-1)/7)*57+MOD(ROW()-1,7)+50)&lt;&gt;"","set "&amp;INDEX(CUEs!$A:$A,INT((ROW()-1)/7)*57+MOD(ROW()-1,7)+50)&amp;"=/ s "&amp;INDEX(CUEs!$B:$B,INT((ROW()-1)/7)*57+MOD(ROW()-1,7)+50),"")</f>
        <v/>
      </c>
    </row>
    <row r="4425" spans="1:1" x14ac:dyDescent="0.25">
      <c r="A4425" t="str" cm="1">
        <f t="array" ref="A4425">IF(INDEX(CUEs!$A:$A,INT((ROW()-1)/7)*57+MOD(ROW()-1,7)+50)&lt;&gt;"","set "&amp;INDEX(CUEs!$A:$A,INT((ROW()-1)/7)*57+MOD(ROW()-1,7)+50)&amp;"=/ s "&amp;INDEX(CUEs!$B:$B,INT((ROW()-1)/7)*57+MOD(ROW()-1,7)+50),"")</f>
        <v/>
      </c>
    </row>
    <row r="4426" spans="1:1" x14ac:dyDescent="0.25">
      <c r="A4426" t="str" cm="1">
        <f t="array" ref="A4426">IF(INDEX(CUEs!$A:$A,INT((ROW()-1)/7)*57+MOD(ROW()-1,7)+50)&lt;&gt;"","set "&amp;INDEX(CUEs!$A:$A,INT((ROW()-1)/7)*57+MOD(ROW()-1,7)+50)&amp;"=/ s "&amp;INDEX(CUEs!$B:$B,INT((ROW()-1)/7)*57+MOD(ROW()-1,7)+50),"")</f>
        <v/>
      </c>
    </row>
    <row r="4427" spans="1:1" x14ac:dyDescent="0.25">
      <c r="A4427" t="str" cm="1">
        <f t="array" ref="A4427">IF(INDEX(CUEs!$A:$A,INT((ROW()-1)/7)*57+MOD(ROW()-1,7)+50)&lt;&gt;"","set "&amp;INDEX(CUEs!$A:$A,INT((ROW()-1)/7)*57+MOD(ROW()-1,7)+50)&amp;"=/ s "&amp;INDEX(CUEs!$B:$B,INT((ROW()-1)/7)*57+MOD(ROW()-1,7)+50),"")</f>
        <v/>
      </c>
    </row>
    <row r="4428" spans="1:1" x14ac:dyDescent="0.25">
      <c r="A4428" t="str" cm="1">
        <f t="array" ref="A4428">IF(INDEX(CUEs!$A:$A,INT((ROW()-1)/7)*57+MOD(ROW()-1,7)+50)&lt;&gt;"","set "&amp;INDEX(CUEs!$A:$A,INT((ROW()-1)/7)*57+MOD(ROW()-1,7)+50)&amp;"=/ s "&amp;INDEX(CUEs!$B:$B,INT((ROW()-1)/7)*57+MOD(ROW()-1,7)+50),"")</f>
        <v/>
      </c>
    </row>
    <row r="4429" spans="1:1" x14ac:dyDescent="0.25">
      <c r="A4429" t="str" cm="1">
        <f t="array" ref="A4429">IF(INDEX(CUEs!$A:$A,INT((ROW()-1)/7)*57+MOD(ROW()-1,7)+50)&lt;&gt;"","set "&amp;INDEX(CUEs!$A:$A,INT((ROW()-1)/7)*57+MOD(ROW()-1,7)+50)&amp;"=/ s "&amp;INDEX(CUEs!$B:$B,INT((ROW()-1)/7)*57+MOD(ROW()-1,7)+50),"")</f>
        <v/>
      </c>
    </row>
    <row r="4430" spans="1:1" x14ac:dyDescent="0.25">
      <c r="A4430" t="str" cm="1">
        <f t="array" ref="A4430">IF(INDEX(CUEs!$A:$A,INT((ROW()-1)/7)*57+MOD(ROW()-1,7)+50)&lt;&gt;"","set "&amp;INDEX(CUEs!$A:$A,INT((ROW()-1)/7)*57+MOD(ROW()-1,7)+50)&amp;"=/ s "&amp;INDEX(CUEs!$B:$B,INT((ROW()-1)/7)*57+MOD(ROW()-1,7)+50),"")</f>
        <v/>
      </c>
    </row>
    <row r="4431" spans="1:1" x14ac:dyDescent="0.25">
      <c r="A4431" t="str" cm="1">
        <f t="array" ref="A4431">IF(INDEX(CUEs!$A:$A,INT((ROW()-1)/7)*57+MOD(ROW()-1,7)+50)&lt;&gt;"","set "&amp;INDEX(CUEs!$A:$A,INT((ROW()-1)/7)*57+MOD(ROW()-1,7)+50)&amp;"=/ s "&amp;INDEX(CUEs!$B:$B,INT((ROW()-1)/7)*57+MOD(ROW()-1,7)+50),"")</f>
        <v/>
      </c>
    </row>
    <row r="4432" spans="1:1" x14ac:dyDescent="0.25">
      <c r="A4432" t="str" cm="1">
        <f t="array" ref="A4432">IF(INDEX(CUEs!$A:$A,INT((ROW()-1)/7)*57+MOD(ROW()-1,7)+50)&lt;&gt;"","set "&amp;INDEX(CUEs!$A:$A,INT((ROW()-1)/7)*57+MOD(ROW()-1,7)+50)&amp;"=/ s "&amp;INDEX(CUEs!$B:$B,INT((ROW()-1)/7)*57+MOD(ROW()-1,7)+50),"")</f>
        <v/>
      </c>
    </row>
    <row r="4433" spans="1:1" x14ac:dyDescent="0.25">
      <c r="A4433" t="str" cm="1">
        <f t="array" ref="A4433">IF(INDEX(CUEs!$A:$A,INT((ROW()-1)/7)*57+MOD(ROW()-1,7)+50)&lt;&gt;"","set "&amp;INDEX(CUEs!$A:$A,INT((ROW()-1)/7)*57+MOD(ROW()-1,7)+50)&amp;"=/ s "&amp;INDEX(CUEs!$B:$B,INT((ROW()-1)/7)*57+MOD(ROW()-1,7)+50),"")</f>
        <v/>
      </c>
    </row>
    <row r="4434" spans="1:1" x14ac:dyDescent="0.25">
      <c r="A4434" t="str" cm="1">
        <f t="array" ref="A4434">IF(INDEX(CUEs!$A:$A,INT((ROW()-1)/7)*57+MOD(ROW()-1,7)+50)&lt;&gt;"","set "&amp;INDEX(CUEs!$A:$A,INT((ROW()-1)/7)*57+MOD(ROW()-1,7)+50)&amp;"=/ s "&amp;INDEX(CUEs!$B:$B,INT((ROW()-1)/7)*57+MOD(ROW()-1,7)+50),"")</f>
        <v/>
      </c>
    </row>
    <row r="4435" spans="1:1" x14ac:dyDescent="0.25">
      <c r="A4435" t="str" cm="1">
        <f t="array" ref="A4435">IF(INDEX(CUEs!$A:$A,INT((ROW()-1)/7)*57+MOD(ROW()-1,7)+50)&lt;&gt;"","set "&amp;INDEX(CUEs!$A:$A,INT((ROW()-1)/7)*57+MOD(ROW()-1,7)+50)&amp;"=/ s "&amp;INDEX(CUEs!$B:$B,INT((ROW()-1)/7)*57+MOD(ROW()-1,7)+50),"")</f>
        <v/>
      </c>
    </row>
    <row r="4436" spans="1:1" x14ac:dyDescent="0.25">
      <c r="A4436" t="str" cm="1">
        <f t="array" ref="A4436">IF(INDEX(CUEs!$A:$A,INT((ROW()-1)/7)*57+MOD(ROW()-1,7)+50)&lt;&gt;"","set "&amp;INDEX(CUEs!$A:$A,INT((ROW()-1)/7)*57+MOD(ROW()-1,7)+50)&amp;"=/ s "&amp;INDEX(CUEs!$B:$B,INT((ROW()-1)/7)*57+MOD(ROW()-1,7)+50),"")</f>
        <v/>
      </c>
    </row>
    <row r="4437" spans="1:1" x14ac:dyDescent="0.25">
      <c r="A4437" t="str" cm="1">
        <f t="array" ref="A4437">IF(INDEX(CUEs!$A:$A,INT((ROW()-1)/7)*57+MOD(ROW()-1,7)+50)&lt;&gt;"","set "&amp;INDEX(CUEs!$A:$A,INT((ROW()-1)/7)*57+MOD(ROW()-1,7)+50)&amp;"=/ s "&amp;INDEX(CUEs!$B:$B,INT((ROW()-1)/7)*57+MOD(ROW()-1,7)+50),"")</f>
        <v/>
      </c>
    </row>
    <row r="4438" spans="1:1" x14ac:dyDescent="0.25">
      <c r="A4438" t="str" cm="1">
        <f t="array" ref="A4438">IF(INDEX(CUEs!$A:$A,INT((ROW()-1)/7)*57+MOD(ROW()-1,7)+50)&lt;&gt;"","set "&amp;INDEX(CUEs!$A:$A,INT((ROW()-1)/7)*57+MOD(ROW()-1,7)+50)&amp;"=/ s "&amp;INDEX(CUEs!$B:$B,INT((ROW()-1)/7)*57+MOD(ROW()-1,7)+50),"")</f>
        <v/>
      </c>
    </row>
    <row r="4439" spans="1:1" x14ac:dyDescent="0.25">
      <c r="A4439" t="str" cm="1">
        <f t="array" ref="A4439">IF(INDEX(CUEs!$A:$A,INT((ROW()-1)/7)*57+MOD(ROW()-1,7)+50)&lt;&gt;"","set "&amp;INDEX(CUEs!$A:$A,INT((ROW()-1)/7)*57+MOD(ROW()-1,7)+50)&amp;"=/ s "&amp;INDEX(CUEs!$B:$B,INT((ROW()-1)/7)*57+MOD(ROW()-1,7)+50),"")</f>
        <v/>
      </c>
    </row>
    <row r="4440" spans="1:1" x14ac:dyDescent="0.25">
      <c r="A4440" t="str" cm="1">
        <f t="array" ref="A4440">IF(INDEX(CUEs!$A:$A,INT((ROW()-1)/7)*57+MOD(ROW()-1,7)+50)&lt;&gt;"","set "&amp;INDEX(CUEs!$A:$A,INT((ROW()-1)/7)*57+MOD(ROW()-1,7)+50)&amp;"=/ s "&amp;INDEX(CUEs!$B:$B,INT((ROW()-1)/7)*57+MOD(ROW()-1,7)+50),"")</f>
        <v/>
      </c>
    </row>
    <row r="4441" spans="1:1" x14ac:dyDescent="0.25">
      <c r="A4441" t="str" cm="1">
        <f t="array" ref="A4441">IF(INDEX(CUEs!$A:$A,INT((ROW()-1)/7)*57+MOD(ROW()-1,7)+50)&lt;&gt;"","set "&amp;INDEX(CUEs!$A:$A,INT((ROW()-1)/7)*57+MOD(ROW()-1,7)+50)&amp;"=/ s "&amp;INDEX(CUEs!$B:$B,INT((ROW()-1)/7)*57+MOD(ROW()-1,7)+50),"")</f>
        <v/>
      </c>
    </row>
    <row r="4442" spans="1:1" x14ac:dyDescent="0.25">
      <c r="A4442" t="str" cm="1">
        <f t="array" ref="A4442">IF(INDEX(CUEs!$A:$A,INT((ROW()-1)/7)*57+MOD(ROW()-1,7)+50)&lt;&gt;"","set "&amp;INDEX(CUEs!$A:$A,INT((ROW()-1)/7)*57+MOD(ROW()-1,7)+50)&amp;"=/ s "&amp;INDEX(CUEs!$B:$B,INT((ROW()-1)/7)*57+MOD(ROW()-1,7)+50),"")</f>
        <v/>
      </c>
    </row>
    <row r="4443" spans="1:1" x14ac:dyDescent="0.25">
      <c r="A4443" t="str" cm="1">
        <f t="array" ref="A4443">IF(INDEX(CUEs!$A:$A,INT((ROW()-1)/7)*57+MOD(ROW()-1,7)+50)&lt;&gt;"","set "&amp;INDEX(CUEs!$A:$A,INT((ROW()-1)/7)*57+MOD(ROW()-1,7)+50)&amp;"=/ s "&amp;INDEX(CUEs!$B:$B,INT((ROW()-1)/7)*57+MOD(ROW()-1,7)+50),"")</f>
        <v/>
      </c>
    </row>
    <row r="4444" spans="1:1" x14ac:dyDescent="0.25">
      <c r="A4444" t="str" cm="1">
        <f t="array" ref="A4444">IF(INDEX(CUEs!$A:$A,INT((ROW()-1)/7)*57+MOD(ROW()-1,7)+50)&lt;&gt;"","set "&amp;INDEX(CUEs!$A:$A,INT((ROW()-1)/7)*57+MOD(ROW()-1,7)+50)&amp;"=/ s "&amp;INDEX(CUEs!$B:$B,INT((ROW()-1)/7)*57+MOD(ROW()-1,7)+50),"")</f>
        <v/>
      </c>
    </row>
    <row r="4445" spans="1:1" x14ac:dyDescent="0.25">
      <c r="A4445" t="str" cm="1">
        <f t="array" ref="A4445">IF(INDEX(CUEs!$A:$A,INT((ROW()-1)/7)*57+MOD(ROW()-1,7)+50)&lt;&gt;"","set "&amp;INDEX(CUEs!$A:$A,INT((ROW()-1)/7)*57+MOD(ROW()-1,7)+50)&amp;"=/ s "&amp;INDEX(CUEs!$B:$B,INT((ROW()-1)/7)*57+MOD(ROW()-1,7)+50),"")</f>
        <v/>
      </c>
    </row>
    <row r="4446" spans="1:1" x14ac:dyDescent="0.25">
      <c r="A4446" t="str" cm="1">
        <f t="array" ref="A4446">IF(INDEX(CUEs!$A:$A,INT((ROW()-1)/7)*57+MOD(ROW()-1,7)+50)&lt;&gt;"","set "&amp;INDEX(CUEs!$A:$A,INT((ROW()-1)/7)*57+MOD(ROW()-1,7)+50)&amp;"=/ s "&amp;INDEX(CUEs!$B:$B,INT((ROW()-1)/7)*57+MOD(ROW()-1,7)+50),"")</f>
        <v/>
      </c>
    </row>
    <row r="4447" spans="1:1" x14ac:dyDescent="0.25">
      <c r="A4447" t="str" cm="1">
        <f t="array" ref="A4447">IF(INDEX(CUEs!$A:$A,INT((ROW()-1)/7)*57+MOD(ROW()-1,7)+50)&lt;&gt;"","set "&amp;INDEX(CUEs!$A:$A,INT((ROW()-1)/7)*57+MOD(ROW()-1,7)+50)&amp;"=/ s "&amp;INDEX(CUEs!$B:$B,INT((ROW()-1)/7)*57+MOD(ROW()-1,7)+50),"")</f>
        <v/>
      </c>
    </row>
    <row r="4448" spans="1:1" x14ac:dyDescent="0.25">
      <c r="A4448" t="str" cm="1">
        <f t="array" ref="A4448">IF(INDEX(CUEs!$A:$A,INT((ROW()-1)/7)*57+MOD(ROW()-1,7)+50)&lt;&gt;"","set "&amp;INDEX(CUEs!$A:$A,INT((ROW()-1)/7)*57+MOD(ROW()-1,7)+50)&amp;"=/ s "&amp;INDEX(CUEs!$B:$B,INT((ROW()-1)/7)*57+MOD(ROW()-1,7)+50),"")</f>
        <v/>
      </c>
    </row>
    <row r="4449" spans="1:1" x14ac:dyDescent="0.25">
      <c r="A4449" t="str" cm="1">
        <f t="array" ref="A4449">IF(INDEX(CUEs!$A:$A,INT((ROW()-1)/7)*57+MOD(ROW()-1,7)+50)&lt;&gt;"","set "&amp;INDEX(CUEs!$A:$A,INT((ROW()-1)/7)*57+MOD(ROW()-1,7)+50)&amp;"=/ s "&amp;INDEX(CUEs!$B:$B,INT((ROW()-1)/7)*57+MOD(ROW()-1,7)+50),"")</f>
        <v/>
      </c>
    </row>
    <row r="4450" spans="1:1" x14ac:dyDescent="0.25">
      <c r="A4450" t="str" cm="1">
        <f t="array" ref="A4450">IF(INDEX(CUEs!$A:$A,INT((ROW()-1)/7)*57+MOD(ROW()-1,7)+50)&lt;&gt;"","set "&amp;INDEX(CUEs!$A:$A,INT((ROW()-1)/7)*57+MOD(ROW()-1,7)+50)&amp;"=/ s "&amp;INDEX(CUEs!$B:$B,INT((ROW()-1)/7)*57+MOD(ROW()-1,7)+50),"")</f>
        <v/>
      </c>
    </row>
    <row r="4451" spans="1:1" x14ac:dyDescent="0.25">
      <c r="A4451" t="str" cm="1">
        <f t="array" ref="A4451">IF(INDEX(CUEs!$A:$A,INT((ROW()-1)/7)*57+MOD(ROW()-1,7)+50)&lt;&gt;"","set "&amp;INDEX(CUEs!$A:$A,INT((ROW()-1)/7)*57+MOD(ROW()-1,7)+50)&amp;"=/ s "&amp;INDEX(CUEs!$B:$B,INT((ROW()-1)/7)*57+MOD(ROW()-1,7)+50),"")</f>
        <v/>
      </c>
    </row>
    <row r="4452" spans="1:1" x14ac:dyDescent="0.25">
      <c r="A4452" t="str" cm="1">
        <f t="array" ref="A4452">IF(INDEX(CUEs!$A:$A,INT((ROW()-1)/7)*57+MOD(ROW()-1,7)+50)&lt;&gt;"","set "&amp;INDEX(CUEs!$A:$A,INT((ROW()-1)/7)*57+MOD(ROW()-1,7)+50)&amp;"=/ s "&amp;INDEX(CUEs!$B:$B,INT((ROW()-1)/7)*57+MOD(ROW()-1,7)+50),"")</f>
        <v/>
      </c>
    </row>
    <row r="4453" spans="1:1" x14ac:dyDescent="0.25">
      <c r="A4453" t="str" cm="1">
        <f t="array" ref="A4453">IF(INDEX(CUEs!$A:$A,INT((ROW()-1)/7)*57+MOD(ROW()-1,7)+50)&lt;&gt;"","set "&amp;INDEX(CUEs!$A:$A,INT((ROW()-1)/7)*57+MOD(ROW()-1,7)+50)&amp;"=/ s "&amp;INDEX(CUEs!$B:$B,INT((ROW()-1)/7)*57+MOD(ROW()-1,7)+50),"")</f>
        <v/>
      </c>
    </row>
    <row r="4454" spans="1:1" x14ac:dyDescent="0.25">
      <c r="A4454" t="str" cm="1">
        <f t="array" ref="A4454">IF(INDEX(CUEs!$A:$A,INT((ROW()-1)/7)*57+MOD(ROW()-1,7)+50)&lt;&gt;"","set "&amp;INDEX(CUEs!$A:$A,INT((ROW()-1)/7)*57+MOD(ROW()-1,7)+50)&amp;"=/ s "&amp;INDEX(CUEs!$B:$B,INT((ROW()-1)/7)*57+MOD(ROW()-1,7)+50),"")</f>
        <v/>
      </c>
    </row>
    <row r="4455" spans="1:1" x14ac:dyDescent="0.25">
      <c r="A4455" t="str" cm="1">
        <f t="array" ref="A4455">IF(INDEX(CUEs!$A:$A,INT((ROW()-1)/7)*57+MOD(ROW()-1,7)+50)&lt;&gt;"","set "&amp;INDEX(CUEs!$A:$A,INT((ROW()-1)/7)*57+MOD(ROW()-1,7)+50)&amp;"=/ s "&amp;INDEX(CUEs!$B:$B,INT((ROW()-1)/7)*57+MOD(ROW()-1,7)+50),"")</f>
        <v/>
      </c>
    </row>
    <row r="4456" spans="1:1" x14ac:dyDescent="0.25">
      <c r="A4456" t="str" cm="1">
        <f t="array" ref="A4456">IF(INDEX(CUEs!$A:$A,INT((ROW()-1)/7)*57+MOD(ROW()-1,7)+50)&lt;&gt;"","set "&amp;INDEX(CUEs!$A:$A,INT((ROW()-1)/7)*57+MOD(ROW()-1,7)+50)&amp;"=/ s "&amp;INDEX(CUEs!$B:$B,INT((ROW()-1)/7)*57+MOD(ROW()-1,7)+50),"")</f>
        <v/>
      </c>
    </row>
    <row r="4457" spans="1:1" x14ac:dyDescent="0.25">
      <c r="A4457" t="str" cm="1">
        <f t="array" ref="A4457">IF(INDEX(CUEs!$A:$A,INT((ROW()-1)/7)*57+MOD(ROW()-1,7)+50)&lt;&gt;"","set "&amp;INDEX(CUEs!$A:$A,INT((ROW()-1)/7)*57+MOD(ROW()-1,7)+50)&amp;"=/ s "&amp;INDEX(CUEs!$B:$B,INT((ROW()-1)/7)*57+MOD(ROW()-1,7)+50),"")</f>
        <v/>
      </c>
    </row>
    <row r="4458" spans="1:1" x14ac:dyDescent="0.25">
      <c r="A4458" t="str" cm="1">
        <f t="array" ref="A4458">IF(INDEX(CUEs!$A:$A,INT((ROW()-1)/7)*57+MOD(ROW()-1,7)+50)&lt;&gt;"","set "&amp;INDEX(CUEs!$A:$A,INT((ROW()-1)/7)*57+MOD(ROW()-1,7)+50)&amp;"=/ s "&amp;INDEX(CUEs!$B:$B,INT((ROW()-1)/7)*57+MOD(ROW()-1,7)+50),"")</f>
        <v/>
      </c>
    </row>
    <row r="4459" spans="1:1" x14ac:dyDescent="0.25">
      <c r="A4459" t="str" cm="1">
        <f t="array" ref="A4459">IF(INDEX(CUEs!$A:$A,INT((ROW()-1)/7)*57+MOD(ROW()-1,7)+50)&lt;&gt;"","set "&amp;INDEX(CUEs!$A:$A,INT((ROW()-1)/7)*57+MOD(ROW()-1,7)+50)&amp;"=/ s "&amp;INDEX(CUEs!$B:$B,INT((ROW()-1)/7)*57+MOD(ROW()-1,7)+50),"")</f>
        <v/>
      </c>
    </row>
    <row r="4460" spans="1:1" x14ac:dyDescent="0.25">
      <c r="A4460" t="str" cm="1">
        <f t="array" ref="A4460">IF(INDEX(CUEs!$A:$A,INT((ROW()-1)/7)*57+MOD(ROW()-1,7)+50)&lt;&gt;"","set "&amp;INDEX(CUEs!$A:$A,INT((ROW()-1)/7)*57+MOD(ROW()-1,7)+50)&amp;"=/ s "&amp;INDEX(CUEs!$B:$B,INT((ROW()-1)/7)*57+MOD(ROW()-1,7)+50),"")</f>
        <v/>
      </c>
    </row>
    <row r="4461" spans="1:1" x14ac:dyDescent="0.25">
      <c r="A4461" t="str" cm="1">
        <f t="array" ref="A4461">IF(INDEX(CUEs!$A:$A,INT((ROW()-1)/7)*57+MOD(ROW()-1,7)+50)&lt;&gt;"","set "&amp;INDEX(CUEs!$A:$A,INT((ROW()-1)/7)*57+MOD(ROW()-1,7)+50)&amp;"=/ s "&amp;INDEX(CUEs!$B:$B,INT((ROW()-1)/7)*57+MOD(ROW()-1,7)+50),"")</f>
        <v/>
      </c>
    </row>
    <row r="4462" spans="1:1" x14ac:dyDescent="0.25">
      <c r="A4462" t="str" cm="1">
        <f t="array" ref="A4462">IF(INDEX(CUEs!$A:$A,INT((ROW()-1)/7)*57+MOD(ROW()-1,7)+50)&lt;&gt;"","set "&amp;INDEX(CUEs!$A:$A,INT((ROW()-1)/7)*57+MOD(ROW()-1,7)+50)&amp;"=/ s "&amp;INDEX(CUEs!$B:$B,INT((ROW()-1)/7)*57+MOD(ROW()-1,7)+50),"")</f>
        <v/>
      </c>
    </row>
    <row r="4463" spans="1:1" x14ac:dyDescent="0.25">
      <c r="A4463" t="str" cm="1">
        <f t="array" ref="A4463">IF(INDEX(CUEs!$A:$A,INT((ROW()-1)/7)*57+MOD(ROW()-1,7)+50)&lt;&gt;"","set "&amp;INDEX(CUEs!$A:$A,INT((ROW()-1)/7)*57+MOD(ROW()-1,7)+50)&amp;"=/ s "&amp;INDEX(CUEs!$B:$B,INT((ROW()-1)/7)*57+MOD(ROW()-1,7)+50),"")</f>
        <v/>
      </c>
    </row>
    <row r="4464" spans="1:1" x14ac:dyDescent="0.25">
      <c r="A4464" t="str" cm="1">
        <f t="array" ref="A4464">IF(INDEX(CUEs!$A:$A,INT((ROW()-1)/7)*57+MOD(ROW()-1,7)+50)&lt;&gt;"","set "&amp;INDEX(CUEs!$A:$A,INT((ROW()-1)/7)*57+MOD(ROW()-1,7)+50)&amp;"=/ s "&amp;INDEX(CUEs!$B:$B,INT((ROW()-1)/7)*57+MOD(ROW()-1,7)+50),"")</f>
        <v/>
      </c>
    </row>
    <row r="4465" spans="1:1" x14ac:dyDescent="0.25">
      <c r="A4465" t="str" cm="1">
        <f t="array" ref="A4465">IF(INDEX(CUEs!$A:$A,INT((ROW()-1)/7)*57+MOD(ROW()-1,7)+50)&lt;&gt;"","set "&amp;INDEX(CUEs!$A:$A,INT((ROW()-1)/7)*57+MOD(ROW()-1,7)+50)&amp;"=/ s "&amp;INDEX(CUEs!$B:$B,INT((ROW()-1)/7)*57+MOD(ROW()-1,7)+50),"")</f>
        <v/>
      </c>
    </row>
    <row r="4466" spans="1:1" x14ac:dyDescent="0.25">
      <c r="A4466" t="str" cm="1">
        <f t="array" ref="A4466">IF(INDEX(CUEs!$A:$A,INT((ROW()-1)/7)*57+MOD(ROW()-1,7)+50)&lt;&gt;"","set "&amp;INDEX(CUEs!$A:$A,INT((ROW()-1)/7)*57+MOD(ROW()-1,7)+50)&amp;"=/ s "&amp;INDEX(CUEs!$B:$B,INT((ROW()-1)/7)*57+MOD(ROW()-1,7)+50),"")</f>
        <v/>
      </c>
    </row>
    <row r="4467" spans="1:1" x14ac:dyDescent="0.25">
      <c r="A4467" t="str" cm="1">
        <f t="array" ref="A4467">IF(INDEX(CUEs!$A:$A,INT((ROW()-1)/7)*57+MOD(ROW()-1,7)+50)&lt;&gt;"","set "&amp;INDEX(CUEs!$A:$A,INT((ROW()-1)/7)*57+MOD(ROW()-1,7)+50)&amp;"=/ s "&amp;INDEX(CUEs!$B:$B,INT((ROW()-1)/7)*57+MOD(ROW()-1,7)+50),"")</f>
        <v/>
      </c>
    </row>
    <row r="4468" spans="1:1" x14ac:dyDescent="0.25">
      <c r="A4468" t="str" cm="1">
        <f t="array" ref="A4468">IF(INDEX(CUEs!$A:$A,INT((ROW()-1)/7)*57+MOD(ROW()-1,7)+50)&lt;&gt;"","set "&amp;INDEX(CUEs!$A:$A,INT((ROW()-1)/7)*57+MOD(ROW()-1,7)+50)&amp;"=/ s "&amp;INDEX(CUEs!$B:$B,INT((ROW()-1)/7)*57+MOD(ROW()-1,7)+50),"")</f>
        <v/>
      </c>
    </row>
    <row r="4469" spans="1:1" x14ac:dyDescent="0.25">
      <c r="A4469" t="str" cm="1">
        <f t="array" ref="A4469">IF(INDEX(CUEs!$A:$A,INT((ROW()-1)/7)*57+MOD(ROW()-1,7)+50)&lt;&gt;"","set "&amp;INDEX(CUEs!$A:$A,INT((ROW()-1)/7)*57+MOD(ROW()-1,7)+50)&amp;"=/ s "&amp;INDEX(CUEs!$B:$B,INT((ROW()-1)/7)*57+MOD(ROW()-1,7)+50),"")</f>
        <v/>
      </c>
    </row>
    <row r="4470" spans="1:1" x14ac:dyDescent="0.25">
      <c r="A4470" t="str" cm="1">
        <f t="array" ref="A4470">IF(INDEX(CUEs!$A:$A,INT((ROW()-1)/7)*57+MOD(ROW()-1,7)+50)&lt;&gt;"","set "&amp;INDEX(CUEs!$A:$A,INT((ROW()-1)/7)*57+MOD(ROW()-1,7)+50)&amp;"=/ s "&amp;INDEX(CUEs!$B:$B,INT((ROW()-1)/7)*57+MOD(ROW()-1,7)+50),"")</f>
        <v/>
      </c>
    </row>
    <row r="4471" spans="1:1" x14ac:dyDescent="0.25">
      <c r="A4471" t="str" cm="1">
        <f t="array" ref="A4471">IF(INDEX(CUEs!$A:$A,INT((ROW()-1)/7)*57+MOD(ROW()-1,7)+50)&lt;&gt;"","set "&amp;INDEX(CUEs!$A:$A,INT((ROW()-1)/7)*57+MOD(ROW()-1,7)+50)&amp;"=/ s "&amp;INDEX(CUEs!$B:$B,INT((ROW()-1)/7)*57+MOD(ROW()-1,7)+50),"")</f>
        <v/>
      </c>
    </row>
    <row r="4472" spans="1:1" x14ac:dyDescent="0.25">
      <c r="A4472" t="str" cm="1">
        <f t="array" ref="A4472">IF(INDEX(CUEs!$A:$A,INT((ROW()-1)/7)*57+MOD(ROW()-1,7)+50)&lt;&gt;"","set "&amp;INDEX(CUEs!$A:$A,INT((ROW()-1)/7)*57+MOD(ROW()-1,7)+50)&amp;"=/ s "&amp;INDEX(CUEs!$B:$B,INT((ROW()-1)/7)*57+MOD(ROW()-1,7)+50),"")</f>
        <v/>
      </c>
    </row>
    <row r="4473" spans="1:1" x14ac:dyDescent="0.25">
      <c r="A4473" t="str" cm="1">
        <f t="array" ref="A4473">IF(INDEX(CUEs!$A:$A,INT((ROW()-1)/7)*57+MOD(ROW()-1,7)+50)&lt;&gt;"","set "&amp;INDEX(CUEs!$A:$A,INT((ROW()-1)/7)*57+MOD(ROW()-1,7)+50)&amp;"=/ s "&amp;INDEX(CUEs!$B:$B,INT((ROW()-1)/7)*57+MOD(ROW()-1,7)+50),"")</f>
        <v/>
      </c>
    </row>
    <row r="4474" spans="1:1" x14ac:dyDescent="0.25">
      <c r="A4474" t="str" cm="1">
        <f t="array" ref="A4474">IF(INDEX(CUEs!$A:$A,INT((ROW()-1)/7)*57+MOD(ROW()-1,7)+50)&lt;&gt;"","set "&amp;INDEX(CUEs!$A:$A,INT((ROW()-1)/7)*57+MOD(ROW()-1,7)+50)&amp;"=/ s "&amp;INDEX(CUEs!$B:$B,INT((ROW()-1)/7)*57+MOD(ROW()-1,7)+50),"")</f>
        <v/>
      </c>
    </row>
    <row r="4475" spans="1:1" x14ac:dyDescent="0.25">
      <c r="A4475" t="str" cm="1">
        <f t="array" ref="A4475">IF(INDEX(CUEs!$A:$A,INT((ROW()-1)/7)*57+MOD(ROW()-1,7)+50)&lt;&gt;"","set "&amp;INDEX(CUEs!$A:$A,INT((ROW()-1)/7)*57+MOD(ROW()-1,7)+50)&amp;"=/ s "&amp;INDEX(CUEs!$B:$B,INT((ROW()-1)/7)*57+MOD(ROW()-1,7)+50),"")</f>
        <v/>
      </c>
    </row>
    <row r="4476" spans="1:1" x14ac:dyDescent="0.25">
      <c r="A4476" t="str" cm="1">
        <f t="array" ref="A4476">IF(INDEX(CUEs!$A:$A,INT((ROW()-1)/7)*57+MOD(ROW()-1,7)+50)&lt;&gt;"","set "&amp;INDEX(CUEs!$A:$A,INT((ROW()-1)/7)*57+MOD(ROW()-1,7)+50)&amp;"=/ s "&amp;INDEX(CUEs!$B:$B,INT((ROW()-1)/7)*57+MOD(ROW()-1,7)+50),"")</f>
        <v/>
      </c>
    </row>
    <row r="4477" spans="1:1" x14ac:dyDescent="0.25">
      <c r="A4477" t="str" cm="1">
        <f t="array" ref="A4477">IF(INDEX(CUEs!$A:$A,INT((ROW()-1)/7)*57+MOD(ROW()-1,7)+50)&lt;&gt;"","set "&amp;INDEX(CUEs!$A:$A,INT((ROW()-1)/7)*57+MOD(ROW()-1,7)+50)&amp;"=/ s "&amp;INDEX(CUEs!$B:$B,INT((ROW()-1)/7)*57+MOD(ROW()-1,7)+50),"")</f>
        <v/>
      </c>
    </row>
    <row r="4478" spans="1:1" x14ac:dyDescent="0.25">
      <c r="A4478" t="str" cm="1">
        <f t="array" ref="A4478">IF(INDEX(CUEs!$A:$A,INT((ROW()-1)/7)*57+MOD(ROW()-1,7)+50)&lt;&gt;"","set "&amp;INDEX(CUEs!$A:$A,INT((ROW()-1)/7)*57+MOD(ROW()-1,7)+50)&amp;"=/ s "&amp;INDEX(CUEs!$B:$B,INT((ROW()-1)/7)*57+MOD(ROW()-1,7)+50),"")</f>
        <v/>
      </c>
    </row>
    <row r="4479" spans="1:1" x14ac:dyDescent="0.25">
      <c r="A4479" t="str" cm="1">
        <f t="array" ref="A4479">IF(INDEX(CUEs!$A:$A,INT((ROW()-1)/7)*57+MOD(ROW()-1,7)+50)&lt;&gt;"","set "&amp;INDEX(CUEs!$A:$A,INT((ROW()-1)/7)*57+MOD(ROW()-1,7)+50)&amp;"=/ s "&amp;INDEX(CUEs!$B:$B,INT((ROW()-1)/7)*57+MOD(ROW()-1,7)+50),"")</f>
        <v/>
      </c>
    </row>
    <row r="4480" spans="1:1" x14ac:dyDescent="0.25">
      <c r="A4480" t="str" cm="1">
        <f t="array" ref="A4480">IF(INDEX(CUEs!$A:$A,INT((ROW()-1)/7)*57+MOD(ROW()-1,7)+50)&lt;&gt;"","set "&amp;INDEX(CUEs!$A:$A,INT((ROW()-1)/7)*57+MOD(ROW()-1,7)+50)&amp;"=/ s "&amp;INDEX(CUEs!$B:$B,INT((ROW()-1)/7)*57+MOD(ROW()-1,7)+50),"")</f>
        <v/>
      </c>
    </row>
    <row r="4481" spans="1:1" x14ac:dyDescent="0.25">
      <c r="A4481" t="str" cm="1">
        <f t="array" ref="A4481">IF(INDEX(CUEs!$A:$A,INT((ROW()-1)/7)*57+MOD(ROW()-1,7)+50)&lt;&gt;"","set "&amp;INDEX(CUEs!$A:$A,INT((ROW()-1)/7)*57+MOD(ROW()-1,7)+50)&amp;"=/ s "&amp;INDEX(CUEs!$B:$B,INT((ROW()-1)/7)*57+MOD(ROW()-1,7)+50),"")</f>
        <v/>
      </c>
    </row>
    <row r="4482" spans="1:1" x14ac:dyDescent="0.25">
      <c r="A4482" t="str" cm="1">
        <f t="array" ref="A4482">IF(INDEX(CUEs!$A:$A,INT((ROW()-1)/7)*57+MOD(ROW()-1,7)+50)&lt;&gt;"","set "&amp;INDEX(CUEs!$A:$A,INT((ROW()-1)/7)*57+MOD(ROW()-1,7)+50)&amp;"=/ s "&amp;INDEX(CUEs!$B:$B,INT((ROW()-1)/7)*57+MOD(ROW()-1,7)+50),"")</f>
        <v/>
      </c>
    </row>
    <row r="4483" spans="1:1" x14ac:dyDescent="0.25">
      <c r="A4483" t="str" cm="1">
        <f t="array" ref="A4483">IF(INDEX(CUEs!$A:$A,INT((ROW()-1)/7)*57+MOD(ROW()-1,7)+50)&lt;&gt;"","set "&amp;INDEX(CUEs!$A:$A,INT((ROW()-1)/7)*57+MOD(ROW()-1,7)+50)&amp;"=/ s "&amp;INDEX(CUEs!$B:$B,INT((ROW()-1)/7)*57+MOD(ROW()-1,7)+50),"")</f>
        <v/>
      </c>
    </row>
    <row r="4484" spans="1:1" x14ac:dyDescent="0.25">
      <c r="A4484" t="str" cm="1">
        <f t="array" ref="A4484">IF(INDEX(CUEs!$A:$A,INT((ROW()-1)/7)*57+MOD(ROW()-1,7)+50)&lt;&gt;"","set "&amp;INDEX(CUEs!$A:$A,INT((ROW()-1)/7)*57+MOD(ROW()-1,7)+50)&amp;"=/ s "&amp;INDEX(CUEs!$B:$B,INT((ROW()-1)/7)*57+MOD(ROW()-1,7)+50),"")</f>
        <v/>
      </c>
    </row>
    <row r="4485" spans="1:1" x14ac:dyDescent="0.25">
      <c r="A4485" t="str" cm="1">
        <f t="array" ref="A4485">IF(INDEX(CUEs!$A:$A,INT((ROW()-1)/7)*57+MOD(ROW()-1,7)+50)&lt;&gt;"","set "&amp;INDEX(CUEs!$A:$A,INT((ROW()-1)/7)*57+MOD(ROW()-1,7)+50)&amp;"=/ s "&amp;INDEX(CUEs!$B:$B,INT((ROW()-1)/7)*57+MOD(ROW()-1,7)+50),"")</f>
        <v/>
      </c>
    </row>
    <row r="4486" spans="1:1" x14ac:dyDescent="0.25">
      <c r="A4486" t="str" cm="1">
        <f t="array" ref="A4486">IF(INDEX(CUEs!$A:$A,INT((ROW()-1)/7)*57+MOD(ROW()-1,7)+50)&lt;&gt;"","set "&amp;INDEX(CUEs!$A:$A,INT((ROW()-1)/7)*57+MOD(ROW()-1,7)+50)&amp;"=/ s "&amp;INDEX(CUEs!$B:$B,INT((ROW()-1)/7)*57+MOD(ROW()-1,7)+50),"")</f>
        <v/>
      </c>
    </row>
    <row r="4487" spans="1:1" x14ac:dyDescent="0.25">
      <c r="A4487" t="str" cm="1">
        <f t="array" ref="A4487">IF(INDEX(CUEs!$A:$A,INT((ROW()-1)/7)*57+MOD(ROW()-1,7)+50)&lt;&gt;"","set "&amp;INDEX(CUEs!$A:$A,INT((ROW()-1)/7)*57+MOD(ROW()-1,7)+50)&amp;"=/ s "&amp;INDEX(CUEs!$B:$B,INT((ROW()-1)/7)*57+MOD(ROW()-1,7)+50),"")</f>
        <v/>
      </c>
    </row>
    <row r="4488" spans="1:1" x14ac:dyDescent="0.25">
      <c r="A4488" t="str" cm="1">
        <f t="array" ref="A4488">IF(INDEX(CUEs!$A:$A,INT((ROW()-1)/7)*57+MOD(ROW()-1,7)+50)&lt;&gt;"","set "&amp;INDEX(CUEs!$A:$A,INT((ROW()-1)/7)*57+MOD(ROW()-1,7)+50)&amp;"=/ s "&amp;INDEX(CUEs!$B:$B,INT((ROW()-1)/7)*57+MOD(ROW()-1,7)+50),"")</f>
        <v/>
      </c>
    </row>
    <row r="4489" spans="1:1" x14ac:dyDescent="0.25">
      <c r="A4489" t="str" cm="1">
        <f t="array" ref="A4489">IF(INDEX(CUEs!$A:$A,INT((ROW()-1)/7)*57+MOD(ROW()-1,7)+50)&lt;&gt;"","set "&amp;INDEX(CUEs!$A:$A,INT((ROW()-1)/7)*57+MOD(ROW()-1,7)+50)&amp;"=/ s "&amp;INDEX(CUEs!$B:$B,INT((ROW()-1)/7)*57+MOD(ROW()-1,7)+50),"")</f>
        <v/>
      </c>
    </row>
    <row r="4490" spans="1:1" x14ac:dyDescent="0.25">
      <c r="A4490" t="str" cm="1">
        <f t="array" ref="A4490">IF(INDEX(CUEs!$A:$A,INT((ROW()-1)/7)*57+MOD(ROW()-1,7)+50)&lt;&gt;"","set "&amp;INDEX(CUEs!$A:$A,INT((ROW()-1)/7)*57+MOD(ROW()-1,7)+50)&amp;"=/ s "&amp;INDEX(CUEs!$B:$B,INT((ROW()-1)/7)*57+MOD(ROW()-1,7)+50),"")</f>
        <v/>
      </c>
    </row>
    <row r="4491" spans="1:1" x14ac:dyDescent="0.25">
      <c r="A4491" t="str" cm="1">
        <f t="array" ref="A4491">IF(INDEX(CUEs!$A:$A,INT((ROW()-1)/7)*57+MOD(ROW()-1,7)+50)&lt;&gt;"","set "&amp;INDEX(CUEs!$A:$A,INT((ROW()-1)/7)*57+MOD(ROW()-1,7)+50)&amp;"=/ s "&amp;INDEX(CUEs!$B:$B,INT((ROW()-1)/7)*57+MOD(ROW()-1,7)+50),"")</f>
        <v/>
      </c>
    </row>
    <row r="4492" spans="1:1" x14ac:dyDescent="0.25">
      <c r="A4492" t="str" cm="1">
        <f t="array" ref="A4492">IF(INDEX(CUEs!$A:$A,INT((ROW()-1)/7)*57+MOD(ROW()-1,7)+50)&lt;&gt;"","set "&amp;INDEX(CUEs!$A:$A,INT((ROW()-1)/7)*57+MOD(ROW()-1,7)+50)&amp;"=/ s "&amp;INDEX(CUEs!$B:$B,INT((ROW()-1)/7)*57+MOD(ROW()-1,7)+50),"")</f>
        <v/>
      </c>
    </row>
    <row r="4493" spans="1:1" x14ac:dyDescent="0.25">
      <c r="A4493" t="str" cm="1">
        <f t="array" ref="A4493">IF(INDEX(CUEs!$A:$A,INT((ROW()-1)/7)*57+MOD(ROW()-1,7)+50)&lt;&gt;"","set "&amp;INDEX(CUEs!$A:$A,INT((ROW()-1)/7)*57+MOD(ROW()-1,7)+50)&amp;"=/ s "&amp;INDEX(CUEs!$B:$B,INT((ROW()-1)/7)*57+MOD(ROW()-1,7)+50),"")</f>
        <v/>
      </c>
    </row>
    <row r="4494" spans="1:1" x14ac:dyDescent="0.25">
      <c r="A4494" t="str" cm="1">
        <f t="array" ref="A4494">IF(INDEX(CUEs!$A:$A,INT((ROW()-1)/7)*57+MOD(ROW()-1,7)+50)&lt;&gt;"","set "&amp;INDEX(CUEs!$A:$A,INT((ROW()-1)/7)*57+MOD(ROW()-1,7)+50)&amp;"=/ s "&amp;INDEX(CUEs!$B:$B,INT((ROW()-1)/7)*57+MOD(ROW()-1,7)+50),"")</f>
        <v/>
      </c>
    </row>
    <row r="4495" spans="1:1" x14ac:dyDescent="0.25">
      <c r="A4495" t="str" cm="1">
        <f t="array" ref="A4495">IF(INDEX(CUEs!$A:$A,INT((ROW()-1)/7)*57+MOD(ROW()-1,7)+50)&lt;&gt;"","set "&amp;INDEX(CUEs!$A:$A,INT((ROW()-1)/7)*57+MOD(ROW()-1,7)+50)&amp;"=/ s "&amp;INDEX(CUEs!$B:$B,INT((ROW()-1)/7)*57+MOD(ROW()-1,7)+50),"")</f>
        <v/>
      </c>
    </row>
    <row r="4496" spans="1:1" x14ac:dyDescent="0.25">
      <c r="A4496" t="str" cm="1">
        <f t="array" ref="A4496">IF(INDEX(CUEs!$A:$A,INT((ROW()-1)/7)*57+MOD(ROW()-1,7)+50)&lt;&gt;"","set "&amp;INDEX(CUEs!$A:$A,INT((ROW()-1)/7)*57+MOD(ROW()-1,7)+50)&amp;"=/ s "&amp;INDEX(CUEs!$B:$B,INT((ROW()-1)/7)*57+MOD(ROW()-1,7)+50),"")</f>
        <v/>
      </c>
    </row>
    <row r="4497" spans="1:1" x14ac:dyDescent="0.25">
      <c r="A4497" t="str" cm="1">
        <f t="array" ref="A4497">IF(INDEX(CUEs!$A:$A,INT((ROW()-1)/7)*57+MOD(ROW()-1,7)+50)&lt;&gt;"","set "&amp;INDEX(CUEs!$A:$A,INT((ROW()-1)/7)*57+MOD(ROW()-1,7)+50)&amp;"=/ s "&amp;INDEX(CUEs!$B:$B,INT((ROW()-1)/7)*57+MOD(ROW()-1,7)+50),"")</f>
        <v/>
      </c>
    </row>
    <row r="4498" spans="1:1" x14ac:dyDescent="0.25">
      <c r="A4498" t="str" cm="1">
        <f t="array" ref="A4498">IF(INDEX(CUEs!$A:$A,INT((ROW()-1)/7)*57+MOD(ROW()-1,7)+50)&lt;&gt;"","set "&amp;INDEX(CUEs!$A:$A,INT((ROW()-1)/7)*57+MOD(ROW()-1,7)+50)&amp;"=/ s "&amp;INDEX(CUEs!$B:$B,INT((ROW()-1)/7)*57+MOD(ROW()-1,7)+50),"")</f>
        <v/>
      </c>
    </row>
    <row r="4499" spans="1:1" x14ac:dyDescent="0.25">
      <c r="A4499" t="str" cm="1">
        <f t="array" ref="A4499">IF(INDEX(CUEs!$A:$A,INT((ROW()-1)/7)*57+MOD(ROW()-1,7)+50)&lt;&gt;"","set "&amp;INDEX(CUEs!$A:$A,INT((ROW()-1)/7)*57+MOD(ROW()-1,7)+50)&amp;"=/ s "&amp;INDEX(CUEs!$B:$B,INT((ROW()-1)/7)*57+MOD(ROW()-1,7)+50),"")</f>
        <v/>
      </c>
    </row>
    <row r="4500" spans="1:1" x14ac:dyDescent="0.25">
      <c r="A4500" t="str" cm="1">
        <f t="array" ref="A4500">IF(INDEX(CUEs!$A:$A,INT((ROW()-1)/7)*57+MOD(ROW()-1,7)+50)&lt;&gt;"","set "&amp;INDEX(CUEs!$A:$A,INT((ROW()-1)/7)*57+MOD(ROW()-1,7)+50)&amp;"=/ s "&amp;INDEX(CUEs!$B:$B,INT((ROW()-1)/7)*57+MOD(ROW()-1,7)+50),"")</f>
        <v/>
      </c>
    </row>
    <row r="4501" spans="1:1" x14ac:dyDescent="0.25">
      <c r="A4501" t="str" cm="1">
        <f t="array" ref="A4501">IF(INDEX(CUEs!$A:$A,INT((ROW()-1)/7)*57+MOD(ROW()-1,7)+50)&lt;&gt;"","set "&amp;INDEX(CUEs!$A:$A,INT((ROW()-1)/7)*57+MOD(ROW()-1,7)+50)&amp;"=/ s "&amp;INDEX(CUEs!$B:$B,INT((ROW()-1)/7)*57+MOD(ROW()-1,7)+50),"")</f>
        <v/>
      </c>
    </row>
    <row r="4502" spans="1:1" x14ac:dyDescent="0.25">
      <c r="A4502" t="str" cm="1">
        <f t="array" ref="A4502">IF(INDEX(CUEs!$A:$A,INT((ROW()-1)/7)*57+MOD(ROW()-1,7)+50)&lt;&gt;"","set "&amp;INDEX(CUEs!$A:$A,INT((ROW()-1)/7)*57+MOD(ROW()-1,7)+50)&amp;"=/ s "&amp;INDEX(CUEs!$B:$B,INT((ROW()-1)/7)*57+MOD(ROW()-1,7)+50),"")</f>
        <v/>
      </c>
    </row>
    <row r="4503" spans="1:1" x14ac:dyDescent="0.25">
      <c r="A4503" t="str" cm="1">
        <f t="array" ref="A4503">IF(INDEX(CUEs!$A:$A,INT((ROW()-1)/7)*57+MOD(ROW()-1,7)+50)&lt;&gt;"","set "&amp;INDEX(CUEs!$A:$A,INT((ROW()-1)/7)*57+MOD(ROW()-1,7)+50)&amp;"=/ s "&amp;INDEX(CUEs!$B:$B,INT((ROW()-1)/7)*57+MOD(ROW()-1,7)+50),"")</f>
        <v/>
      </c>
    </row>
    <row r="4504" spans="1:1" x14ac:dyDescent="0.25">
      <c r="A4504" t="str" cm="1">
        <f t="array" ref="A4504">IF(INDEX(CUEs!$A:$A,INT((ROW()-1)/7)*57+MOD(ROW()-1,7)+50)&lt;&gt;"","set "&amp;INDEX(CUEs!$A:$A,INT((ROW()-1)/7)*57+MOD(ROW()-1,7)+50)&amp;"=/ s "&amp;INDEX(CUEs!$B:$B,INT((ROW()-1)/7)*57+MOD(ROW()-1,7)+50),"")</f>
        <v/>
      </c>
    </row>
    <row r="4505" spans="1:1" x14ac:dyDescent="0.25">
      <c r="A4505" t="str" cm="1">
        <f t="array" ref="A4505">IF(INDEX(CUEs!$A:$A,INT((ROW()-1)/7)*57+MOD(ROW()-1,7)+50)&lt;&gt;"","set "&amp;INDEX(CUEs!$A:$A,INT((ROW()-1)/7)*57+MOD(ROW()-1,7)+50)&amp;"=/ s "&amp;INDEX(CUEs!$B:$B,INT((ROW()-1)/7)*57+MOD(ROW()-1,7)+50),"")</f>
        <v/>
      </c>
    </row>
    <row r="4506" spans="1:1" x14ac:dyDescent="0.25">
      <c r="A4506" t="str" cm="1">
        <f t="array" ref="A4506">IF(INDEX(CUEs!$A:$A,INT((ROW()-1)/7)*57+MOD(ROW()-1,7)+50)&lt;&gt;"","set "&amp;INDEX(CUEs!$A:$A,INT((ROW()-1)/7)*57+MOD(ROW()-1,7)+50)&amp;"=/ s "&amp;INDEX(CUEs!$B:$B,INT((ROW()-1)/7)*57+MOD(ROW()-1,7)+50),"")</f>
        <v/>
      </c>
    </row>
    <row r="4507" spans="1:1" x14ac:dyDescent="0.25">
      <c r="A4507" t="str" cm="1">
        <f t="array" ref="A4507">IF(INDEX(CUEs!$A:$A,INT((ROW()-1)/7)*57+MOD(ROW()-1,7)+50)&lt;&gt;"","set "&amp;INDEX(CUEs!$A:$A,INT((ROW()-1)/7)*57+MOD(ROW()-1,7)+50)&amp;"=/ s "&amp;INDEX(CUEs!$B:$B,INT((ROW()-1)/7)*57+MOD(ROW()-1,7)+50),"")</f>
        <v/>
      </c>
    </row>
    <row r="4508" spans="1:1" x14ac:dyDescent="0.25">
      <c r="A4508" t="str" cm="1">
        <f t="array" ref="A4508">IF(INDEX(CUEs!$A:$A,INT((ROW()-1)/7)*57+MOD(ROW()-1,7)+50)&lt;&gt;"","set "&amp;INDEX(CUEs!$A:$A,INT((ROW()-1)/7)*57+MOD(ROW()-1,7)+50)&amp;"=/ s "&amp;INDEX(CUEs!$B:$B,INT((ROW()-1)/7)*57+MOD(ROW()-1,7)+50),"")</f>
        <v/>
      </c>
    </row>
    <row r="4509" spans="1:1" x14ac:dyDescent="0.25">
      <c r="A4509" t="str" cm="1">
        <f t="array" ref="A4509">IF(INDEX(CUEs!$A:$A,INT((ROW()-1)/7)*57+MOD(ROW()-1,7)+50)&lt;&gt;"","set "&amp;INDEX(CUEs!$A:$A,INT((ROW()-1)/7)*57+MOD(ROW()-1,7)+50)&amp;"=/ s "&amp;INDEX(CUEs!$B:$B,INT((ROW()-1)/7)*57+MOD(ROW()-1,7)+50),"")</f>
        <v/>
      </c>
    </row>
    <row r="4510" spans="1:1" x14ac:dyDescent="0.25">
      <c r="A4510" t="str" cm="1">
        <f t="array" ref="A4510">IF(INDEX(CUEs!$A:$A,INT((ROW()-1)/7)*57+MOD(ROW()-1,7)+50)&lt;&gt;"","set "&amp;INDEX(CUEs!$A:$A,INT((ROW()-1)/7)*57+MOD(ROW()-1,7)+50)&amp;"=/ s "&amp;INDEX(CUEs!$B:$B,INT((ROW()-1)/7)*57+MOD(ROW()-1,7)+50),"")</f>
        <v/>
      </c>
    </row>
    <row r="4511" spans="1:1" x14ac:dyDescent="0.25">
      <c r="A4511" t="str" cm="1">
        <f t="array" ref="A4511">IF(INDEX(CUEs!$A:$A,INT((ROW()-1)/7)*57+MOD(ROW()-1,7)+50)&lt;&gt;"","set "&amp;INDEX(CUEs!$A:$A,INT((ROW()-1)/7)*57+MOD(ROW()-1,7)+50)&amp;"=/ s "&amp;INDEX(CUEs!$B:$B,INT((ROW()-1)/7)*57+MOD(ROW()-1,7)+50),"")</f>
        <v/>
      </c>
    </row>
    <row r="4512" spans="1:1" x14ac:dyDescent="0.25">
      <c r="A4512" t="str" cm="1">
        <f t="array" ref="A4512">IF(INDEX(CUEs!$A:$A,INT((ROW()-1)/7)*57+MOD(ROW()-1,7)+50)&lt;&gt;"","set "&amp;INDEX(CUEs!$A:$A,INT((ROW()-1)/7)*57+MOD(ROW()-1,7)+50)&amp;"=/ s "&amp;INDEX(CUEs!$B:$B,INT((ROW()-1)/7)*57+MOD(ROW()-1,7)+50),"")</f>
        <v/>
      </c>
    </row>
    <row r="4513" spans="1:1" x14ac:dyDescent="0.25">
      <c r="A4513" t="str" cm="1">
        <f t="array" ref="A4513">IF(INDEX(CUEs!$A:$A,INT((ROW()-1)/7)*57+MOD(ROW()-1,7)+50)&lt;&gt;"","set "&amp;INDEX(CUEs!$A:$A,INT((ROW()-1)/7)*57+MOD(ROW()-1,7)+50)&amp;"=/ s "&amp;INDEX(CUEs!$B:$B,INT((ROW()-1)/7)*57+MOD(ROW()-1,7)+50),"")</f>
        <v/>
      </c>
    </row>
    <row r="4514" spans="1:1" x14ac:dyDescent="0.25">
      <c r="A4514" t="str" cm="1">
        <f t="array" ref="A4514">IF(INDEX(CUEs!$A:$A,INT((ROW()-1)/7)*57+MOD(ROW()-1,7)+50)&lt;&gt;"","set "&amp;INDEX(CUEs!$A:$A,INT((ROW()-1)/7)*57+MOD(ROW()-1,7)+50)&amp;"=/ s "&amp;INDEX(CUEs!$B:$B,INT((ROW()-1)/7)*57+MOD(ROW()-1,7)+50),"")</f>
        <v/>
      </c>
    </row>
    <row r="4515" spans="1:1" x14ac:dyDescent="0.25">
      <c r="A4515" t="str" cm="1">
        <f t="array" ref="A4515">IF(INDEX(CUEs!$A:$A,INT((ROW()-1)/7)*57+MOD(ROW()-1,7)+50)&lt;&gt;"","set "&amp;INDEX(CUEs!$A:$A,INT((ROW()-1)/7)*57+MOD(ROW()-1,7)+50)&amp;"=/ s "&amp;INDEX(CUEs!$B:$B,INT((ROW()-1)/7)*57+MOD(ROW()-1,7)+50),"")</f>
        <v/>
      </c>
    </row>
    <row r="4516" spans="1:1" x14ac:dyDescent="0.25">
      <c r="A4516" t="str" cm="1">
        <f t="array" ref="A4516">IF(INDEX(CUEs!$A:$A,INT((ROW()-1)/7)*57+MOD(ROW()-1,7)+50)&lt;&gt;"","set "&amp;INDEX(CUEs!$A:$A,INT((ROW()-1)/7)*57+MOD(ROW()-1,7)+50)&amp;"=/ s "&amp;INDEX(CUEs!$B:$B,INT((ROW()-1)/7)*57+MOD(ROW()-1,7)+50),"")</f>
        <v/>
      </c>
    </row>
    <row r="4517" spans="1:1" x14ac:dyDescent="0.25">
      <c r="A4517" t="str" cm="1">
        <f t="array" ref="A4517">IF(INDEX(CUEs!$A:$A,INT((ROW()-1)/7)*57+MOD(ROW()-1,7)+50)&lt;&gt;"","set "&amp;INDEX(CUEs!$A:$A,INT((ROW()-1)/7)*57+MOD(ROW()-1,7)+50)&amp;"=/ s "&amp;INDEX(CUEs!$B:$B,INT((ROW()-1)/7)*57+MOD(ROW()-1,7)+50),"")</f>
        <v/>
      </c>
    </row>
    <row r="4518" spans="1:1" x14ac:dyDescent="0.25">
      <c r="A4518" t="str" cm="1">
        <f t="array" ref="A4518">IF(INDEX(CUEs!$A:$A,INT((ROW()-1)/7)*57+MOD(ROW()-1,7)+50)&lt;&gt;"","set "&amp;INDEX(CUEs!$A:$A,INT((ROW()-1)/7)*57+MOD(ROW()-1,7)+50)&amp;"=/ s "&amp;INDEX(CUEs!$B:$B,INT((ROW()-1)/7)*57+MOD(ROW()-1,7)+50),"")</f>
        <v/>
      </c>
    </row>
    <row r="4519" spans="1:1" x14ac:dyDescent="0.25">
      <c r="A4519" t="str" cm="1">
        <f t="array" ref="A4519">IF(INDEX(CUEs!$A:$A,INT((ROW()-1)/7)*57+MOD(ROW()-1,7)+50)&lt;&gt;"","set "&amp;INDEX(CUEs!$A:$A,INT((ROW()-1)/7)*57+MOD(ROW()-1,7)+50)&amp;"=/ s "&amp;INDEX(CUEs!$B:$B,INT((ROW()-1)/7)*57+MOD(ROW()-1,7)+50),"")</f>
        <v/>
      </c>
    </row>
    <row r="4520" spans="1:1" x14ac:dyDescent="0.25">
      <c r="A4520" t="str" cm="1">
        <f t="array" ref="A4520">IF(INDEX(CUEs!$A:$A,INT((ROW()-1)/7)*57+MOD(ROW()-1,7)+50)&lt;&gt;"","set "&amp;INDEX(CUEs!$A:$A,INT((ROW()-1)/7)*57+MOD(ROW()-1,7)+50)&amp;"=/ s "&amp;INDEX(CUEs!$B:$B,INT((ROW()-1)/7)*57+MOD(ROW()-1,7)+50),"")</f>
        <v/>
      </c>
    </row>
    <row r="4521" spans="1:1" x14ac:dyDescent="0.25">
      <c r="A4521" t="str" cm="1">
        <f t="array" ref="A4521">IF(INDEX(CUEs!$A:$A,INT((ROW()-1)/7)*57+MOD(ROW()-1,7)+50)&lt;&gt;"","set "&amp;INDEX(CUEs!$A:$A,INT((ROW()-1)/7)*57+MOD(ROW()-1,7)+50)&amp;"=/ s "&amp;INDEX(CUEs!$B:$B,INT((ROW()-1)/7)*57+MOD(ROW()-1,7)+50),"")</f>
        <v/>
      </c>
    </row>
    <row r="4522" spans="1:1" x14ac:dyDescent="0.25">
      <c r="A4522" t="str" cm="1">
        <f t="array" ref="A4522">IF(INDEX(CUEs!$A:$A,INT((ROW()-1)/7)*57+MOD(ROW()-1,7)+50)&lt;&gt;"","set "&amp;INDEX(CUEs!$A:$A,INT((ROW()-1)/7)*57+MOD(ROW()-1,7)+50)&amp;"=/ s "&amp;INDEX(CUEs!$B:$B,INT((ROW()-1)/7)*57+MOD(ROW()-1,7)+50),"")</f>
        <v/>
      </c>
    </row>
    <row r="4523" spans="1:1" x14ac:dyDescent="0.25">
      <c r="A4523" t="str" cm="1">
        <f t="array" ref="A4523">IF(INDEX(CUEs!$A:$A,INT((ROW()-1)/7)*57+MOD(ROW()-1,7)+50)&lt;&gt;"","set "&amp;INDEX(CUEs!$A:$A,INT((ROW()-1)/7)*57+MOD(ROW()-1,7)+50)&amp;"=/ s "&amp;INDEX(CUEs!$B:$B,INT((ROW()-1)/7)*57+MOD(ROW()-1,7)+50),"")</f>
        <v/>
      </c>
    </row>
    <row r="4524" spans="1:1" x14ac:dyDescent="0.25">
      <c r="A4524" t="str" cm="1">
        <f t="array" ref="A4524">IF(INDEX(CUEs!$A:$A,INT((ROW()-1)/7)*57+MOD(ROW()-1,7)+50)&lt;&gt;"","set "&amp;INDEX(CUEs!$A:$A,INT((ROW()-1)/7)*57+MOD(ROW()-1,7)+50)&amp;"=/ s "&amp;INDEX(CUEs!$B:$B,INT((ROW()-1)/7)*57+MOD(ROW()-1,7)+50),"")</f>
        <v/>
      </c>
    </row>
    <row r="4525" spans="1:1" x14ac:dyDescent="0.25">
      <c r="A4525" t="str" cm="1">
        <f t="array" ref="A4525">IF(INDEX(CUEs!$A:$A,INT((ROW()-1)/7)*57+MOD(ROW()-1,7)+50)&lt;&gt;"","set "&amp;INDEX(CUEs!$A:$A,INT((ROW()-1)/7)*57+MOD(ROW()-1,7)+50)&amp;"=/ s "&amp;INDEX(CUEs!$B:$B,INT((ROW()-1)/7)*57+MOD(ROW()-1,7)+50),"")</f>
        <v/>
      </c>
    </row>
    <row r="4526" spans="1:1" x14ac:dyDescent="0.25">
      <c r="A4526" t="str" cm="1">
        <f t="array" ref="A4526">IF(INDEX(CUEs!$A:$A,INT((ROW()-1)/7)*57+MOD(ROW()-1,7)+50)&lt;&gt;"","set "&amp;INDEX(CUEs!$A:$A,INT((ROW()-1)/7)*57+MOD(ROW()-1,7)+50)&amp;"=/ s "&amp;INDEX(CUEs!$B:$B,INT((ROW()-1)/7)*57+MOD(ROW()-1,7)+50),"")</f>
        <v/>
      </c>
    </row>
    <row r="4527" spans="1:1" x14ac:dyDescent="0.25">
      <c r="A4527" t="str" cm="1">
        <f t="array" ref="A4527">IF(INDEX(CUEs!$A:$A,INT((ROW()-1)/7)*57+MOD(ROW()-1,7)+50)&lt;&gt;"","set "&amp;INDEX(CUEs!$A:$A,INT((ROW()-1)/7)*57+MOD(ROW()-1,7)+50)&amp;"=/ s "&amp;INDEX(CUEs!$B:$B,INT((ROW()-1)/7)*57+MOD(ROW()-1,7)+50),"")</f>
        <v/>
      </c>
    </row>
    <row r="4528" spans="1:1" x14ac:dyDescent="0.25">
      <c r="A4528" t="str" cm="1">
        <f t="array" ref="A4528">IF(INDEX(CUEs!$A:$A,INT((ROW()-1)/7)*57+MOD(ROW()-1,7)+50)&lt;&gt;"","set "&amp;INDEX(CUEs!$A:$A,INT((ROW()-1)/7)*57+MOD(ROW()-1,7)+50)&amp;"=/ s "&amp;INDEX(CUEs!$B:$B,INT((ROW()-1)/7)*57+MOD(ROW()-1,7)+50),"")</f>
        <v/>
      </c>
    </row>
    <row r="4529" spans="1:1" x14ac:dyDescent="0.25">
      <c r="A4529" t="str" cm="1">
        <f t="array" ref="A4529">IF(INDEX(CUEs!$A:$A,INT((ROW()-1)/7)*57+MOD(ROW()-1,7)+50)&lt;&gt;"","set "&amp;INDEX(CUEs!$A:$A,INT((ROW()-1)/7)*57+MOD(ROW()-1,7)+50)&amp;"=/ s "&amp;INDEX(CUEs!$B:$B,INT((ROW()-1)/7)*57+MOD(ROW()-1,7)+50),"")</f>
        <v/>
      </c>
    </row>
    <row r="4530" spans="1:1" x14ac:dyDescent="0.25">
      <c r="A4530" t="str" cm="1">
        <f t="array" ref="A4530">IF(INDEX(CUEs!$A:$A,INT((ROW()-1)/7)*57+MOD(ROW()-1,7)+50)&lt;&gt;"","set "&amp;INDEX(CUEs!$A:$A,INT((ROW()-1)/7)*57+MOD(ROW()-1,7)+50)&amp;"=/ s "&amp;INDEX(CUEs!$B:$B,INT((ROW()-1)/7)*57+MOD(ROW()-1,7)+50),"")</f>
        <v/>
      </c>
    </row>
    <row r="4531" spans="1:1" x14ac:dyDescent="0.25">
      <c r="A4531" t="str" cm="1">
        <f t="array" ref="A4531">IF(INDEX(CUEs!$A:$A,INT((ROW()-1)/7)*57+MOD(ROW()-1,7)+50)&lt;&gt;"","set "&amp;INDEX(CUEs!$A:$A,INT((ROW()-1)/7)*57+MOD(ROW()-1,7)+50)&amp;"=/ s "&amp;INDEX(CUEs!$B:$B,INT((ROW()-1)/7)*57+MOD(ROW()-1,7)+50),"")</f>
        <v/>
      </c>
    </row>
    <row r="4532" spans="1:1" x14ac:dyDescent="0.25">
      <c r="A4532" t="str" cm="1">
        <f t="array" ref="A4532">IF(INDEX(CUEs!$A:$A,INT((ROW()-1)/7)*57+MOD(ROW()-1,7)+50)&lt;&gt;"","set "&amp;INDEX(CUEs!$A:$A,INT((ROW()-1)/7)*57+MOD(ROW()-1,7)+50)&amp;"=/ s "&amp;INDEX(CUEs!$B:$B,INT((ROW()-1)/7)*57+MOD(ROW()-1,7)+50),"")</f>
        <v/>
      </c>
    </row>
    <row r="4533" spans="1:1" x14ac:dyDescent="0.25">
      <c r="A4533" t="str" cm="1">
        <f t="array" ref="A4533">IF(INDEX(CUEs!$A:$A,INT((ROW()-1)/7)*57+MOD(ROW()-1,7)+50)&lt;&gt;"","set "&amp;INDEX(CUEs!$A:$A,INT((ROW()-1)/7)*57+MOD(ROW()-1,7)+50)&amp;"=/ s "&amp;INDEX(CUEs!$B:$B,INT((ROW()-1)/7)*57+MOD(ROW()-1,7)+50),"")</f>
        <v/>
      </c>
    </row>
    <row r="4534" spans="1:1" x14ac:dyDescent="0.25">
      <c r="A4534" t="str" cm="1">
        <f t="array" ref="A4534">IF(INDEX(CUEs!$A:$A,INT((ROW()-1)/7)*57+MOD(ROW()-1,7)+50)&lt;&gt;"","set "&amp;INDEX(CUEs!$A:$A,INT((ROW()-1)/7)*57+MOD(ROW()-1,7)+50)&amp;"=/ s "&amp;INDEX(CUEs!$B:$B,INT((ROW()-1)/7)*57+MOD(ROW()-1,7)+50),"")</f>
        <v/>
      </c>
    </row>
    <row r="4535" spans="1:1" x14ac:dyDescent="0.25">
      <c r="A4535" t="str" cm="1">
        <f t="array" ref="A4535">IF(INDEX(CUEs!$A:$A,INT((ROW()-1)/7)*57+MOD(ROW()-1,7)+50)&lt;&gt;"","set "&amp;INDEX(CUEs!$A:$A,INT((ROW()-1)/7)*57+MOD(ROW()-1,7)+50)&amp;"=/ s "&amp;INDEX(CUEs!$B:$B,INT((ROW()-1)/7)*57+MOD(ROW()-1,7)+50),"")</f>
        <v/>
      </c>
    </row>
    <row r="4536" spans="1:1" x14ac:dyDescent="0.25">
      <c r="A4536" t="str" cm="1">
        <f t="array" ref="A4536">IF(INDEX(CUEs!$A:$A,INT((ROW()-1)/7)*57+MOD(ROW()-1,7)+50)&lt;&gt;"","set "&amp;INDEX(CUEs!$A:$A,INT((ROW()-1)/7)*57+MOD(ROW()-1,7)+50)&amp;"=/ s "&amp;INDEX(CUEs!$B:$B,INT((ROW()-1)/7)*57+MOD(ROW()-1,7)+50),"")</f>
        <v/>
      </c>
    </row>
    <row r="4537" spans="1:1" x14ac:dyDescent="0.25">
      <c r="A4537" t="str" cm="1">
        <f t="array" ref="A4537">IF(INDEX(CUEs!$A:$A,INT((ROW()-1)/7)*57+MOD(ROW()-1,7)+50)&lt;&gt;"","set "&amp;INDEX(CUEs!$A:$A,INT((ROW()-1)/7)*57+MOD(ROW()-1,7)+50)&amp;"=/ s "&amp;INDEX(CUEs!$B:$B,INT((ROW()-1)/7)*57+MOD(ROW()-1,7)+50),"")</f>
        <v/>
      </c>
    </row>
    <row r="4538" spans="1:1" x14ac:dyDescent="0.25">
      <c r="A4538" t="str" cm="1">
        <f t="array" ref="A4538">IF(INDEX(CUEs!$A:$A,INT((ROW()-1)/7)*57+MOD(ROW()-1,7)+50)&lt;&gt;"","set "&amp;INDEX(CUEs!$A:$A,INT((ROW()-1)/7)*57+MOD(ROW()-1,7)+50)&amp;"=/ s "&amp;INDEX(CUEs!$B:$B,INT((ROW()-1)/7)*57+MOD(ROW()-1,7)+50),"")</f>
        <v/>
      </c>
    </row>
    <row r="4539" spans="1:1" x14ac:dyDescent="0.25">
      <c r="A4539" t="str" cm="1">
        <f t="array" ref="A4539">IF(INDEX(CUEs!$A:$A,INT((ROW()-1)/7)*57+MOD(ROW()-1,7)+50)&lt;&gt;"","set "&amp;INDEX(CUEs!$A:$A,INT((ROW()-1)/7)*57+MOD(ROW()-1,7)+50)&amp;"=/ s "&amp;INDEX(CUEs!$B:$B,INT((ROW()-1)/7)*57+MOD(ROW()-1,7)+50),"")</f>
        <v/>
      </c>
    </row>
    <row r="4540" spans="1:1" x14ac:dyDescent="0.25">
      <c r="A4540" t="str" cm="1">
        <f t="array" ref="A4540">IF(INDEX(CUEs!$A:$A,INT((ROW()-1)/7)*57+MOD(ROW()-1,7)+50)&lt;&gt;"","set "&amp;INDEX(CUEs!$A:$A,INT((ROW()-1)/7)*57+MOD(ROW()-1,7)+50)&amp;"=/ s "&amp;INDEX(CUEs!$B:$B,INT((ROW()-1)/7)*57+MOD(ROW()-1,7)+50),"")</f>
        <v/>
      </c>
    </row>
    <row r="4541" spans="1:1" x14ac:dyDescent="0.25">
      <c r="A4541" t="str" cm="1">
        <f t="array" ref="A4541">IF(INDEX(CUEs!$A:$A,INT((ROW()-1)/7)*57+MOD(ROW()-1,7)+50)&lt;&gt;"","set "&amp;INDEX(CUEs!$A:$A,INT((ROW()-1)/7)*57+MOD(ROW()-1,7)+50)&amp;"=/ s "&amp;INDEX(CUEs!$B:$B,INT((ROW()-1)/7)*57+MOD(ROW()-1,7)+50),"")</f>
        <v/>
      </c>
    </row>
    <row r="4542" spans="1:1" x14ac:dyDescent="0.25">
      <c r="A4542" t="str" cm="1">
        <f t="array" ref="A4542">IF(INDEX(CUEs!$A:$A,INT((ROW()-1)/7)*57+MOD(ROW()-1,7)+50)&lt;&gt;"","set "&amp;INDEX(CUEs!$A:$A,INT((ROW()-1)/7)*57+MOD(ROW()-1,7)+50)&amp;"=/ s "&amp;INDEX(CUEs!$B:$B,INT((ROW()-1)/7)*57+MOD(ROW()-1,7)+50),"")</f>
        <v/>
      </c>
    </row>
    <row r="4543" spans="1:1" x14ac:dyDescent="0.25">
      <c r="A4543" t="str" cm="1">
        <f t="array" ref="A4543">IF(INDEX(CUEs!$A:$A,INT((ROW()-1)/7)*57+MOD(ROW()-1,7)+50)&lt;&gt;"","set "&amp;INDEX(CUEs!$A:$A,INT((ROW()-1)/7)*57+MOD(ROW()-1,7)+50)&amp;"=/ s "&amp;INDEX(CUEs!$B:$B,INT((ROW()-1)/7)*57+MOD(ROW()-1,7)+50),"")</f>
        <v/>
      </c>
    </row>
    <row r="4544" spans="1:1" x14ac:dyDescent="0.25">
      <c r="A4544" t="str" cm="1">
        <f t="array" ref="A4544">IF(INDEX(CUEs!$A:$A,INT((ROW()-1)/7)*57+MOD(ROW()-1,7)+50)&lt;&gt;"","set "&amp;INDEX(CUEs!$A:$A,INT((ROW()-1)/7)*57+MOD(ROW()-1,7)+50)&amp;"=/ s "&amp;INDEX(CUEs!$B:$B,INT((ROW()-1)/7)*57+MOD(ROW()-1,7)+50),"")</f>
        <v/>
      </c>
    </row>
    <row r="4545" spans="1:1" x14ac:dyDescent="0.25">
      <c r="A4545" t="str" cm="1">
        <f t="array" ref="A4545">IF(INDEX(CUEs!$A:$A,INT((ROW()-1)/7)*57+MOD(ROW()-1,7)+50)&lt;&gt;"","set "&amp;INDEX(CUEs!$A:$A,INT((ROW()-1)/7)*57+MOD(ROW()-1,7)+50)&amp;"=/ s "&amp;INDEX(CUEs!$B:$B,INT((ROW()-1)/7)*57+MOD(ROW()-1,7)+50),"")</f>
        <v/>
      </c>
    </row>
    <row r="4546" spans="1:1" x14ac:dyDescent="0.25">
      <c r="A4546" t="str" cm="1">
        <f t="array" ref="A4546">IF(INDEX(CUEs!$A:$A,INT((ROW()-1)/7)*57+MOD(ROW()-1,7)+50)&lt;&gt;"","set "&amp;INDEX(CUEs!$A:$A,INT((ROW()-1)/7)*57+MOD(ROW()-1,7)+50)&amp;"=/ s "&amp;INDEX(CUEs!$B:$B,INT((ROW()-1)/7)*57+MOD(ROW()-1,7)+50),"")</f>
        <v/>
      </c>
    </row>
    <row r="4547" spans="1:1" x14ac:dyDescent="0.25">
      <c r="A4547" t="str" cm="1">
        <f t="array" ref="A4547">IF(INDEX(CUEs!$A:$A,INT((ROW()-1)/7)*57+MOD(ROW()-1,7)+50)&lt;&gt;"","set "&amp;INDEX(CUEs!$A:$A,INT((ROW()-1)/7)*57+MOD(ROW()-1,7)+50)&amp;"=/ s "&amp;INDEX(CUEs!$B:$B,INT((ROW()-1)/7)*57+MOD(ROW()-1,7)+50),"")</f>
        <v/>
      </c>
    </row>
    <row r="4548" spans="1:1" x14ac:dyDescent="0.25">
      <c r="A4548" t="str" cm="1">
        <f t="array" ref="A4548">IF(INDEX(CUEs!$A:$A,INT((ROW()-1)/7)*57+MOD(ROW()-1,7)+50)&lt;&gt;"","set "&amp;INDEX(CUEs!$A:$A,INT((ROW()-1)/7)*57+MOD(ROW()-1,7)+50)&amp;"=/ s "&amp;INDEX(CUEs!$B:$B,INT((ROW()-1)/7)*57+MOD(ROW()-1,7)+50),"")</f>
        <v/>
      </c>
    </row>
    <row r="4549" spans="1:1" x14ac:dyDescent="0.25">
      <c r="A4549" t="str" cm="1">
        <f t="array" ref="A4549">IF(INDEX(CUEs!$A:$A,INT((ROW()-1)/7)*57+MOD(ROW()-1,7)+50)&lt;&gt;"","set "&amp;INDEX(CUEs!$A:$A,INT((ROW()-1)/7)*57+MOD(ROW()-1,7)+50)&amp;"=/ s "&amp;INDEX(CUEs!$B:$B,INT((ROW()-1)/7)*57+MOD(ROW()-1,7)+50),"")</f>
        <v/>
      </c>
    </row>
    <row r="4550" spans="1:1" x14ac:dyDescent="0.25">
      <c r="A4550" t="str" cm="1">
        <f t="array" ref="A4550">IF(INDEX(CUEs!$A:$A,INT((ROW()-1)/7)*57+MOD(ROW()-1,7)+50)&lt;&gt;"","set "&amp;INDEX(CUEs!$A:$A,INT((ROW()-1)/7)*57+MOD(ROW()-1,7)+50)&amp;"=/ s "&amp;INDEX(CUEs!$B:$B,INT((ROW()-1)/7)*57+MOD(ROW()-1,7)+50),"")</f>
        <v/>
      </c>
    </row>
    <row r="4551" spans="1:1" x14ac:dyDescent="0.25">
      <c r="A4551" t="str" cm="1">
        <f t="array" ref="A4551">IF(INDEX(CUEs!$A:$A,INT((ROW()-1)/7)*57+MOD(ROW()-1,7)+50)&lt;&gt;"","set "&amp;INDEX(CUEs!$A:$A,INT((ROW()-1)/7)*57+MOD(ROW()-1,7)+50)&amp;"=/ s "&amp;INDEX(CUEs!$B:$B,INT((ROW()-1)/7)*57+MOD(ROW()-1,7)+50),"")</f>
        <v/>
      </c>
    </row>
    <row r="4552" spans="1:1" x14ac:dyDescent="0.25">
      <c r="A4552" t="str" cm="1">
        <f t="array" ref="A4552">IF(INDEX(CUEs!$A:$A,INT((ROW()-1)/7)*57+MOD(ROW()-1,7)+50)&lt;&gt;"","set "&amp;INDEX(CUEs!$A:$A,INT((ROW()-1)/7)*57+MOD(ROW()-1,7)+50)&amp;"=/ s "&amp;INDEX(CUEs!$B:$B,INT((ROW()-1)/7)*57+MOD(ROW()-1,7)+50),"")</f>
        <v/>
      </c>
    </row>
    <row r="4553" spans="1:1" x14ac:dyDescent="0.25">
      <c r="A4553" t="str" cm="1">
        <f t="array" ref="A4553">IF(INDEX(CUEs!$A:$A,INT((ROW()-1)/7)*57+MOD(ROW()-1,7)+50)&lt;&gt;"","set "&amp;INDEX(CUEs!$A:$A,INT((ROW()-1)/7)*57+MOD(ROW()-1,7)+50)&amp;"=/ s "&amp;INDEX(CUEs!$B:$B,INT((ROW()-1)/7)*57+MOD(ROW()-1,7)+50),"")</f>
        <v/>
      </c>
    </row>
    <row r="4554" spans="1:1" x14ac:dyDescent="0.25">
      <c r="A4554" t="str" cm="1">
        <f t="array" ref="A4554">IF(INDEX(CUEs!$A:$A,INT((ROW()-1)/7)*57+MOD(ROW()-1,7)+50)&lt;&gt;"","set "&amp;INDEX(CUEs!$A:$A,INT((ROW()-1)/7)*57+MOD(ROW()-1,7)+50)&amp;"=/ s "&amp;INDEX(CUEs!$B:$B,INT((ROW()-1)/7)*57+MOD(ROW()-1,7)+50),"")</f>
        <v/>
      </c>
    </row>
    <row r="4555" spans="1:1" x14ac:dyDescent="0.25">
      <c r="A4555" t="str" cm="1">
        <f t="array" ref="A4555">IF(INDEX(CUEs!$A:$A,INT((ROW()-1)/7)*57+MOD(ROW()-1,7)+50)&lt;&gt;"","set "&amp;INDEX(CUEs!$A:$A,INT((ROW()-1)/7)*57+MOD(ROW()-1,7)+50)&amp;"=/ s "&amp;INDEX(CUEs!$B:$B,INT((ROW()-1)/7)*57+MOD(ROW()-1,7)+50),"")</f>
        <v/>
      </c>
    </row>
    <row r="4556" spans="1:1" x14ac:dyDescent="0.25">
      <c r="A4556" t="str" cm="1">
        <f t="array" ref="A4556">IF(INDEX(CUEs!$A:$A,INT((ROW()-1)/7)*57+MOD(ROW()-1,7)+50)&lt;&gt;"","set "&amp;INDEX(CUEs!$A:$A,INT((ROW()-1)/7)*57+MOD(ROW()-1,7)+50)&amp;"=/ s "&amp;INDEX(CUEs!$B:$B,INT((ROW()-1)/7)*57+MOD(ROW()-1,7)+50),"")</f>
        <v/>
      </c>
    </row>
    <row r="4557" spans="1:1" x14ac:dyDescent="0.25">
      <c r="A4557" t="str" cm="1">
        <f t="array" ref="A4557">IF(INDEX(CUEs!$A:$A,INT((ROW()-1)/7)*57+MOD(ROW()-1,7)+50)&lt;&gt;"","set "&amp;INDEX(CUEs!$A:$A,INT((ROW()-1)/7)*57+MOD(ROW()-1,7)+50)&amp;"=/ s "&amp;INDEX(CUEs!$B:$B,INT((ROW()-1)/7)*57+MOD(ROW()-1,7)+50),"")</f>
        <v/>
      </c>
    </row>
    <row r="4558" spans="1:1" x14ac:dyDescent="0.25">
      <c r="A4558" t="str" cm="1">
        <f t="array" ref="A4558">IF(INDEX(CUEs!$A:$A,INT((ROW()-1)/7)*57+MOD(ROW()-1,7)+50)&lt;&gt;"","set "&amp;INDEX(CUEs!$A:$A,INT((ROW()-1)/7)*57+MOD(ROW()-1,7)+50)&amp;"=/ s "&amp;INDEX(CUEs!$B:$B,INT((ROW()-1)/7)*57+MOD(ROW()-1,7)+50),"")</f>
        <v/>
      </c>
    </row>
    <row r="4559" spans="1:1" x14ac:dyDescent="0.25">
      <c r="A4559" t="str" cm="1">
        <f t="array" ref="A4559">IF(INDEX(CUEs!$A:$A,INT((ROW()-1)/7)*57+MOD(ROW()-1,7)+50)&lt;&gt;"","set "&amp;INDEX(CUEs!$A:$A,INT((ROW()-1)/7)*57+MOD(ROW()-1,7)+50)&amp;"=/ s "&amp;INDEX(CUEs!$B:$B,INT((ROW()-1)/7)*57+MOD(ROW()-1,7)+50),"")</f>
        <v/>
      </c>
    </row>
    <row r="4560" spans="1:1" x14ac:dyDescent="0.25">
      <c r="A4560" t="str" cm="1">
        <f t="array" ref="A4560">IF(INDEX(CUEs!$A:$A,INT((ROW()-1)/7)*57+MOD(ROW()-1,7)+50)&lt;&gt;"","set "&amp;INDEX(CUEs!$A:$A,INT((ROW()-1)/7)*57+MOD(ROW()-1,7)+50)&amp;"=/ s "&amp;INDEX(CUEs!$B:$B,INT((ROW()-1)/7)*57+MOD(ROW()-1,7)+50),"")</f>
        <v/>
      </c>
    </row>
    <row r="4561" spans="1:1" x14ac:dyDescent="0.25">
      <c r="A4561" t="str" cm="1">
        <f t="array" ref="A4561">IF(INDEX(CUEs!$A:$A,INT((ROW()-1)/7)*57+MOD(ROW()-1,7)+50)&lt;&gt;"","set "&amp;INDEX(CUEs!$A:$A,INT((ROW()-1)/7)*57+MOD(ROW()-1,7)+50)&amp;"=/ s "&amp;INDEX(CUEs!$B:$B,INT((ROW()-1)/7)*57+MOD(ROW()-1,7)+50),"")</f>
        <v/>
      </c>
    </row>
    <row r="4562" spans="1:1" x14ac:dyDescent="0.25">
      <c r="A4562" t="str" cm="1">
        <f t="array" ref="A4562">IF(INDEX(CUEs!$A:$A,INT((ROW()-1)/7)*57+MOD(ROW()-1,7)+50)&lt;&gt;"","set "&amp;INDEX(CUEs!$A:$A,INT((ROW()-1)/7)*57+MOD(ROW()-1,7)+50)&amp;"=/ s "&amp;INDEX(CUEs!$B:$B,INT((ROW()-1)/7)*57+MOD(ROW()-1,7)+50),"")</f>
        <v/>
      </c>
    </row>
    <row r="4563" spans="1:1" x14ac:dyDescent="0.25">
      <c r="A4563" t="str" cm="1">
        <f t="array" ref="A4563">IF(INDEX(CUEs!$A:$A,INT((ROW()-1)/7)*57+MOD(ROW()-1,7)+50)&lt;&gt;"","set "&amp;INDEX(CUEs!$A:$A,INT((ROW()-1)/7)*57+MOD(ROW()-1,7)+50)&amp;"=/ s "&amp;INDEX(CUEs!$B:$B,INT((ROW()-1)/7)*57+MOD(ROW()-1,7)+50),"")</f>
        <v/>
      </c>
    </row>
    <row r="4564" spans="1:1" x14ac:dyDescent="0.25">
      <c r="A4564" t="str" cm="1">
        <f t="array" ref="A4564">IF(INDEX(CUEs!$A:$A,INT((ROW()-1)/7)*57+MOD(ROW()-1,7)+50)&lt;&gt;"","set "&amp;INDEX(CUEs!$A:$A,INT((ROW()-1)/7)*57+MOD(ROW()-1,7)+50)&amp;"=/ s "&amp;INDEX(CUEs!$B:$B,INT((ROW()-1)/7)*57+MOD(ROW()-1,7)+50),"")</f>
        <v/>
      </c>
    </row>
    <row r="4565" spans="1:1" x14ac:dyDescent="0.25">
      <c r="A4565" t="str" cm="1">
        <f t="array" ref="A4565">IF(INDEX(CUEs!$A:$A,INT((ROW()-1)/7)*57+MOD(ROW()-1,7)+50)&lt;&gt;"","set "&amp;INDEX(CUEs!$A:$A,INT((ROW()-1)/7)*57+MOD(ROW()-1,7)+50)&amp;"=/ s "&amp;INDEX(CUEs!$B:$B,INT((ROW()-1)/7)*57+MOD(ROW()-1,7)+50),"")</f>
        <v/>
      </c>
    </row>
    <row r="4566" spans="1:1" x14ac:dyDescent="0.25">
      <c r="A4566" t="str" cm="1">
        <f t="array" ref="A4566">IF(INDEX(CUEs!$A:$A,INT((ROW()-1)/7)*57+MOD(ROW()-1,7)+50)&lt;&gt;"","set "&amp;INDEX(CUEs!$A:$A,INT((ROW()-1)/7)*57+MOD(ROW()-1,7)+50)&amp;"=/ s "&amp;INDEX(CUEs!$B:$B,INT((ROW()-1)/7)*57+MOD(ROW()-1,7)+50),"")</f>
        <v/>
      </c>
    </row>
    <row r="4567" spans="1:1" x14ac:dyDescent="0.25">
      <c r="A4567" t="str" cm="1">
        <f t="array" ref="A4567">IF(INDEX(CUEs!$A:$A,INT((ROW()-1)/7)*57+MOD(ROW()-1,7)+50)&lt;&gt;"","set "&amp;INDEX(CUEs!$A:$A,INT((ROW()-1)/7)*57+MOD(ROW()-1,7)+50)&amp;"=/ s "&amp;INDEX(CUEs!$B:$B,INT((ROW()-1)/7)*57+MOD(ROW()-1,7)+50),"")</f>
        <v/>
      </c>
    </row>
    <row r="4568" spans="1:1" x14ac:dyDescent="0.25">
      <c r="A4568" t="str" cm="1">
        <f t="array" ref="A4568">IF(INDEX(CUEs!$A:$A,INT((ROW()-1)/7)*57+MOD(ROW()-1,7)+50)&lt;&gt;"","set "&amp;INDEX(CUEs!$A:$A,INT((ROW()-1)/7)*57+MOD(ROW()-1,7)+50)&amp;"=/ s "&amp;INDEX(CUEs!$B:$B,INT((ROW()-1)/7)*57+MOD(ROW()-1,7)+50),"")</f>
        <v/>
      </c>
    </row>
    <row r="4569" spans="1:1" x14ac:dyDescent="0.25">
      <c r="A4569" t="str" cm="1">
        <f t="array" ref="A4569">IF(INDEX(CUEs!$A:$A,INT((ROW()-1)/7)*57+MOD(ROW()-1,7)+50)&lt;&gt;"","set "&amp;INDEX(CUEs!$A:$A,INT((ROW()-1)/7)*57+MOD(ROW()-1,7)+50)&amp;"=/ s "&amp;INDEX(CUEs!$B:$B,INT((ROW()-1)/7)*57+MOD(ROW()-1,7)+50),"")</f>
        <v/>
      </c>
    </row>
    <row r="4570" spans="1:1" x14ac:dyDescent="0.25">
      <c r="A4570" t="str" cm="1">
        <f t="array" ref="A4570">IF(INDEX(CUEs!$A:$A,INT((ROW()-1)/7)*57+MOD(ROW()-1,7)+50)&lt;&gt;"","set "&amp;INDEX(CUEs!$A:$A,INT((ROW()-1)/7)*57+MOD(ROW()-1,7)+50)&amp;"=/ s "&amp;INDEX(CUEs!$B:$B,INT((ROW()-1)/7)*57+MOD(ROW()-1,7)+50),"")</f>
        <v/>
      </c>
    </row>
    <row r="4571" spans="1:1" x14ac:dyDescent="0.25">
      <c r="A4571" t="str" cm="1">
        <f t="array" ref="A4571">IF(INDEX(CUEs!$A:$A,INT((ROW()-1)/7)*57+MOD(ROW()-1,7)+50)&lt;&gt;"","set "&amp;INDEX(CUEs!$A:$A,INT((ROW()-1)/7)*57+MOD(ROW()-1,7)+50)&amp;"=/ s "&amp;INDEX(CUEs!$B:$B,INT((ROW()-1)/7)*57+MOD(ROW()-1,7)+50),"")</f>
        <v/>
      </c>
    </row>
    <row r="4572" spans="1:1" x14ac:dyDescent="0.25">
      <c r="A4572" t="str" cm="1">
        <f t="array" ref="A4572">IF(INDEX(CUEs!$A:$A,INT((ROW()-1)/7)*57+MOD(ROW()-1,7)+50)&lt;&gt;"","set "&amp;INDEX(CUEs!$A:$A,INT((ROW()-1)/7)*57+MOD(ROW()-1,7)+50)&amp;"=/ s "&amp;INDEX(CUEs!$B:$B,INT((ROW()-1)/7)*57+MOD(ROW()-1,7)+50),"")</f>
        <v/>
      </c>
    </row>
    <row r="4573" spans="1:1" x14ac:dyDescent="0.25">
      <c r="A4573" t="str" cm="1">
        <f t="array" ref="A4573">IF(INDEX(CUEs!$A:$A,INT((ROW()-1)/7)*57+MOD(ROW()-1,7)+50)&lt;&gt;"","set "&amp;INDEX(CUEs!$A:$A,INT((ROW()-1)/7)*57+MOD(ROW()-1,7)+50)&amp;"=/ s "&amp;INDEX(CUEs!$B:$B,INT((ROW()-1)/7)*57+MOD(ROW()-1,7)+50),"")</f>
        <v/>
      </c>
    </row>
    <row r="4574" spans="1:1" x14ac:dyDescent="0.25">
      <c r="A4574" t="str" cm="1">
        <f t="array" ref="A4574">IF(INDEX(CUEs!$A:$A,INT((ROW()-1)/7)*57+MOD(ROW()-1,7)+50)&lt;&gt;"","set "&amp;INDEX(CUEs!$A:$A,INT((ROW()-1)/7)*57+MOD(ROW()-1,7)+50)&amp;"=/ s "&amp;INDEX(CUEs!$B:$B,INT((ROW()-1)/7)*57+MOD(ROW()-1,7)+50),"")</f>
        <v/>
      </c>
    </row>
    <row r="4575" spans="1:1" x14ac:dyDescent="0.25">
      <c r="A4575" t="str" cm="1">
        <f t="array" ref="A4575">IF(INDEX(CUEs!$A:$A,INT((ROW()-1)/7)*57+MOD(ROW()-1,7)+50)&lt;&gt;"","set "&amp;INDEX(CUEs!$A:$A,INT((ROW()-1)/7)*57+MOD(ROW()-1,7)+50)&amp;"=/ s "&amp;INDEX(CUEs!$B:$B,INT((ROW()-1)/7)*57+MOD(ROW()-1,7)+50),"")</f>
        <v/>
      </c>
    </row>
    <row r="4576" spans="1:1" x14ac:dyDescent="0.25">
      <c r="A4576" t="str" cm="1">
        <f t="array" ref="A4576">IF(INDEX(CUEs!$A:$A,INT((ROW()-1)/7)*57+MOD(ROW()-1,7)+50)&lt;&gt;"","set "&amp;INDEX(CUEs!$A:$A,INT((ROW()-1)/7)*57+MOD(ROW()-1,7)+50)&amp;"=/ s "&amp;INDEX(CUEs!$B:$B,INT((ROW()-1)/7)*57+MOD(ROW()-1,7)+50),"")</f>
        <v/>
      </c>
    </row>
    <row r="4577" spans="1:1" x14ac:dyDescent="0.25">
      <c r="A4577" t="str" cm="1">
        <f t="array" ref="A4577">IF(INDEX(CUEs!$A:$A,INT((ROW()-1)/7)*57+MOD(ROW()-1,7)+50)&lt;&gt;"","set "&amp;INDEX(CUEs!$A:$A,INT((ROW()-1)/7)*57+MOD(ROW()-1,7)+50)&amp;"=/ s "&amp;INDEX(CUEs!$B:$B,INT((ROW()-1)/7)*57+MOD(ROW()-1,7)+50),"")</f>
        <v/>
      </c>
    </row>
    <row r="4578" spans="1:1" x14ac:dyDescent="0.25">
      <c r="A4578" t="str" cm="1">
        <f t="array" ref="A4578">IF(INDEX(CUEs!$A:$A,INT((ROW()-1)/7)*57+MOD(ROW()-1,7)+50)&lt;&gt;"","set "&amp;INDEX(CUEs!$A:$A,INT((ROW()-1)/7)*57+MOD(ROW()-1,7)+50)&amp;"=/ s "&amp;INDEX(CUEs!$B:$B,INT((ROW()-1)/7)*57+MOD(ROW()-1,7)+50),"")</f>
        <v/>
      </c>
    </row>
    <row r="4579" spans="1:1" x14ac:dyDescent="0.25">
      <c r="A4579" t="str" cm="1">
        <f t="array" ref="A4579">IF(INDEX(CUEs!$A:$A,INT((ROW()-1)/7)*57+MOD(ROW()-1,7)+50)&lt;&gt;"","set "&amp;INDEX(CUEs!$A:$A,INT((ROW()-1)/7)*57+MOD(ROW()-1,7)+50)&amp;"=/ s "&amp;INDEX(CUEs!$B:$B,INT((ROW()-1)/7)*57+MOD(ROW()-1,7)+50),"")</f>
        <v/>
      </c>
    </row>
    <row r="4580" spans="1:1" x14ac:dyDescent="0.25">
      <c r="A4580" t="str" cm="1">
        <f t="array" ref="A4580">IF(INDEX(CUEs!$A:$A,INT((ROW()-1)/7)*57+MOD(ROW()-1,7)+50)&lt;&gt;"","set "&amp;INDEX(CUEs!$A:$A,INT((ROW()-1)/7)*57+MOD(ROW()-1,7)+50)&amp;"=/ s "&amp;INDEX(CUEs!$B:$B,INT((ROW()-1)/7)*57+MOD(ROW()-1,7)+50),"")</f>
        <v/>
      </c>
    </row>
    <row r="4581" spans="1:1" x14ac:dyDescent="0.25">
      <c r="A4581" t="str" cm="1">
        <f t="array" ref="A4581">IF(INDEX(CUEs!$A:$A,INT((ROW()-1)/7)*57+MOD(ROW()-1,7)+50)&lt;&gt;"","set "&amp;INDEX(CUEs!$A:$A,INT((ROW()-1)/7)*57+MOD(ROW()-1,7)+50)&amp;"=/ s "&amp;INDEX(CUEs!$B:$B,INT((ROW()-1)/7)*57+MOD(ROW()-1,7)+50),"")</f>
        <v/>
      </c>
    </row>
    <row r="4582" spans="1:1" x14ac:dyDescent="0.25">
      <c r="A4582" t="str" cm="1">
        <f t="array" ref="A4582">IF(INDEX(CUEs!$A:$A,INT((ROW()-1)/7)*57+MOD(ROW()-1,7)+50)&lt;&gt;"","set "&amp;INDEX(CUEs!$A:$A,INT((ROW()-1)/7)*57+MOD(ROW()-1,7)+50)&amp;"=/ s "&amp;INDEX(CUEs!$B:$B,INT((ROW()-1)/7)*57+MOD(ROW()-1,7)+50),"")</f>
        <v/>
      </c>
    </row>
    <row r="4583" spans="1:1" x14ac:dyDescent="0.25">
      <c r="A4583" t="str" cm="1">
        <f t="array" ref="A4583">IF(INDEX(CUEs!$A:$A,INT((ROW()-1)/7)*57+MOD(ROW()-1,7)+50)&lt;&gt;"","set "&amp;INDEX(CUEs!$A:$A,INT((ROW()-1)/7)*57+MOD(ROW()-1,7)+50)&amp;"=/ s "&amp;INDEX(CUEs!$B:$B,INT((ROW()-1)/7)*57+MOD(ROW()-1,7)+50),"")</f>
        <v/>
      </c>
    </row>
    <row r="4584" spans="1:1" x14ac:dyDescent="0.25">
      <c r="A4584" t="str" cm="1">
        <f t="array" ref="A4584">IF(INDEX(CUEs!$A:$A,INT((ROW()-1)/7)*57+MOD(ROW()-1,7)+50)&lt;&gt;"","set "&amp;INDEX(CUEs!$A:$A,INT((ROW()-1)/7)*57+MOD(ROW()-1,7)+50)&amp;"=/ s "&amp;INDEX(CUEs!$B:$B,INT((ROW()-1)/7)*57+MOD(ROW()-1,7)+50),"")</f>
        <v/>
      </c>
    </row>
    <row r="4585" spans="1:1" x14ac:dyDescent="0.25">
      <c r="A4585" t="str" cm="1">
        <f t="array" ref="A4585">IF(INDEX(CUEs!$A:$A,INT((ROW()-1)/7)*57+MOD(ROW()-1,7)+50)&lt;&gt;"","set "&amp;INDEX(CUEs!$A:$A,INT((ROW()-1)/7)*57+MOD(ROW()-1,7)+50)&amp;"=/ s "&amp;INDEX(CUEs!$B:$B,INT((ROW()-1)/7)*57+MOD(ROW()-1,7)+50),"")</f>
        <v/>
      </c>
    </row>
    <row r="4586" spans="1:1" x14ac:dyDescent="0.25">
      <c r="A4586" t="str" cm="1">
        <f t="array" ref="A4586">IF(INDEX(CUEs!$A:$A,INT((ROW()-1)/7)*57+MOD(ROW()-1,7)+50)&lt;&gt;"","set "&amp;INDEX(CUEs!$A:$A,INT((ROW()-1)/7)*57+MOD(ROW()-1,7)+50)&amp;"=/ s "&amp;INDEX(CUEs!$B:$B,INT((ROW()-1)/7)*57+MOD(ROW()-1,7)+50),"")</f>
        <v/>
      </c>
    </row>
    <row r="4587" spans="1:1" x14ac:dyDescent="0.25">
      <c r="A4587" t="str" cm="1">
        <f t="array" ref="A4587">IF(INDEX(CUEs!$A:$A,INT((ROW()-1)/7)*57+MOD(ROW()-1,7)+50)&lt;&gt;"","set "&amp;INDEX(CUEs!$A:$A,INT((ROW()-1)/7)*57+MOD(ROW()-1,7)+50)&amp;"=/ s "&amp;INDEX(CUEs!$B:$B,INT((ROW()-1)/7)*57+MOD(ROW()-1,7)+50),"")</f>
        <v/>
      </c>
    </row>
    <row r="4588" spans="1:1" x14ac:dyDescent="0.25">
      <c r="A4588" t="str" cm="1">
        <f t="array" ref="A4588">IF(INDEX(CUEs!$A:$A,INT((ROW()-1)/7)*57+MOD(ROW()-1,7)+50)&lt;&gt;"","set "&amp;INDEX(CUEs!$A:$A,INT((ROW()-1)/7)*57+MOD(ROW()-1,7)+50)&amp;"=/ s "&amp;INDEX(CUEs!$B:$B,INT((ROW()-1)/7)*57+MOD(ROW()-1,7)+50),"")</f>
        <v/>
      </c>
    </row>
    <row r="4589" spans="1:1" x14ac:dyDescent="0.25">
      <c r="A4589" t="str" cm="1">
        <f t="array" ref="A4589">IF(INDEX(CUEs!$A:$A,INT((ROW()-1)/7)*57+MOD(ROW()-1,7)+50)&lt;&gt;"","set "&amp;INDEX(CUEs!$A:$A,INT((ROW()-1)/7)*57+MOD(ROW()-1,7)+50)&amp;"=/ s "&amp;INDEX(CUEs!$B:$B,INT((ROW()-1)/7)*57+MOD(ROW()-1,7)+50),"")</f>
        <v/>
      </c>
    </row>
    <row r="4590" spans="1:1" x14ac:dyDescent="0.25">
      <c r="A4590" t="str" cm="1">
        <f t="array" ref="A4590">IF(INDEX(CUEs!$A:$A,INT((ROW()-1)/7)*57+MOD(ROW()-1,7)+50)&lt;&gt;"","set "&amp;INDEX(CUEs!$A:$A,INT((ROW()-1)/7)*57+MOD(ROW()-1,7)+50)&amp;"=/ s "&amp;INDEX(CUEs!$B:$B,INT((ROW()-1)/7)*57+MOD(ROW()-1,7)+50),"")</f>
        <v/>
      </c>
    </row>
    <row r="4591" spans="1:1" x14ac:dyDescent="0.25">
      <c r="A4591" t="str" cm="1">
        <f t="array" ref="A4591">IF(INDEX(CUEs!$A:$A,INT((ROW()-1)/7)*57+MOD(ROW()-1,7)+50)&lt;&gt;"","set "&amp;INDEX(CUEs!$A:$A,INT((ROW()-1)/7)*57+MOD(ROW()-1,7)+50)&amp;"=/ s "&amp;INDEX(CUEs!$B:$B,INT((ROW()-1)/7)*57+MOD(ROW()-1,7)+50),"")</f>
        <v/>
      </c>
    </row>
    <row r="4592" spans="1:1" x14ac:dyDescent="0.25">
      <c r="A4592" t="str" cm="1">
        <f t="array" ref="A4592">IF(INDEX(CUEs!$A:$A,INT((ROW()-1)/7)*57+MOD(ROW()-1,7)+50)&lt;&gt;"","set "&amp;INDEX(CUEs!$A:$A,INT((ROW()-1)/7)*57+MOD(ROW()-1,7)+50)&amp;"=/ s "&amp;INDEX(CUEs!$B:$B,INT((ROW()-1)/7)*57+MOD(ROW()-1,7)+50),"")</f>
        <v/>
      </c>
    </row>
    <row r="4593" spans="1:1" x14ac:dyDescent="0.25">
      <c r="A4593" t="str" cm="1">
        <f t="array" ref="A4593">IF(INDEX(CUEs!$A:$A,INT((ROW()-1)/7)*57+MOD(ROW()-1,7)+50)&lt;&gt;"","set "&amp;INDEX(CUEs!$A:$A,INT((ROW()-1)/7)*57+MOD(ROW()-1,7)+50)&amp;"=/ s "&amp;INDEX(CUEs!$B:$B,INT((ROW()-1)/7)*57+MOD(ROW()-1,7)+50),"")</f>
        <v/>
      </c>
    </row>
    <row r="4594" spans="1:1" x14ac:dyDescent="0.25">
      <c r="A4594" t="str" cm="1">
        <f t="array" ref="A4594">IF(INDEX(CUEs!$A:$A,INT((ROW()-1)/7)*57+MOD(ROW()-1,7)+50)&lt;&gt;"","set "&amp;INDEX(CUEs!$A:$A,INT((ROW()-1)/7)*57+MOD(ROW()-1,7)+50)&amp;"=/ s "&amp;INDEX(CUEs!$B:$B,INT((ROW()-1)/7)*57+MOD(ROW()-1,7)+50),"")</f>
        <v/>
      </c>
    </row>
    <row r="4595" spans="1:1" x14ac:dyDescent="0.25">
      <c r="A4595" t="str" cm="1">
        <f t="array" ref="A4595">IF(INDEX(CUEs!$A:$A,INT((ROW()-1)/7)*57+MOD(ROW()-1,7)+50)&lt;&gt;"","set "&amp;INDEX(CUEs!$A:$A,INT((ROW()-1)/7)*57+MOD(ROW()-1,7)+50)&amp;"=/ s "&amp;INDEX(CUEs!$B:$B,INT((ROW()-1)/7)*57+MOD(ROW()-1,7)+50),"")</f>
        <v/>
      </c>
    </row>
    <row r="4596" spans="1:1" x14ac:dyDescent="0.25">
      <c r="A4596" t="str" cm="1">
        <f t="array" ref="A4596">IF(INDEX(CUEs!$A:$A,INT((ROW()-1)/7)*57+MOD(ROW()-1,7)+50)&lt;&gt;"","set "&amp;INDEX(CUEs!$A:$A,INT((ROW()-1)/7)*57+MOD(ROW()-1,7)+50)&amp;"=/ s "&amp;INDEX(CUEs!$B:$B,INT((ROW()-1)/7)*57+MOD(ROW()-1,7)+50),"")</f>
        <v/>
      </c>
    </row>
    <row r="4597" spans="1:1" x14ac:dyDescent="0.25">
      <c r="A4597" t="str" cm="1">
        <f t="array" ref="A4597">IF(INDEX(CUEs!$A:$A,INT((ROW()-1)/7)*57+MOD(ROW()-1,7)+50)&lt;&gt;"","set "&amp;INDEX(CUEs!$A:$A,INT((ROW()-1)/7)*57+MOD(ROW()-1,7)+50)&amp;"=/ s "&amp;INDEX(CUEs!$B:$B,INT((ROW()-1)/7)*57+MOD(ROW()-1,7)+50),"")</f>
        <v/>
      </c>
    </row>
    <row r="4598" spans="1:1" x14ac:dyDescent="0.25">
      <c r="A4598" t="str" cm="1">
        <f t="array" ref="A4598">IF(INDEX(CUEs!$A:$A,INT((ROW()-1)/7)*57+MOD(ROW()-1,7)+50)&lt;&gt;"","set "&amp;INDEX(CUEs!$A:$A,INT((ROW()-1)/7)*57+MOD(ROW()-1,7)+50)&amp;"=/ s "&amp;INDEX(CUEs!$B:$B,INT((ROW()-1)/7)*57+MOD(ROW()-1,7)+50),"")</f>
        <v/>
      </c>
    </row>
    <row r="4599" spans="1:1" x14ac:dyDescent="0.25">
      <c r="A4599" t="str" cm="1">
        <f t="array" ref="A4599">IF(INDEX(CUEs!$A:$A,INT((ROW()-1)/7)*57+MOD(ROW()-1,7)+50)&lt;&gt;"","set "&amp;INDEX(CUEs!$A:$A,INT((ROW()-1)/7)*57+MOD(ROW()-1,7)+50)&amp;"=/ s "&amp;INDEX(CUEs!$B:$B,INT((ROW()-1)/7)*57+MOD(ROW()-1,7)+50),"")</f>
        <v/>
      </c>
    </row>
    <row r="4600" spans="1:1" x14ac:dyDescent="0.25">
      <c r="A4600" t="str" cm="1">
        <f t="array" ref="A4600">IF(INDEX(CUEs!$A:$A,INT((ROW()-1)/7)*57+MOD(ROW()-1,7)+50)&lt;&gt;"","set "&amp;INDEX(CUEs!$A:$A,INT((ROW()-1)/7)*57+MOD(ROW()-1,7)+50)&amp;"=/ s "&amp;INDEX(CUEs!$B:$B,INT((ROW()-1)/7)*57+MOD(ROW()-1,7)+50),"")</f>
        <v/>
      </c>
    </row>
    <row r="4601" spans="1:1" x14ac:dyDescent="0.25">
      <c r="A4601" t="str" cm="1">
        <f t="array" ref="A4601">IF(INDEX(CUEs!$A:$A,INT((ROW()-1)/7)*57+MOD(ROW()-1,7)+50)&lt;&gt;"","set "&amp;INDEX(CUEs!$A:$A,INT((ROW()-1)/7)*57+MOD(ROW()-1,7)+50)&amp;"=/ s "&amp;INDEX(CUEs!$B:$B,INT((ROW()-1)/7)*57+MOD(ROW()-1,7)+50),"")</f>
        <v/>
      </c>
    </row>
    <row r="4602" spans="1:1" x14ac:dyDescent="0.25">
      <c r="A4602" t="str" cm="1">
        <f t="array" ref="A4602">IF(INDEX(CUEs!$A:$A,INT((ROW()-1)/7)*57+MOD(ROW()-1,7)+50)&lt;&gt;"","set "&amp;INDEX(CUEs!$A:$A,INT((ROW()-1)/7)*57+MOD(ROW()-1,7)+50)&amp;"=/ s "&amp;INDEX(CUEs!$B:$B,INT((ROW()-1)/7)*57+MOD(ROW()-1,7)+50),"")</f>
        <v/>
      </c>
    </row>
    <row r="4603" spans="1:1" x14ac:dyDescent="0.25">
      <c r="A4603" t="str" cm="1">
        <f t="array" ref="A4603">IF(INDEX(CUEs!$A:$A,INT((ROW()-1)/7)*57+MOD(ROW()-1,7)+50)&lt;&gt;"","set "&amp;INDEX(CUEs!$A:$A,INT((ROW()-1)/7)*57+MOD(ROW()-1,7)+50)&amp;"=/ s "&amp;INDEX(CUEs!$B:$B,INT((ROW()-1)/7)*57+MOD(ROW()-1,7)+50),"")</f>
        <v/>
      </c>
    </row>
    <row r="4604" spans="1:1" x14ac:dyDescent="0.25">
      <c r="A4604" t="str" cm="1">
        <f t="array" ref="A4604">IF(INDEX(CUEs!$A:$A,INT((ROW()-1)/7)*57+MOD(ROW()-1,7)+50)&lt;&gt;"","set "&amp;INDEX(CUEs!$A:$A,INT((ROW()-1)/7)*57+MOD(ROW()-1,7)+50)&amp;"=/ s "&amp;INDEX(CUEs!$B:$B,INT((ROW()-1)/7)*57+MOD(ROW()-1,7)+50),"")</f>
        <v/>
      </c>
    </row>
    <row r="4605" spans="1:1" x14ac:dyDescent="0.25">
      <c r="A4605" t="str" cm="1">
        <f t="array" ref="A4605">IF(INDEX(CUEs!$A:$A,INT((ROW()-1)/7)*57+MOD(ROW()-1,7)+50)&lt;&gt;"","set "&amp;INDEX(CUEs!$A:$A,INT((ROW()-1)/7)*57+MOD(ROW()-1,7)+50)&amp;"=/ s "&amp;INDEX(CUEs!$B:$B,INT((ROW()-1)/7)*57+MOD(ROW()-1,7)+50),"")</f>
        <v/>
      </c>
    </row>
    <row r="4606" spans="1:1" x14ac:dyDescent="0.25">
      <c r="A4606" t="str" cm="1">
        <f t="array" ref="A4606">IF(INDEX(CUEs!$A:$A,INT((ROW()-1)/7)*57+MOD(ROW()-1,7)+50)&lt;&gt;"","set "&amp;INDEX(CUEs!$A:$A,INT((ROW()-1)/7)*57+MOD(ROW()-1,7)+50)&amp;"=/ s "&amp;INDEX(CUEs!$B:$B,INT((ROW()-1)/7)*57+MOD(ROW()-1,7)+50),"")</f>
        <v/>
      </c>
    </row>
    <row r="4607" spans="1:1" x14ac:dyDescent="0.25">
      <c r="A4607" t="str" cm="1">
        <f t="array" ref="A4607">IF(INDEX(CUEs!$A:$A,INT((ROW()-1)/7)*57+MOD(ROW()-1,7)+50)&lt;&gt;"","set "&amp;INDEX(CUEs!$A:$A,INT((ROW()-1)/7)*57+MOD(ROW()-1,7)+50)&amp;"=/ s "&amp;INDEX(CUEs!$B:$B,INT((ROW()-1)/7)*57+MOD(ROW()-1,7)+50),"")</f>
        <v/>
      </c>
    </row>
    <row r="4608" spans="1:1" x14ac:dyDescent="0.25">
      <c r="A4608" t="str" cm="1">
        <f t="array" ref="A4608">IF(INDEX(CUEs!$A:$A,INT((ROW()-1)/7)*57+MOD(ROW()-1,7)+50)&lt;&gt;"","set "&amp;INDEX(CUEs!$A:$A,INT((ROW()-1)/7)*57+MOD(ROW()-1,7)+50)&amp;"=/ s "&amp;INDEX(CUEs!$B:$B,INT((ROW()-1)/7)*57+MOD(ROW()-1,7)+50),"")</f>
        <v/>
      </c>
    </row>
    <row r="4609" spans="1:1" x14ac:dyDescent="0.25">
      <c r="A4609" t="str" cm="1">
        <f t="array" ref="A4609">IF(INDEX(CUEs!$A:$A,INT((ROW()-1)/7)*57+MOD(ROW()-1,7)+50)&lt;&gt;"","set "&amp;INDEX(CUEs!$A:$A,INT((ROW()-1)/7)*57+MOD(ROW()-1,7)+50)&amp;"=/ s "&amp;INDEX(CUEs!$B:$B,INT((ROW()-1)/7)*57+MOD(ROW()-1,7)+50),"")</f>
        <v/>
      </c>
    </row>
    <row r="4610" spans="1:1" x14ac:dyDescent="0.25">
      <c r="A4610" t="str" cm="1">
        <f t="array" ref="A4610">IF(INDEX(CUEs!$A:$A,INT((ROW()-1)/7)*57+MOD(ROW()-1,7)+50)&lt;&gt;"","set "&amp;INDEX(CUEs!$A:$A,INT((ROW()-1)/7)*57+MOD(ROW()-1,7)+50)&amp;"=/ s "&amp;INDEX(CUEs!$B:$B,INT((ROW()-1)/7)*57+MOD(ROW()-1,7)+50),"")</f>
        <v/>
      </c>
    </row>
    <row r="4611" spans="1:1" x14ac:dyDescent="0.25">
      <c r="A4611" t="str" cm="1">
        <f t="array" ref="A4611">IF(INDEX(CUEs!$A:$A,INT((ROW()-1)/7)*57+MOD(ROW()-1,7)+50)&lt;&gt;"","set "&amp;INDEX(CUEs!$A:$A,INT((ROW()-1)/7)*57+MOD(ROW()-1,7)+50)&amp;"=/ s "&amp;INDEX(CUEs!$B:$B,INT((ROW()-1)/7)*57+MOD(ROW()-1,7)+50),"")</f>
        <v/>
      </c>
    </row>
    <row r="4612" spans="1:1" x14ac:dyDescent="0.25">
      <c r="A4612" t="str" cm="1">
        <f t="array" ref="A4612">IF(INDEX(CUEs!$A:$A,INT((ROW()-1)/7)*57+MOD(ROW()-1,7)+50)&lt;&gt;"","set "&amp;INDEX(CUEs!$A:$A,INT((ROW()-1)/7)*57+MOD(ROW()-1,7)+50)&amp;"=/ s "&amp;INDEX(CUEs!$B:$B,INT((ROW()-1)/7)*57+MOD(ROW()-1,7)+50),"")</f>
        <v/>
      </c>
    </row>
    <row r="4613" spans="1:1" x14ac:dyDescent="0.25">
      <c r="A4613" t="str" cm="1">
        <f t="array" ref="A4613">IF(INDEX(CUEs!$A:$A,INT((ROW()-1)/7)*57+MOD(ROW()-1,7)+50)&lt;&gt;"","set "&amp;INDEX(CUEs!$A:$A,INT((ROW()-1)/7)*57+MOD(ROW()-1,7)+50)&amp;"=/ s "&amp;INDEX(CUEs!$B:$B,INT((ROW()-1)/7)*57+MOD(ROW()-1,7)+50),"")</f>
        <v/>
      </c>
    </row>
    <row r="4614" spans="1:1" x14ac:dyDescent="0.25">
      <c r="A4614" t="str" cm="1">
        <f t="array" ref="A4614">IF(INDEX(CUEs!$A:$A,INT((ROW()-1)/7)*57+MOD(ROW()-1,7)+50)&lt;&gt;"","set "&amp;INDEX(CUEs!$A:$A,INT((ROW()-1)/7)*57+MOD(ROW()-1,7)+50)&amp;"=/ s "&amp;INDEX(CUEs!$B:$B,INT((ROW()-1)/7)*57+MOD(ROW()-1,7)+50),"")</f>
        <v/>
      </c>
    </row>
    <row r="4615" spans="1:1" x14ac:dyDescent="0.25">
      <c r="A4615" t="str" cm="1">
        <f t="array" ref="A4615">IF(INDEX(CUEs!$A:$A,INT((ROW()-1)/7)*57+MOD(ROW()-1,7)+50)&lt;&gt;"","set "&amp;INDEX(CUEs!$A:$A,INT((ROW()-1)/7)*57+MOD(ROW()-1,7)+50)&amp;"=/ s "&amp;INDEX(CUEs!$B:$B,INT((ROW()-1)/7)*57+MOD(ROW()-1,7)+50),"")</f>
        <v/>
      </c>
    </row>
    <row r="4616" spans="1:1" x14ac:dyDescent="0.25">
      <c r="A4616" t="str" cm="1">
        <f t="array" ref="A4616">IF(INDEX(CUEs!$A:$A,INT((ROW()-1)/7)*57+MOD(ROW()-1,7)+50)&lt;&gt;"","set "&amp;INDEX(CUEs!$A:$A,INT((ROW()-1)/7)*57+MOD(ROW()-1,7)+50)&amp;"=/ s "&amp;INDEX(CUEs!$B:$B,INT((ROW()-1)/7)*57+MOD(ROW()-1,7)+50),"")</f>
        <v/>
      </c>
    </row>
    <row r="4617" spans="1:1" x14ac:dyDescent="0.25">
      <c r="A4617" t="str" cm="1">
        <f t="array" ref="A4617">IF(INDEX(CUEs!$A:$A,INT((ROW()-1)/7)*57+MOD(ROW()-1,7)+50)&lt;&gt;"","set "&amp;INDEX(CUEs!$A:$A,INT((ROW()-1)/7)*57+MOD(ROW()-1,7)+50)&amp;"=/ s "&amp;INDEX(CUEs!$B:$B,INT((ROW()-1)/7)*57+MOD(ROW()-1,7)+50),"")</f>
        <v/>
      </c>
    </row>
    <row r="4618" spans="1:1" x14ac:dyDescent="0.25">
      <c r="A4618" t="str" cm="1">
        <f t="array" ref="A4618">IF(INDEX(CUEs!$A:$A,INT((ROW()-1)/7)*57+MOD(ROW()-1,7)+50)&lt;&gt;"","set "&amp;INDEX(CUEs!$A:$A,INT((ROW()-1)/7)*57+MOD(ROW()-1,7)+50)&amp;"=/ s "&amp;INDEX(CUEs!$B:$B,INT((ROW()-1)/7)*57+MOD(ROW()-1,7)+50),"")</f>
        <v/>
      </c>
    </row>
    <row r="4619" spans="1:1" x14ac:dyDescent="0.25">
      <c r="A4619" t="str" cm="1">
        <f t="array" ref="A4619">IF(INDEX(CUEs!$A:$A,INT((ROW()-1)/7)*57+MOD(ROW()-1,7)+50)&lt;&gt;"","set "&amp;INDEX(CUEs!$A:$A,INT((ROW()-1)/7)*57+MOD(ROW()-1,7)+50)&amp;"=/ s "&amp;INDEX(CUEs!$B:$B,INT((ROW()-1)/7)*57+MOD(ROW()-1,7)+50),"")</f>
        <v/>
      </c>
    </row>
    <row r="4620" spans="1:1" x14ac:dyDescent="0.25">
      <c r="A4620" t="str" cm="1">
        <f t="array" ref="A4620">IF(INDEX(CUEs!$A:$A,INT((ROW()-1)/7)*57+MOD(ROW()-1,7)+50)&lt;&gt;"","set "&amp;INDEX(CUEs!$A:$A,INT((ROW()-1)/7)*57+MOD(ROW()-1,7)+50)&amp;"=/ s "&amp;INDEX(CUEs!$B:$B,INT((ROW()-1)/7)*57+MOD(ROW()-1,7)+50),"")</f>
        <v/>
      </c>
    </row>
    <row r="4621" spans="1:1" x14ac:dyDescent="0.25">
      <c r="A4621" t="str" cm="1">
        <f t="array" ref="A4621">IF(INDEX(CUEs!$A:$A,INT((ROW()-1)/7)*57+MOD(ROW()-1,7)+50)&lt;&gt;"","set "&amp;INDEX(CUEs!$A:$A,INT((ROW()-1)/7)*57+MOD(ROW()-1,7)+50)&amp;"=/ s "&amp;INDEX(CUEs!$B:$B,INT((ROW()-1)/7)*57+MOD(ROW()-1,7)+50),"")</f>
        <v/>
      </c>
    </row>
    <row r="4622" spans="1:1" x14ac:dyDescent="0.25">
      <c r="A4622" t="str" cm="1">
        <f t="array" ref="A4622">IF(INDEX(CUEs!$A:$A,INT((ROW()-1)/7)*57+MOD(ROW()-1,7)+50)&lt;&gt;"","set "&amp;INDEX(CUEs!$A:$A,INT((ROW()-1)/7)*57+MOD(ROW()-1,7)+50)&amp;"=/ s "&amp;INDEX(CUEs!$B:$B,INT((ROW()-1)/7)*57+MOD(ROW()-1,7)+50),"")</f>
        <v/>
      </c>
    </row>
    <row r="4623" spans="1:1" x14ac:dyDescent="0.25">
      <c r="A4623" t="str" cm="1">
        <f t="array" ref="A4623">IF(INDEX(CUEs!$A:$A,INT((ROW()-1)/7)*57+MOD(ROW()-1,7)+50)&lt;&gt;"","set "&amp;INDEX(CUEs!$A:$A,INT((ROW()-1)/7)*57+MOD(ROW()-1,7)+50)&amp;"=/ s "&amp;INDEX(CUEs!$B:$B,INT((ROW()-1)/7)*57+MOD(ROW()-1,7)+50),"")</f>
        <v/>
      </c>
    </row>
    <row r="4624" spans="1:1" x14ac:dyDescent="0.25">
      <c r="A4624" t="str" cm="1">
        <f t="array" ref="A4624">IF(INDEX(CUEs!$A:$A,INT((ROW()-1)/7)*57+MOD(ROW()-1,7)+50)&lt;&gt;"","set "&amp;INDEX(CUEs!$A:$A,INT((ROW()-1)/7)*57+MOD(ROW()-1,7)+50)&amp;"=/ s "&amp;INDEX(CUEs!$B:$B,INT((ROW()-1)/7)*57+MOD(ROW()-1,7)+50),"")</f>
        <v/>
      </c>
    </row>
    <row r="4625" spans="1:1" x14ac:dyDescent="0.25">
      <c r="A4625" t="str" cm="1">
        <f t="array" ref="A4625">IF(INDEX(CUEs!$A:$A,INT((ROW()-1)/7)*57+MOD(ROW()-1,7)+50)&lt;&gt;"","set "&amp;INDEX(CUEs!$A:$A,INT((ROW()-1)/7)*57+MOD(ROW()-1,7)+50)&amp;"=/ s "&amp;INDEX(CUEs!$B:$B,INT((ROW()-1)/7)*57+MOD(ROW()-1,7)+50),"")</f>
        <v/>
      </c>
    </row>
    <row r="4626" spans="1:1" x14ac:dyDescent="0.25">
      <c r="A4626" t="str" cm="1">
        <f t="array" ref="A4626">IF(INDEX(CUEs!$A:$A,INT((ROW()-1)/7)*57+MOD(ROW()-1,7)+50)&lt;&gt;"","set "&amp;INDEX(CUEs!$A:$A,INT((ROW()-1)/7)*57+MOD(ROW()-1,7)+50)&amp;"=/ s "&amp;INDEX(CUEs!$B:$B,INT((ROW()-1)/7)*57+MOD(ROW()-1,7)+50),"")</f>
        <v/>
      </c>
    </row>
    <row r="4627" spans="1:1" x14ac:dyDescent="0.25">
      <c r="A4627" t="str" cm="1">
        <f t="array" ref="A4627">IF(INDEX(CUEs!$A:$A,INT((ROW()-1)/7)*57+MOD(ROW()-1,7)+50)&lt;&gt;"","set "&amp;INDEX(CUEs!$A:$A,INT((ROW()-1)/7)*57+MOD(ROW()-1,7)+50)&amp;"=/ s "&amp;INDEX(CUEs!$B:$B,INT((ROW()-1)/7)*57+MOD(ROW()-1,7)+50),"")</f>
        <v/>
      </c>
    </row>
    <row r="4628" spans="1:1" x14ac:dyDescent="0.25">
      <c r="A4628" t="str" cm="1">
        <f t="array" ref="A4628">IF(INDEX(CUEs!$A:$A,INT((ROW()-1)/7)*57+MOD(ROW()-1,7)+50)&lt;&gt;"","set "&amp;INDEX(CUEs!$A:$A,INT((ROW()-1)/7)*57+MOD(ROW()-1,7)+50)&amp;"=/ s "&amp;INDEX(CUEs!$B:$B,INT((ROW()-1)/7)*57+MOD(ROW()-1,7)+50),"")</f>
        <v/>
      </c>
    </row>
    <row r="4629" spans="1:1" x14ac:dyDescent="0.25">
      <c r="A4629" t="str" cm="1">
        <f t="array" ref="A4629">IF(INDEX(CUEs!$A:$A,INT((ROW()-1)/7)*57+MOD(ROW()-1,7)+50)&lt;&gt;"","set "&amp;INDEX(CUEs!$A:$A,INT((ROW()-1)/7)*57+MOD(ROW()-1,7)+50)&amp;"=/ s "&amp;INDEX(CUEs!$B:$B,INT((ROW()-1)/7)*57+MOD(ROW()-1,7)+50),"")</f>
        <v/>
      </c>
    </row>
    <row r="4630" spans="1:1" x14ac:dyDescent="0.25">
      <c r="A4630" t="str" cm="1">
        <f t="array" ref="A4630">IF(INDEX(CUEs!$A:$A,INT((ROW()-1)/7)*57+MOD(ROW()-1,7)+50)&lt;&gt;"","set "&amp;INDEX(CUEs!$A:$A,INT((ROW()-1)/7)*57+MOD(ROW()-1,7)+50)&amp;"=/ s "&amp;INDEX(CUEs!$B:$B,INT((ROW()-1)/7)*57+MOD(ROW()-1,7)+50),"")</f>
        <v/>
      </c>
    </row>
    <row r="4631" spans="1:1" x14ac:dyDescent="0.25">
      <c r="A4631" t="str" cm="1">
        <f t="array" ref="A4631">IF(INDEX(CUEs!$A:$A,INT((ROW()-1)/7)*57+MOD(ROW()-1,7)+50)&lt;&gt;"","set "&amp;INDEX(CUEs!$A:$A,INT((ROW()-1)/7)*57+MOD(ROW()-1,7)+50)&amp;"=/ s "&amp;INDEX(CUEs!$B:$B,INT((ROW()-1)/7)*57+MOD(ROW()-1,7)+50),"")</f>
        <v/>
      </c>
    </row>
    <row r="4632" spans="1:1" x14ac:dyDescent="0.25">
      <c r="A4632" t="str" cm="1">
        <f t="array" ref="A4632">IF(INDEX(CUEs!$A:$A,INT((ROW()-1)/7)*57+MOD(ROW()-1,7)+50)&lt;&gt;"","set "&amp;INDEX(CUEs!$A:$A,INT((ROW()-1)/7)*57+MOD(ROW()-1,7)+50)&amp;"=/ s "&amp;INDEX(CUEs!$B:$B,INT((ROW()-1)/7)*57+MOD(ROW()-1,7)+50),"")</f>
        <v/>
      </c>
    </row>
    <row r="4633" spans="1:1" x14ac:dyDescent="0.25">
      <c r="A4633" t="str" cm="1">
        <f t="array" ref="A4633">IF(INDEX(CUEs!$A:$A,INT((ROW()-1)/7)*57+MOD(ROW()-1,7)+50)&lt;&gt;"","set "&amp;INDEX(CUEs!$A:$A,INT((ROW()-1)/7)*57+MOD(ROW()-1,7)+50)&amp;"=/ s "&amp;INDEX(CUEs!$B:$B,INT((ROW()-1)/7)*57+MOD(ROW()-1,7)+50),"")</f>
        <v/>
      </c>
    </row>
    <row r="4634" spans="1:1" x14ac:dyDescent="0.25">
      <c r="A4634" t="str" cm="1">
        <f t="array" ref="A4634">IF(INDEX(CUEs!$A:$A,INT((ROW()-1)/7)*57+MOD(ROW()-1,7)+50)&lt;&gt;"","set "&amp;INDEX(CUEs!$A:$A,INT((ROW()-1)/7)*57+MOD(ROW()-1,7)+50)&amp;"=/ s "&amp;INDEX(CUEs!$B:$B,INT((ROW()-1)/7)*57+MOD(ROW()-1,7)+50),"")</f>
        <v/>
      </c>
    </row>
    <row r="4635" spans="1:1" x14ac:dyDescent="0.25">
      <c r="A4635" t="str" cm="1">
        <f t="array" ref="A4635">IF(INDEX(CUEs!$A:$A,INT((ROW()-1)/7)*57+MOD(ROW()-1,7)+50)&lt;&gt;"","set "&amp;INDEX(CUEs!$A:$A,INT((ROW()-1)/7)*57+MOD(ROW()-1,7)+50)&amp;"=/ s "&amp;INDEX(CUEs!$B:$B,INT((ROW()-1)/7)*57+MOD(ROW()-1,7)+50),"")</f>
        <v/>
      </c>
    </row>
    <row r="4636" spans="1:1" x14ac:dyDescent="0.25">
      <c r="A4636" t="str" cm="1">
        <f t="array" ref="A4636">IF(INDEX(CUEs!$A:$A,INT((ROW()-1)/7)*57+MOD(ROW()-1,7)+50)&lt;&gt;"","set "&amp;INDEX(CUEs!$A:$A,INT((ROW()-1)/7)*57+MOD(ROW()-1,7)+50)&amp;"=/ s "&amp;INDEX(CUEs!$B:$B,INT((ROW()-1)/7)*57+MOD(ROW()-1,7)+50),"")</f>
        <v/>
      </c>
    </row>
    <row r="4637" spans="1:1" x14ac:dyDescent="0.25">
      <c r="A4637" t="str" cm="1">
        <f t="array" ref="A4637">IF(INDEX(CUEs!$A:$A,INT((ROW()-1)/7)*57+MOD(ROW()-1,7)+50)&lt;&gt;"","set "&amp;INDEX(CUEs!$A:$A,INT((ROW()-1)/7)*57+MOD(ROW()-1,7)+50)&amp;"=/ s "&amp;INDEX(CUEs!$B:$B,INT((ROW()-1)/7)*57+MOD(ROW()-1,7)+50),"")</f>
        <v/>
      </c>
    </row>
    <row r="4638" spans="1:1" x14ac:dyDescent="0.25">
      <c r="A4638" t="str" cm="1">
        <f t="array" ref="A4638">IF(INDEX(CUEs!$A:$A,INT((ROW()-1)/7)*57+MOD(ROW()-1,7)+50)&lt;&gt;"","set "&amp;INDEX(CUEs!$A:$A,INT((ROW()-1)/7)*57+MOD(ROW()-1,7)+50)&amp;"=/ s "&amp;INDEX(CUEs!$B:$B,INT((ROW()-1)/7)*57+MOD(ROW()-1,7)+50),"")</f>
        <v/>
      </c>
    </row>
    <row r="4639" spans="1:1" x14ac:dyDescent="0.25">
      <c r="A4639" t="str" cm="1">
        <f t="array" ref="A4639">IF(INDEX(CUEs!$A:$A,INT((ROW()-1)/7)*57+MOD(ROW()-1,7)+50)&lt;&gt;"","set "&amp;INDEX(CUEs!$A:$A,INT((ROW()-1)/7)*57+MOD(ROW()-1,7)+50)&amp;"=/ s "&amp;INDEX(CUEs!$B:$B,INT((ROW()-1)/7)*57+MOD(ROW()-1,7)+50),"")</f>
        <v/>
      </c>
    </row>
    <row r="4640" spans="1:1" x14ac:dyDescent="0.25">
      <c r="A4640" t="str" cm="1">
        <f t="array" ref="A4640">IF(INDEX(CUEs!$A:$A,INT((ROW()-1)/7)*57+MOD(ROW()-1,7)+50)&lt;&gt;"","set "&amp;INDEX(CUEs!$A:$A,INT((ROW()-1)/7)*57+MOD(ROW()-1,7)+50)&amp;"=/ s "&amp;INDEX(CUEs!$B:$B,INT((ROW()-1)/7)*57+MOD(ROW()-1,7)+50),"")</f>
        <v/>
      </c>
    </row>
    <row r="4641" spans="1:1" x14ac:dyDescent="0.25">
      <c r="A4641" t="str" cm="1">
        <f t="array" ref="A4641">IF(INDEX(CUEs!$A:$A,INT((ROW()-1)/7)*57+MOD(ROW()-1,7)+50)&lt;&gt;"","set "&amp;INDEX(CUEs!$A:$A,INT((ROW()-1)/7)*57+MOD(ROW()-1,7)+50)&amp;"=/ s "&amp;INDEX(CUEs!$B:$B,INT((ROW()-1)/7)*57+MOD(ROW()-1,7)+50),"")</f>
        <v/>
      </c>
    </row>
    <row r="4642" spans="1:1" x14ac:dyDescent="0.25">
      <c r="A4642" t="str" cm="1">
        <f t="array" ref="A4642">IF(INDEX(CUEs!$A:$A,INT((ROW()-1)/7)*57+MOD(ROW()-1,7)+50)&lt;&gt;"","set "&amp;INDEX(CUEs!$A:$A,INT((ROW()-1)/7)*57+MOD(ROW()-1,7)+50)&amp;"=/ s "&amp;INDEX(CUEs!$B:$B,INT((ROW()-1)/7)*57+MOD(ROW()-1,7)+50),"")</f>
        <v/>
      </c>
    </row>
    <row r="4643" spans="1:1" x14ac:dyDescent="0.25">
      <c r="A4643" t="str" cm="1">
        <f t="array" ref="A4643">IF(INDEX(CUEs!$A:$A,INT((ROW()-1)/7)*57+MOD(ROW()-1,7)+50)&lt;&gt;"","set "&amp;INDEX(CUEs!$A:$A,INT((ROW()-1)/7)*57+MOD(ROW()-1,7)+50)&amp;"=/ s "&amp;INDEX(CUEs!$B:$B,INT((ROW()-1)/7)*57+MOD(ROW()-1,7)+50),"")</f>
        <v/>
      </c>
    </row>
    <row r="4644" spans="1:1" x14ac:dyDescent="0.25">
      <c r="A4644" t="str" cm="1">
        <f t="array" ref="A4644">IF(INDEX(CUEs!$A:$A,INT((ROW()-1)/7)*57+MOD(ROW()-1,7)+50)&lt;&gt;"","set "&amp;INDEX(CUEs!$A:$A,INT((ROW()-1)/7)*57+MOD(ROW()-1,7)+50)&amp;"=/ s "&amp;INDEX(CUEs!$B:$B,INT((ROW()-1)/7)*57+MOD(ROW()-1,7)+50),"")</f>
        <v/>
      </c>
    </row>
    <row r="4645" spans="1:1" x14ac:dyDescent="0.25">
      <c r="A4645" t="str" cm="1">
        <f t="array" ref="A4645">IF(INDEX(CUEs!$A:$A,INT((ROW()-1)/7)*57+MOD(ROW()-1,7)+50)&lt;&gt;"","set "&amp;INDEX(CUEs!$A:$A,INT((ROW()-1)/7)*57+MOD(ROW()-1,7)+50)&amp;"=/ s "&amp;INDEX(CUEs!$B:$B,INT((ROW()-1)/7)*57+MOD(ROW()-1,7)+50),"")</f>
        <v/>
      </c>
    </row>
    <row r="4646" spans="1:1" x14ac:dyDescent="0.25">
      <c r="A4646" t="str" cm="1">
        <f t="array" ref="A4646">IF(INDEX(CUEs!$A:$A,INT((ROW()-1)/7)*57+MOD(ROW()-1,7)+50)&lt;&gt;"","set "&amp;INDEX(CUEs!$A:$A,INT((ROW()-1)/7)*57+MOD(ROW()-1,7)+50)&amp;"=/ s "&amp;INDEX(CUEs!$B:$B,INT((ROW()-1)/7)*57+MOD(ROW()-1,7)+50),"")</f>
        <v/>
      </c>
    </row>
    <row r="4647" spans="1:1" x14ac:dyDescent="0.25">
      <c r="A4647" t="str" cm="1">
        <f t="array" ref="A4647">IF(INDEX(CUEs!$A:$A,INT((ROW()-1)/7)*57+MOD(ROW()-1,7)+50)&lt;&gt;"","set "&amp;INDEX(CUEs!$A:$A,INT((ROW()-1)/7)*57+MOD(ROW()-1,7)+50)&amp;"=/ s "&amp;INDEX(CUEs!$B:$B,INT((ROW()-1)/7)*57+MOD(ROW()-1,7)+50),"")</f>
        <v/>
      </c>
    </row>
    <row r="4648" spans="1:1" x14ac:dyDescent="0.25">
      <c r="A4648" t="str" cm="1">
        <f t="array" ref="A4648">IF(INDEX(CUEs!$A:$A,INT((ROW()-1)/7)*57+MOD(ROW()-1,7)+50)&lt;&gt;"","set "&amp;INDEX(CUEs!$A:$A,INT((ROW()-1)/7)*57+MOD(ROW()-1,7)+50)&amp;"=/ s "&amp;INDEX(CUEs!$B:$B,INT((ROW()-1)/7)*57+MOD(ROW()-1,7)+50),"")</f>
        <v/>
      </c>
    </row>
    <row r="4649" spans="1:1" x14ac:dyDescent="0.25">
      <c r="A4649" t="str" cm="1">
        <f t="array" ref="A4649">IF(INDEX(CUEs!$A:$A,INT((ROW()-1)/7)*57+MOD(ROW()-1,7)+50)&lt;&gt;"","set "&amp;INDEX(CUEs!$A:$A,INT((ROW()-1)/7)*57+MOD(ROW()-1,7)+50)&amp;"=/ s "&amp;INDEX(CUEs!$B:$B,INT((ROW()-1)/7)*57+MOD(ROW()-1,7)+50),"")</f>
        <v/>
      </c>
    </row>
    <row r="4650" spans="1:1" x14ac:dyDescent="0.25">
      <c r="A4650" t="str" cm="1">
        <f t="array" ref="A4650">IF(INDEX(CUEs!$A:$A,INT((ROW()-1)/7)*57+MOD(ROW()-1,7)+50)&lt;&gt;"","set "&amp;INDEX(CUEs!$A:$A,INT((ROW()-1)/7)*57+MOD(ROW()-1,7)+50)&amp;"=/ s "&amp;INDEX(CUEs!$B:$B,INT((ROW()-1)/7)*57+MOD(ROW()-1,7)+50),"")</f>
        <v/>
      </c>
    </row>
    <row r="4651" spans="1:1" x14ac:dyDescent="0.25">
      <c r="A4651" t="str" cm="1">
        <f t="array" ref="A4651">IF(INDEX(CUEs!$A:$A,INT((ROW()-1)/7)*57+MOD(ROW()-1,7)+50)&lt;&gt;"","set "&amp;INDEX(CUEs!$A:$A,INT((ROW()-1)/7)*57+MOD(ROW()-1,7)+50)&amp;"=/ s "&amp;INDEX(CUEs!$B:$B,INT((ROW()-1)/7)*57+MOD(ROW()-1,7)+50),"")</f>
        <v/>
      </c>
    </row>
    <row r="4652" spans="1:1" x14ac:dyDescent="0.25">
      <c r="A4652" t="str" cm="1">
        <f t="array" ref="A4652">IF(INDEX(CUEs!$A:$A,INT((ROW()-1)/7)*57+MOD(ROW()-1,7)+50)&lt;&gt;"","set "&amp;INDEX(CUEs!$A:$A,INT((ROW()-1)/7)*57+MOD(ROW()-1,7)+50)&amp;"=/ s "&amp;INDEX(CUEs!$B:$B,INT((ROW()-1)/7)*57+MOD(ROW()-1,7)+50),"")</f>
        <v/>
      </c>
    </row>
    <row r="4653" spans="1:1" x14ac:dyDescent="0.25">
      <c r="A4653" t="str" cm="1">
        <f t="array" ref="A4653">IF(INDEX(CUEs!$A:$A,INT((ROW()-1)/7)*57+MOD(ROW()-1,7)+50)&lt;&gt;"","set "&amp;INDEX(CUEs!$A:$A,INT((ROW()-1)/7)*57+MOD(ROW()-1,7)+50)&amp;"=/ s "&amp;INDEX(CUEs!$B:$B,INT((ROW()-1)/7)*57+MOD(ROW()-1,7)+50),"")</f>
        <v/>
      </c>
    </row>
    <row r="4654" spans="1:1" x14ac:dyDescent="0.25">
      <c r="A4654" t="str" cm="1">
        <f t="array" ref="A4654">IF(INDEX(CUEs!$A:$A,INT((ROW()-1)/7)*57+MOD(ROW()-1,7)+50)&lt;&gt;"","set "&amp;INDEX(CUEs!$A:$A,INT((ROW()-1)/7)*57+MOD(ROW()-1,7)+50)&amp;"=/ s "&amp;INDEX(CUEs!$B:$B,INT((ROW()-1)/7)*57+MOD(ROW()-1,7)+50),"")</f>
        <v/>
      </c>
    </row>
    <row r="4655" spans="1:1" x14ac:dyDescent="0.25">
      <c r="A4655" t="str" cm="1">
        <f t="array" ref="A4655">IF(INDEX(CUEs!$A:$A,INT((ROW()-1)/7)*57+MOD(ROW()-1,7)+50)&lt;&gt;"","set "&amp;INDEX(CUEs!$A:$A,INT((ROW()-1)/7)*57+MOD(ROW()-1,7)+50)&amp;"=/ s "&amp;INDEX(CUEs!$B:$B,INT((ROW()-1)/7)*57+MOD(ROW()-1,7)+50),"")</f>
        <v/>
      </c>
    </row>
    <row r="4656" spans="1:1" x14ac:dyDescent="0.25">
      <c r="A4656" t="str" cm="1">
        <f t="array" ref="A4656">IF(INDEX(CUEs!$A:$A,INT((ROW()-1)/7)*57+MOD(ROW()-1,7)+50)&lt;&gt;"","set "&amp;INDEX(CUEs!$A:$A,INT((ROW()-1)/7)*57+MOD(ROW()-1,7)+50)&amp;"=/ s "&amp;INDEX(CUEs!$B:$B,INT((ROW()-1)/7)*57+MOD(ROW()-1,7)+50),"")</f>
        <v/>
      </c>
    </row>
    <row r="4657" spans="1:1" x14ac:dyDescent="0.25">
      <c r="A4657" t="str" cm="1">
        <f t="array" ref="A4657">IF(INDEX(CUEs!$A:$A,INT((ROW()-1)/7)*57+MOD(ROW()-1,7)+50)&lt;&gt;"","set "&amp;INDEX(CUEs!$A:$A,INT((ROW()-1)/7)*57+MOD(ROW()-1,7)+50)&amp;"=/ s "&amp;INDEX(CUEs!$B:$B,INT((ROW()-1)/7)*57+MOD(ROW()-1,7)+50),"")</f>
        <v/>
      </c>
    </row>
    <row r="4658" spans="1:1" x14ac:dyDescent="0.25">
      <c r="A4658" t="str" cm="1">
        <f t="array" ref="A4658">IF(INDEX(CUEs!$A:$A,INT((ROW()-1)/7)*57+MOD(ROW()-1,7)+50)&lt;&gt;"","set "&amp;INDEX(CUEs!$A:$A,INT((ROW()-1)/7)*57+MOD(ROW()-1,7)+50)&amp;"=/ s "&amp;INDEX(CUEs!$B:$B,INT((ROW()-1)/7)*57+MOD(ROW()-1,7)+50),"")</f>
        <v/>
      </c>
    </row>
    <row r="4659" spans="1:1" x14ac:dyDescent="0.25">
      <c r="A4659" t="str" cm="1">
        <f t="array" ref="A4659">IF(INDEX(CUEs!$A:$A,INT((ROW()-1)/7)*57+MOD(ROW()-1,7)+50)&lt;&gt;"","set "&amp;INDEX(CUEs!$A:$A,INT((ROW()-1)/7)*57+MOD(ROW()-1,7)+50)&amp;"=/ s "&amp;INDEX(CUEs!$B:$B,INT((ROW()-1)/7)*57+MOD(ROW()-1,7)+50),"")</f>
        <v/>
      </c>
    </row>
    <row r="4660" spans="1:1" x14ac:dyDescent="0.25">
      <c r="A4660" t="str" cm="1">
        <f t="array" ref="A4660">IF(INDEX(CUEs!$A:$A,INT((ROW()-1)/7)*57+MOD(ROW()-1,7)+50)&lt;&gt;"","set "&amp;INDEX(CUEs!$A:$A,INT((ROW()-1)/7)*57+MOD(ROW()-1,7)+50)&amp;"=/ s "&amp;INDEX(CUEs!$B:$B,INT((ROW()-1)/7)*57+MOD(ROW()-1,7)+50),"")</f>
        <v/>
      </c>
    </row>
    <row r="4661" spans="1:1" x14ac:dyDescent="0.25">
      <c r="A4661" t="str" cm="1">
        <f t="array" ref="A4661">IF(INDEX(CUEs!$A:$A,INT((ROW()-1)/7)*57+MOD(ROW()-1,7)+50)&lt;&gt;"","set "&amp;INDEX(CUEs!$A:$A,INT((ROW()-1)/7)*57+MOD(ROW()-1,7)+50)&amp;"=/ s "&amp;INDEX(CUEs!$B:$B,INT((ROW()-1)/7)*57+MOD(ROW()-1,7)+50),"")</f>
        <v/>
      </c>
    </row>
    <row r="4662" spans="1:1" x14ac:dyDescent="0.25">
      <c r="A4662" t="str" cm="1">
        <f t="array" ref="A4662">IF(INDEX(CUEs!$A:$A,INT((ROW()-1)/7)*57+MOD(ROW()-1,7)+50)&lt;&gt;"","set "&amp;INDEX(CUEs!$A:$A,INT((ROW()-1)/7)*57+MOD(ROW()-1,7)+50)&amp;"=/ s "&amp;INDEX(CUEs!$B:$B,INT((ROW()-1)/7)*57+MOD(ROW()-1,7)+50),"")</f>
        <v/>
      </c>
    </row>
    <row r="4663" spans="1:1" x14ac:dyDescent="0.25">
      <c r="A4663" t="str" cm="1">
        <f t="array" ref="A4663">IF(INDEX(CUEs!$A:$A,INT((ROW()-1)/7)*57+MOD(ROW()-1,7)+50)&lt;&gt;"","set "&amp;INDEX(CUEs!$A:$A,INT((ROW()-1)/7)*57+MOD(ROW()-1,7)+50)&amp;"=/ s "&amp;INDEX(CUEs!$B:$B,INT((ROW()-1)/7)*57+MOD(ROW()-1,7)+50),"")</f>
        <v/>
      </c>
    </row>
    <row r="4664" spans="1:1" x14ac:dyDescent="0.25">
      <c r="A4664" t="str" cm="1">
        <f t="array" ref="A4664">IF(INDEX(CUEs!$A:$A,INT((ROW()-1)/7)*57+MOD(ROW()-1,7)+50)&lt;&gt;"","set "&amp;INDEX(CUEs!$A:$A,INT((ROW()-1)/7)*57+MOD(ROW()-1,7)+50)&amp;"=/ s "&amp;INDEX(CUEs!$B:$B,INT((ROW()-1)/7)*57+MOD(ROW()-1,7)+50),"")</f>
        <v/>
      </c>
    </row>
    <row r="4665" spans="1:1" x14ac:dyDescent="0.25">
      <c r="A4665" t="str" cm="1">
        <f t="array" ref="A4665">IF(INDEX(CUEs!$A:$A,INT((ROW()-1)/7)*57+MOD(ROW()-1,7)+50)&lt;&gt;"","set "&amp;INDEX(CUEs!$A:$A,INT((ROW()-1)/7)*57+MOD(ROW()-1,7)+50)&amp;"=/ s "&amp;INDEX(CUEs!$B:$B,INT((ROW()-1)/7)*57+MOD(ROW()-1,7)+50),"")</f>
        <v/>
      </c>
    </row>
    <row r="4666" spans="1:1" x14ac:dyDescent="0.25">
      <c r="A4666" t="str" cm="1">
        <f t="array" ref="A4666">IF(INDEX(CUEs!$A:$A,INT((ROW()-1)/7)*57+MOD(ROW()-1,7)+50)&lt;&gt;"","set "&amp;INDEX(CUEs!$A:$A,INT((ROW()-1)/7)*57+MOD(ROW()-1,7)+50)&amp;"=/ s "&amp;INDEX(CUEs!$B:$B,INT((ROW()-1)/7)*57+MOD(ROW()-1,7)+50),"")</f>
        <v/>
      </c>
    </row>
    <row r="4667" spans="1:1" x14ac:dyDescent="0.25">
      <c r="A4667" t="str" cm="1">
        <f t="array" ref="A4667">IF(INDEX(CUEs!$A:$A,INT((ROW()-1)/7)*57+MOD(ROW()-1,7)+50)&lt;&gt;"","set "&amp;INDEX(CUEs!$A:$A,INT((ROW()-1)/7)*57+MOD(ROW()-1,7)+50)&amp;"=/ s "&amp;INDEX(CUEs!$B:$B,INT((ROW()-1)/7)*57+MOD(ROW()-1,7)+50),"")</f>
        <v/>
      </c>
    </row>
    <row r="4668" spans="1:1" x14ac:dyDescent="0.25">
      <c r="A4668" t="str" cm="1">
        <f t="array" ref="A4668">IF(INDEX(CUEs!$A:$A,INT((ROW()-1)/7)*57+MOD(ROW()-1,7)+50)&lt;&gt;"","set "&amp;INDEX(CUEs!$A:$A,INT((ROW()-1)/7)*57+MOD(ROW()-1,7)+50)&amp;"=/ s "&amp;INDEX(CUEs!$B:$B,INT((ROW()-1)/7)*57+MOD(ROW()-1,7)+50),"")</f>
        <v/>
      </c>
    </row>
    <row r="4669" spans="1:1" x14ac:dyDescent="0.25">
      <c r="A4669" t="str" cm="1">
        <f t="array" ref="A4669">IF(INDEX(CUEs!$A:$A,INT((ROW()-1)/7)*57+MOD(ROW()-1,7)+50)&lt;&gt;"","set "&amp;INDEX(CUEs!$A:$A,INT((ROW()-1)/7)*57+MOD(ROW()-1,7)+50)&amp;"=/ s "&amp;INDEX(CUEs!$B:$B,INT((ROW()-1)/7)*57+MOD(ROW()-1,7)+50),"")</f>
        <v/>
      </c>
    </row>
    <row r="4670" spans="1:1" x14ac:dyDescent="0.25">
      <c r="A4670" t="str" cm="1">
        <f t="array" ref="A4670">IF(INDEX(CUEs!$A:$A,INT((ROW()-1)/7)*57+MOD(ROW()-1,7)+50)&lt;&gt;"","set "&amp;INDEX(CUEs!$A:$A,INT((ROW()-1)/7)*57+MOD(ROW()-1,7)+50)&amp;"=/ s "&amp;INDEX(CUEs!$B:$B,INT((ROW()-1)/7)*57+MOD(ROW()-1,7)+50),"")</f>
        <v/>
      </c>
    </row>
    <row r="4671" spans="1:1" x14ac:dyDescent="0.25">
      <c r="A4671" t="str" cm="1">
        <f t="array" ref="A4671">IF(INDEX(CUEs!$A:$A,INT((ROW()-1)/7)*57+MOD(ROW()-1,7)+50)&lt;&gt;"","set "&amp;INDEX(CUEs!$A:$A,INT((ROW()-1)/7)*57+MOD(ROW()-1,7)+50)&amp;"=/ s "&amp;INDEX(CUEs!$B:$B,INT((ROW()-1)/7)*57+MOD(ROW()-1,7)+50),"")</f>
        <v/>
      </c>
    </row>
    <row r="4672" spans="1:1" x14ac:dyDescent="0.25">
      <c r="A4672" t="str" cm="1">
        <f t="array" ref="A4672">IF(INDEX(CUEs!$A:$A,INT((ROW()-1)/7)*57+MOD(ROW()-1,7)+50)&lt;&gt;"","set "&amp;INDEX(CUEs!$A:$A,INT((ROW()-1)/7)*57+MOD(ROW()-1,7)+50)&amp;"=/ s "&amp;INDEX(CUEs!$B:$B,INT((ROW()-1)/7)*57+MOD(ROW()-1,7)+50),"")</f>
        <v/>
      </c>
    </row>
    <row r="4673" spans="1:1" x14ac:dyDescent="0.25">
      <c r="A4673" t="str" cm="1">
        <f t="array" ref="A4673">IF(INDEX(CUEs!$A:$A,INT((ROW()-1)/7)*57+MOD(ROW()-1,7)+50)&lt;&gt;"","set "&amp;INDEX(CUEs!$A:$A,INT((ROW()-1)/7)*57+MOD(ROW()-1,7)+50)&amp;"=/ s "&amp;INDEX(CUEs!$B:$B,INT((ROW()-1)/7)*57+MOD(ROW()-1,7)+50),"")</f>
        <v/>
      </c>
    </row>
    <row r="4674" spans="1:1" x14ac:dyDescent="0.25">
      <c r="A4674" t="str" cm="1">
        <f t="array" ref="A4674">IF(INDEX(CUEs!$A:$A,INT((ROW()-1)/7)*57+MOD(ROW()-1,7)+50)&lt;&gt;"","set "&amp;INDEX(CUEs!$A:$A,INT((ROW()-1)/7)*57+MOD(ROW()-1,7)+50)&amp;"=/ s "&amp;INDEX(CUEs!$B:$B,INT((ROW()-1)/7)*57+MOD(ROW()-1,7)+50),"")</f>
        <v/>
      </c>
    </row>
    <row r="4675" spans="1:1" x14ac:dyDescent="0.25">
      <c r="A4675" t="str" cm="1">
        <f t="array" ref="A4675">IF(INDEX(CUEs!$A:$A,INT((ROW()-1)/7)*57+MOD(ROW()-1,7)+50)&lt;&gt;"","set "&amp;INDEX(CUEs!$A:$A,INT((ROW()-1)/7)*57+MOD(ROW()-1,7)+50)&amp;"=/ s "&amp;INDEX(CUEs!$B:$B,INT((ROW()-1)/7)*57+MOD(ROW()-1,7)+50),"")</f>
        <v/>
      </c>
    </row>
    <row r="4676" spans="1:1" x14ac:dyDescent="0.25">
      <c r="A4676" t="str" cm="1">
        <f t="array" ref="A4676">IF(INDEX(CUEs!$A:$A,INT((ROW()-1)/7)*57+MOD(ROW()-1,7)+50)&lt;&gt;"","set "&amp;INDEX(CUEs!$A:$A,INT((ROW()-1)/7)*57+MOD(ROW()-1,7)+50)&amp;"=/ s "&amp;INDEX(CUEs!$B:$B,INT((ROW()-1)/7)*57+MOD(ROW()-1,7)+50),"")</f>
        <v/>
      </c>
    </row>
    <row r="4677" spans="1:1" x14ac:dyDescent="0.25">
      <c r="A4677" t="str" cm="1">
        <f t="array" ref="A4677">IF(INDEX(CUEs!$A:$A,INT((ROW()-1)/7)*57+MOD(ROW()-1,7)+50)&lt;&gt;"","set "&amp;INDEX(CUEs!$A:$A,INT((ROW()-1)/7)*57+MOD(ROW()-1,7)+50)&amp;"=/ s "&amp;INDEX(CUEs!$B:$B,INT((ROW()-1)/7)*57+MOD(ROW()-1,7)+50),"")</f>
        <v/>
      </c>
    </row>
    <row r="4678" spans="1:1" x14ac:dyDescent="0.25">
      <c r="A4678" t="str" cm="1">
        <f t="array" ref="A4678">IF(INDEX(CUEs!$A:$A,INT((ROW()-1)/7)*57+MOD(ROW()-1,7)+50)&lt;&gt;"","set "&amp;INDEX(CUEs!$A:$A,INT((ROW()-1)/7)*57+MOD(ROW()-1,7)+50)&amp;"=/ s "&amp;INDEX(CUEs!$B:$B,INT((ROW()-1)/7)*57+MOD(ROW()-1,7)+50),"")</f>
        <v/>
      </c>
    </row>
    <row r="4679" spans="1:1" x14ac:dyDescent="0.25">
      <c r="A4679" t="str" cm="1">
        <f t="array" ref="A4679">IF(INDEX(CUEs!$A:$A,INT((ROW()-1)/7)*57+MOD(ROW()-1,7)+50)&lt;&gt;"","set "&amp;INDEX(CUEs!$A:$A,INT((ROW()-1)/7)*57+MOD(ROW()-1,7)+50)&amp;"=/ s "&amp;INDEX(CUEs!$B:$B,INT((ROW()-1)/7)*57+MOD(ROW()-1,7)+50),"")</f>
        <v/>
      </c>
    </row>
    <row r="4680" spans="1:1" x14ac:dyDescent="0.25">
      <c r="A4680" t="str" cm="1">
        <f t="array" ref="A4680">IF(INDEX(CUEs!$A:$A,INT((ROW()-1)/7)*57+MOD(ROW()-1,7)+50)&lt;&gt;"","set "&amp;INDEX(CUEs!$A:$A,INT((ROW()-1)/7)*57+MOD(ROW()-1,7)+50)&amp;"=/ s "&amp;INDEX(CUEs!$B:$B,INT((ROW()-1)/7)*57+MOD(ROW()-1,7)+50),"")</f>
        <v/>
      </c>
    </row>
    <row r="4681" spans="1:1" x14ac:dyDescent="0.25">
      <c r="A4681" t="str" cm="1">
        <f t="array" ref="A4681">IF(INDEX(CUEs!$A:$A,INT((ROW()-1)/7)*57+MOD(ROW()-1,7)+50)&lt;&gt;"","set "&amp;INDEX(CUEs!$A:$A,INT((ROW()-1)/7)*57+MOD(ROW()-1,7)+50)&amp;"=/ s "&amp;INDEX(CUEs!$B:$B,INT((ROW()-1)/7)*57+MOD(ROW()-1,7)+50),"")</f>
        <v/>
      </c>
    </row>
    <row r="4682" spans="1:1" x14ac:dyDescent="0.25">
      <c r="A4682" t="str" cm="1">
        <f t="array" ref="A4682">IF(INDEX(CUEs!$A:$A,INT((ROW()-1)/7)*57+MOD(ROW()-1,7)+50)&lt;&gt;"","set "&amp;INDEX(CUEs!$A:$A,INT((ROW()-1)/7)*57+MOD(ROW()-1,7)+50)&amp;"=/ s "&amp;INDEX(CUEs!$B:$B,INT((ROW()-1)/7)*57+MOD(ROW()-1,7)+50),"")</f>
        <v/>
      </c>
    </row>
    <row r="4683" spans="1:1" x14ac:dyDescent="0.25">
      <c r="A4683" t="str" cm="1">
        <f t="array" ref="A4683">IF(INDEX(CUEs!$A:$A,INT((ROW()-1)/7)*57+MOD(ROW()-1,7)+50)&lt;&gt;"","set "&amp;INDEX(CUEs!$A:$A,INT((ROW()-1)/7)*57+MOD(ROW()-1,7)+50)&amp;"=/ s "&amp;INDEX(CUEs!$B:$B,INT((ROW()-1)/7)*57+MOD(ROW()-1,7)+50),"")</f>
        <v/>
      </c>
    </row>
    <row r="4684" spans="1:1" x14ac:dyDescent="0.25">
      <c r="A4684" t="str" cm="1">
        <f t="array" ref="A4684">IF(INDEX(CUEs!$A:$A,INT((ROW()-1)/7)*57+MOD(ROW()-1,7)+50)&lt;&gt;"","set "&amp;INDEX(CUEs!$A:$A,INT((ROW()-1)/7)*57+MOD(ROW()-1,7)+50)&amp;"=/ s "&amp;INDEX(CUEs!$B:$B,INT((ROW()-1)/7)*57+MOD(ROW()-1,7)+50),"")</f>
        <v/>
      </c>
    </row>
    <row r="4685" spans="1:1" x14ac:dyDescent="0.25">
      <c r="A4685" t="str" cm="1">
        <f t="array" ref="A4685">IF(INDEX(CUEs!$A:$A,INT((ROW()-1)/7)*57+MOD(ROW()-1,7)+50)&lt;&gt;"","set "&amp;INDEX(CUEs!$A:$A,INT((ROW()-1)/7)*57+MOD(ROW()-1,7)+50)&amp;"=/ s "&amp;INDEX(CUEs!$B:$B,INT((ROW()-1)/7)*57+MOD(ROW()-1,7)+50),"")</f>
        <v/>
      </c>
    </row>
    <row r="4686" spans="1:1" x14ac:dyDescent="0.25">
      <c r="A4686" t="str" cm="1">
        <f t="array" ref="A4686">IF(INDEX(CUEs!$A:$A,INT((ROW()-1)/7)*57+MOD(ROW()-1,7)+50)&lt;&gt;"","set "&amp;INDEX(CUEs!$A:$A,INT((ROW()-1)/7)*57+MOD(ROW()-1,7)+50)&amp;"=/ s "&amp;INDEX(CUEs!$B:$B,INT((ROW()-1)/7)*57+MOD(ROW()-1,7)+50),"")</f>
        <v/>
      </c>
    </row>
    <row r="4687" spans="1:1" x14ac:dyDescent="0.25">
      <c r="A4687" t="str" cm="1">
        <f t="array" ref="A4687">IF(INDEX(CUEs!$A:$A,INT((ROW()-1)/7)*57+MOD(ROW()-1,7)+50)&lt;&gt;"","set "&amp;INDEX(CUEs!$A:$A,INT((ROW()-1)/7)*57+MOD(ROW()-1,7)+50)&amp;"=/ s "&amp;INDEX(CUEs!$B:$B,INT((ROW()-1)/7)*57+MOD(ROW()-1,7)+50),"")</f>
        <v/>
      </c>
    </row>
    <row r="4688" spans="1:1" x14ac:dyDescent="0.25">
      <c r="A4688" t="str" cm="1">
        <f t="array" ref="A4688">IF(INDEX(CUEs!$A:$A,INT((ROW()-1)/7)*57+MOD(ROW()-1,7)+50)&lt;&gt;"","set "&amp;INDEX(CUEs!$A:$A,INT((ROW()-1)/7)*57+MOD(ROW()-1,7)+50)&amp;"=/ s "&amp;INDEX(CUEs!$B:$B,INT((ROW()-1)/7)*57+MOD(ROW()-1,7)+50),"")</f>
        <v/>
      </c>
    </row>
    <row r="4689" spans="1:1" x14ac:dyDescent="0.25">
      <c r="A4689" t="str" cm="1">
        <f t="array" ref="A4689">IF(INDEX(CUEs!$A:$A,INT((ROW()-1)/7)*57+MOD(ROW()-1,7)+50)&lt;&gt;"","set "&amp;INDEX(CUEs!$A:$A,INT((ROW()-1)/7)*57+MOD(ROW()-1,7)+50)&amp;"=/ s "&amp;INDEX(CUEs!$B:$B,INT((ROW()-1)/7)*57+MOD(ROW()-1,7)+50),"")</f>
        <v/>
      </c>
    </row>
    <row r="4690" spans="1:1" x14ac:dyDescent="0.25">
      <c r="A4690" t="str" cm="1">
        <f t="array" ref="A4690">IF(INDEX(CUEs!$A:$A,INT((ROW()-1)/7)*57+MOD(ROW()-1,7)+50)&lt;&gt;"","set "&amp;INDEX(CUEs!$A:$A,INT((ROW()-1)/7)*57+MOD(ROW()-1,7)+50)&amp;"=/ s "&amp;INDEX(CUEs!$B:$B,INT((ROW()-1)/7)*57+MOD(ROW()-1,7)+50),"")</f>
        <v/>
      </c>
    </row>
    <row r="4691" spans="1:1" x14ac:dyDescent="0.25">
      <c r="A4691" t="str" cm="1">
        <f t="array" ref="A4691">IF(INDEX(CUEs!$A:$A,INT((ROW()-1)/7)*57+MOD(ROW()-1,7)+50)&lt;&gt;"","set "&amp;INDEX(CUEs!$A:$A,INT((ROW()-1)/7)*57+MOD(ROW()-1,7)+50)&amp;"=/ s "&amp;INDEX(CUEs!$B:$B,INT((ROW()-1)/7)*57+MOD(ROW()-1,7)+50),"")</f>
        <v/>
      </c>
    </row>
    <row r="4692" spans="1:1" x14ac:dyDescent="0.25">
      <c r="A4692" t="str" cm="1">
        <f t="array" ref="A4692">IF(INDEX(CUEs!$A:$A,INT((ROW()-1)/7)*57+MOD(ROW()-1,7)+50)&lt;&gt;"","set "&amp;INDEX(CUEs!$A:$A,INT((ROW()-1)/7)*57+MOD(ROW()-1,7)+50)&amp;"=/ s "&amp;INDEX(CUEs!$B:$B,INT((ROW()-1)/7)*57+MOD(ROW()-1,7)+50),"")</f>
        <v/>
      </c>
    </row>
    <row r="4693" spans="1:1" x14ac:dyDescent="0.25">
      <c r="A4693" t="str" cm="1">
        <f t="array" ref="A4693">IF(INDEX(CUEs!$A:$A,INT((ROW()-1)/7)*57+MOD(ROW()-1,7)+50)&lt;&gt;"","set "&amp;INDEX(CUEs!$A:$A,INT((ROW()-1)/7)*57+MOD(ROW()-1,7)+50)&amp;"=/ s "&amp;INDEX(CUEs!$B:$B,INT((ROW()-1)/7)*57+MOD(ROW()-1,7)+50),"")</f>
        <v/>
      </c>
    </row>
    <row r="4694" spans="1:1" x14ac:dyDescent="0.25">
      <c r="A4694" t="str" cm="1">
        <f t="array" ref="A4694">IF(INDEX(CUEs!$A:$A,INT((ROW()-1)/7)*57+MOD(ROW()-1,7)+50)&lt;&gt;"","set "&amp;INDEX(CUEs!$A:$A,INT((ROW()-1)/7)*57+MOD(ROW()-1,7)+50)&amp;"=/ s "&amp;INDEX(CUEs!$B:$B,INT((ROW()-1)/7)*57+MOD(ROW()-1,7)+50),"")</f>
        <v/>
      </c>
    </row>
    <row r="4695" spans="1:1" x14ac:dyDescent="0.25">
      <c r="A4695" t="str" cm="1">
        <f t="array" ref="A4695">IF(INDEX(CUEs!$A:$A,INT((ROW()-1)/7)*57+MOD(ROW()-1,7)+50)&lt;&gt;"","set "&amp;INDEX(CUEs!$A:$A,INT((ROW()-1)/7)*57+MOD(ROW()-1,7)+50)&amp;"=/ s "&amp;INDEX(CUEs!$B:$B,INT((ROW()-1)/7)*57+MOD(ROW()-1,7)+50),"")</f>
        <v/>
      </c>
    </row>
    <row r="4696" spans="1:1" x14ac:dyDescent="0.25">
      <c r="A4696" t="str" cm="1">
        <f t="array" ref="A4696">IF(INDEX(CUEs!$A:$A,INT((ROW()-1)/7)*57+MOD(ROW()-1,7)+50)&lt;&gt;"","set "&amp;INDEX(CUEs!$A:$A,INT((ROW()-1)/7)*57+MOD(ROW()-1,7)+50)&amp;"=/ s "&amp;INDEX(CUEs!$B:$B,INT((ROW()-1)/7)*57+MOD(ROW()-1,7)+50),"")</f>
        <v/>
      </c>
    </row>
    <row r="4697" spans="1:1" x14ac:dyDescent="0.25">
      <c r="A4697" t="str" cm="1">
        <f t="array" ref="A4697">IF(INDEX(CUEs!$A:$A,INT((ROW()-1)/7)*57+MOD(ROW()-1,7)+50)&lt;&gt;"","set "&amp;INDEX(CUEs!$A:$A,INT((ROW()-1)/7)*57+MOD(ROW()-1,7)+50)&amp;"=/ s "&amp;INDEX(CUEs!$B:$B,INT((ROW()-1)/7)*57+MOD(ROW()-1,7)+50),"")</f>
        <v/>
      </c>
    </row>
    <row r="4698" spans="1:1" x14ac:dyDescent="0.25">
      <c r="A4698" t="str" cm="1">
        <f t="array" ref="A4698">IF(INDEX(CUEs!$A:$A,INT((ROW()-1)/7)*57+MOD(ROW()-1,7)+50)&lt;&gt;"","set "&amp;INDEX(CUEs!$A:$A,INT((ROW()-1)/7)*57+MOD(ROW()-1,7)+50)&amp;"=/ s "&amp;INDEX(CUEs!$B:$B,INT((ROW()-1)/7)*57+MOD(ROW()-1,7)+50),"")</f>
        <v/>
      </c>
    </row>
    <row r="4699" spans="1:1" x14ac:dyDescent="0.25">
      <c r="A4699" t="str" cm="1">
        <f t="array" ref="A4699">IF(INDEX(CUEs!$A:$A,INT((ROW()-1)/7)*57+MOD(ROW()-1,7)+50)&lt;&gt;"","set "&amp;INDEX(CUEs!$A:$A,INT((ROW()-1)/7)*57+MOD(ROW()-1,7)+50)&amp;"=/ s "&amp;INDEX(CUEs!$B:$B,INT((ROW()-1)/7)*57+MOD(ROW()-1,7)+50),"")</f>
        <v/>
      </c>
    </row>
    <row r="4700" spans="1:1" x14ac:dyDescent="0.25">
      <c r="A4700" t="str" cm="1">
        <f t="array" ref="A4700">IF(INDEX(CUEs!$A:$A,INT((ROW()-1)/7)*57+MOD(ROW()-1,7)+50)&lt;&gt;"","set "&amp;INDEX(CUEs!$A:$A,INT((ROW()-1)/7)*57+MOD(ROW()-1,7)+50)&amp;"=/ s "&amp;INDEX(CUEs!$B:$B,INT((ROW()-1)/7)*57+MOD(ROW()-1,7)+50),"")</f>
        <v/>
      </c>
    </row>
    <row r="4701" spans="1:1" x14ac:dyDescent="0.25">
      <c r="A4701" t="str" cm="1">
        <f t="array" ref="A4701">IF(INDEX(CUEs!$A:$A,INT((ROW()-1)/7)*57+MOD(ROW()-1,7)+50)&lt;&gt;"","set "&amp;INDEX(CUEs!$A:$A,INT((ROW()-1)/7)*57+MOD(ROW()-1,7)+50)&amp;"=/ s "&amp;INDEX(CUEs!$B:$B,INT((ROW()-1)/7)*57+MOD(ROW()-1,7)+50),"")</f>
        <v/>
      </c>
    </row>
    <row r="4702" spans="1:1" x14ac:dyDescent="0.25">
      <c r="A4702" t="str" cm="1">
        <f t="array" ref="A4702">IF(INDEX(CUEs!$A:$A,INT((ROW()-1)/7)*57+MOD(ROW()-1,7)+50)&lt;&gt;"","set "&amp;INDEX(CUEs!$A:$A,INT((ROW()-1)/7)*57+MOD(ROW()-1,7)+50)&amp;"=/ s "&amp;INDEX(CUEs!$B:$B,INT((ROW()-1)/7)*57+MOD(ROW()-1,7)+50),"")</f>
        <v/>
      </c>
    </row>
    <row r="4703" spans="1:1" x14ac:dyDescent="0.25">
      <c r="A4703" t="str" cm="1">
        <f t="array" ref="A4703">IF(INDEX(CUEs!$A:$A,INT((ROW()-1)/7)*57+MOD(ROW()-1,7)+50)&lt;&gt;"","set "&amp;INDEX(CUEs!$A:$A,INT((ROW()-1)/7)*57+MOD(ROW()-1,7)+50)&amp;"=/ s "&amp;INDEX(CUEs!$B:$B,INT((ROW()-1)/7)*57+MOD(ROW()-1,7)+50),"")</f>
        <v/>
      </c>
    </row>
    <row r="4704" spans="1:1" x14ac:dyDescent="0.25">
      <c r="A4704" t="str" cm="1">
        <f t="array" ref="A4704">IF(INDEX(CUEs!$A:$A,INT((ROW()-1)/7)*57+MOD(ROW()-1,7)+50)&lt;&gt;"","set "&amp;INDEX(CUEs!$A:$A,INT((ROW()-1)/7)*57+MOD(ROW()-1,7)+50)&amp;"=/ s "&amp;INDEX(CUEs!$B:$B,INT((ROW()-1)/7)*57+MOD(ROW()-1,7)+50),"")</f>
        <v/>
      </c>
    </row>
    <row r="4705" spans="1:1" x14ac:dyDescent="0.25">
      <c r="A4705" t="str" cm="1">
        <f t="array" ref="A4705">IF(INDEX(CUEs!$A:$A,INT((ROW()-1)/7)*57+MOD(ROW()-1,7)+50)&lt;&gt;"","set "&amp;INDEX(CUEs!$A:$A,INT((ROW()-1)/7)*57+MOD(ROW()-1,7)+50)&amp;"=/ s "&amp;INDEX(CUEs!$B:$B,INT((ROW()-1)/7)*57+MOD(ROW()-1,7)+50),"")</f>
        <v/>
      </c>
    </row>
    <row r="4706" spans="1:1" x14ac:dyDescent="0.25">
      <c r="A4706" t="str" cm="1">
        <f t="array" ref="A4706">IF(INDEX(CUEs!$A:$A,INT((ROW()-1)/7)*57+MOD(ROW()-1,7)+50)&lt;&gt;"","set "&amp;INDEX(CUEs!$A:$A,INT((ROW()-1)/7)*57+MOD(ROW()-1,7)+50)&amp;"=/ s "&amp;INDEX(CUEs!$B:$B,INT((ROW()-1)/7)*57+MOD(ROW()-1,7)+50),"")</f>
        <v/>
      </c>
    </row>
    <row r="4707" spans="1:1" x14ac:dyDescent="0.25">
      <c r="A4707" t="str" cm="1">
        <f t="array" ref="A4707">IF(INDEX(CUEs!$A:$A,INT((ROW()-1)/7)*57+MOD(ROW()-1,7)+50)&lt;&gt;"","set "&amp;INDEX(CUEs!$A:$A,INT((ROW()-1)/7)*57+MOD(ROW()-1,7)+50)&amp;"=/ s "&amp;INDEX(CUEs!$B:$B,INT((ROW()-1)/7)*57+MOD(ROW()-1,7)+50),"")</f>
        <v/>
      </c>
    </row>
    <row r="4708" spans="1:1" x14ac:dyDescent="0.25">
      <c r="A4708" t="str" cm="1">
        <f t="array" ref="A4708">IF(INDEX(CUEs!$A:$A,INT((ROW()-1)/7)*57+MOD(ROW()-1,7)+50)&lt;&gt;"","set "&amp;INDEX(CUEs!$A:$A,INT((ROW()-1)/7)*57+MOD(ROW()-1,7)+50)&amp;"=/ s "&amp;INDEX(CUEs!$B:$B,INT((ROW()-1)/7)*57+MOD(ROW()-1,7)+50),"")</f>
        <v/>
      </c>
    </row>
    <row r="4709" spans="1:1" x14ac:dyDescent="0.25">
      <c r="A4709" t="str" cm="1">
        <f t="array" ref="A4709">IF(INDEX(CUEs!$A:$A,INT((ROW()-1)/7)*57+MOD(ROW()-1,7)+50)&lt;&gt;"","set "&amp;INDEX(CUEs!$A:$A,INT((ROW()-1)/7)*57+MOD(ROW()-1,7)+50)&amp;"=/ s "&amp;INDEX(CUEs!$B:$B,INT((ROW()-1)/7)*57+MOD(ROW()-1,7)+50),"")</f>
        <v/>
      </c>
    </row>
    <row r="4710" spans="1:1" x14ac:dyDescent="0.25">
      <c r="A4710" t="str" cm="1">
        <f t="array" ref="A4710">IF(INDEX(CUEs!$A:$A,INT((ROW()-1)/7)*57+MOD(ROW()-1,7)+50)&lt;&gt;"","set "&amp;INDEX(CUEs!$A:$A,INT((ROW()-1)/7)*57+MOD(ROW()-1,7)+50)&amp;"=/ s "&amp;INDEX(CUEs!$B:$B,INT((ROW()-1)/7)*57+MOD(ROW()-1,7)+50),"")</f>
        <v/>
      </c>
    </row>
    <row r="4711" spans="1:1" x14ac:dyDescent="0.25">
      <c r="A4711" t="str" cm="1">
        <f t="array" ref="A4711">IF(INDEX(CUEs!$A:$A,INT((ROW()-1)/7)*57+MOD(ROW()-1,7)+50)&lt;&gt;"","set "&amp;INDEX(CUEs!$A:$A,INT((ROW()-1)/7)*57+MOD(ROW()-1,7)+50)&amp;"=/ s "&amp;INDEX(CUEs!$B:$B,INT((ROW()-1)/7)*57+MOD(ROW()-1,7)+50),"")</f>
        <v/>
      </c>
    </row>
    <row r="4712" spans="1:1" x14ac:dyDescent="0.25">
      <c r="A4712" t="str" cm="1">
        <f t="array" ref="A4712">IF(INDEX(CUEs!$A:$A,INT((ROW()-1)/7)*57+MOD(ROW()-1,7)+50)&lt;&gt;"","set "&amp;INDEX(CUEs!$A:$A,INT((ROW()-1)/7)*57+MOD(ROW()-1,7)+50)&amp;"=/ s "&amp;INDEX(CUEs!$B:$B,INT((ROW()-1)/7)*57+MOD(ROW()-1,7)+50),"")</f>
        <v/>
      </c>
    </row>
    <row r="4713" spans="1:1" x14ac:dyDescent="0.25">
      <c r="A4713" t="str" cm="1">
        <f t="array" ref="A4713">IF(INDEX(CUEs!$A:$A,INT((ROW()-1)/7)*57+MOD(ROW()-1,7)+50)&lt;&gt;"","set "&amp;INDEX(CUEs!$A:$A,INT((ROW()-1)/7)*57+MOD(ROW()-1,7)+50)&amp;"=/ s "&amp;INDEX(CUEs!$B:$B,INT((ROW()-1)/7)*57+MOD(ROW()-1,7)+50),"")</f>
        <v/>
      </c>
    </row>
    <row r="4714" spans="1:1" x14ac:dyDescent="0.25">
      <c r="A4714" t="str" cm="1">
        <f t="array" ref="A4714">IF(INDEX(CUEs!$A:$A,INT((ROW()-1)/7)*57+MOD(ROW()-1,7)+50)&lt;&gt;"","set "&amp;INDEX(CUEs!$A:$A,INT((ROW()-1)/7)*57+MOD(ROW()-1,7)+50)&amp;"=/ s "&amp;INDEX(CUEs!$B:$B,INT((ROW()-1)/7)*57+MOD(ROW()-1,7)+50),"")</f>
        <v/>
      </c>
    </row>
    <row r="4715" spans="1:1" x14ac:dyDescent="0.25">
      <c r="A4715" t="str" cm="1">
        <f t="array" ref="A4715">IF(INDEX(CUEs!$A:$A,INT((ROW()-1)/7)*57+MOD(ROW()-1,7)+50)&lt;&gt;"","set "&amp;INDEX(CUEs!$A:$A,INT((ROW()-1)/7)*57+MOD(ROW()-1,7)+50)&amp;"=/ s "&amp;INDEX(CUEs!$B:$B,INT((ROW()-1)/7)*57+MOD(ROW()-1,7)+50),"")</f>
        <v/>
      </c>
    </row>
    <row r="4716" spans="1:1" x14ac:dyDescent="0.25">
      <c r="A4716" t="str" cm="1">
        <f t="array" ref="A4716">IF(INDEX(CUEs!$A:$A,INT((ROW()-1)/7)*57+MOD(ROW()-1,7)+50)&lt;&gt;"","set "&amp;INDEX(CUEs!$A:$A,INT((ROW()-1)/7)*57+MOD(ROW()-1,7)+50)&amp;"=/ s "&amp;INDEX(CUEs!$B:$B,INT((ROW()-1)/7)*57+MOD(ROW()-1,7)+50),"")</f>
        <v/>
      </c>
    </row>
    <row r="4717" spans="1:1" x14ac:dyDescent="0.25">
      <c r="A4717" t="str" cm="1">
        <f t="array" ref="A4717">IF(INDEX(CUEs!$A:$A,INT((ROW()-1)/7)*57+MOD(ROW()-1,7)+50)&lt;&gt;"","set "&amp;INDEX(CUEs!$A:$A,INT((ROW()-1)/7)*57+MOD(ROW()-1,7)+50)&amp;"=/ s "&amp;INDEX(CUEs!$B:$B,INT((ROW()-1)/7)*57+MOD(ROW()-1,7)+50),"")</f>
        <v/>
      </c>
    </row>
    <row r="4718" spans="1:1" x14ac:dyDescent="0.25">
      <c r="A4718" t="str" cm="1">
        <f t="array" ref="A4718">IF(INDEX(CUEs!$A:$A,INT((ROW()-1)/7)*57+MOD(ROW()-1,7)+50)&lt;&gt;"","set "&amp;INDEX(CUEs!$A:$A,INT((ROW()-1)/7)*57+MOD(ROW()-1,7)+50)&amp;"=/ s "&amp;INDEX(CUEs!$B:$B,INT((ROW()-1)/7)*57+MOD(ROW()-1,7)+50),"")</f>
        <v/>
      </c>
    </row>
    <row r="4719" spans="1:1" x14ac:dyDescent="0.25">
      <c r="A4719" t="str" cm="1">
        <f t="array" ref="A4719">IF(INDEX(CUEs!$A:$A,INT((ROW()-1)/7)*57+MOD(ROW()-1,7)+50)&lt;&gt;"","set "&amp;INDEX(CUEs!$A:$A,INT((ROW()-1)/7)*57+MOD(ROW()-1,7)+50)&amp;"=/ s "&amp;INDEX(CUEs!$B:$B,INT((ROW()-1)/7)*57+MOD(ROW()-1,7)+50),"")</f>
        <v/>
      </c>
    </row>
    <row r="4720" spans="1:1" x14ac:dyDescent="0.25">
      <c r="A4720" t="str" cm="1">
        <f t="array" ref="A4720">IF(INDEX(CUEs!$A:$A,INT((ROW()-1)/7)*57+MOD(ROW()-1,7)+50)&lt;&gt;"","set "&amp;INDEX(CUEs!$A:$A,INT((ROW()-1)/7)*57+MOD(ROW()-1,7)+50)&amp;"=/ s "&amp;INDEX(CUEs!$B:$B,INT((ROW()-1)/7)*57+MOD(ROW()-1,7)+50),"")</f>
        <v/>
      </c>
    </row>
    <row r="4721" spans="1:1" x14ac:dyDescent="0.25">
      <c r="A4721" t="str" cm="1">
        <f t="array" ref="A4721">IF(INDEX(CUEs!$A:$A,INT((ROW()-1)/7)*57+MOD(ROW()-1,7)+50)&lt;&gt;"","set "&amp;INDEX(CUEs!$A:$A,INT((ROW()-1)/7)*57+MOD(ROW()-1,7)+50)&amp;"=/ s "&amp;INDEX(CUEs!$B:$B,INT((ROW()-1)/7)*57+MOD(ROW()-1,7)+50),"")</f>
        <v/>
      </c>
    </row>
    <row r="4722" spans="1:1" x14ac:dyDescent="0.25">
      <c r="A4722" t="str" cm="1">
        <f t="array" ref="A4722">IF(INDEX(CUEs!$A:$A,INT((ROW()-1)/7)*57+MOD(ROW()-1,7)+50)&lt;&gt;"","set "&amp;INDEX(CUEs!$A:$A,INT((ROW()-1)/7)*57+MOD(ROW()-1,7)+50)&amp;"=/ s "&amp;INDEX(CUEs!$B:$B,INT((ROW()-1)/7)*57+MOD(ROW()-1,7)+50),"")</f>
        <v/>
      </c>
    </row>
    <row r="4723" spans="1:1" x14ac:dyDescent="0.25">
      <c r="A4723" t="str" cm="1">
        <f t="array" ref="A4723">IF(INDEX(CUEs!$A:$A,INT((ROW()-1)/7)*57+MOD(ROW()-1,7)+50)&lt;&gt;"","set "&amp;INDEX(CUEs!$A:$A,INT((ROW()-1)/7)*57+MOD(ROW()-1,7)+50)&amp;"=/ s "&amp;INDEX(CUEs!$B:$B,INT((ROW()-1)/7)*57+MOD(ROW()-1,7)+50),"")</f>
        <v/>
      </c>
    </row>
    <row r="4724" spans="1:1" x14ac:dyDescent="0.25">
      <c r="A4724" t="str" cm="1">
        <f t="array" ref="A4724">IF(INDEX(CUEs!$A:$A,INT((ROW()-1)/7)*57+MOD(ROW()-1,7)+50)&lt;&gt;"","set "&amp;INDEX(CUEs!$A:$A,INT((ROW()-1)/7)*57+MOD(ROW()-1,7)+50)&amp;"=/ s "&amp;INDEX(CUEs!$B:$B,INT((ROW()-1)/7)*57+MOD(ROW()-1,7)+50),"")</f>
        <v/>
      </c>
    </row>
    <row r="4725" spans="1:1" x14ac:dyDescent="0.25">
      <c r="A4725" t="str" cm="1">
        <f t="array" ref="A4725">IF(INDEX(CUEs!$A:$A,INT((ROW()-1)/7)*57+MOD(ROW()-1,7)+50)&lt;&gt;"","set "&amp;INDEX(CUEs!$A:$A,INT((ROW()-1)/7)*57+MOD(ROW()-1,7)+50)&amp;"=/ s "&amp;INDEX(CUEs!$B:$B,INT((ROW()-1)/7)*57+MOD(ROW()-1,7)+50),"")</f>
        <v/>
      </c>
    </row>
    <row r="4726" spans="1:1" x14ac:dyDescent="0.25">
      <c r="A4726" t="str" cm="1">
        <f t="array" ref="A4726">IF(INDEX(CUEs!$A:$A,INT((ROW()-1)/7)*57+MOD(ROW()-1,7)+50)&lt;&gt;"","set "&amp;INDEX(CUEs!$A:$A,INT((ROW()-1)/7)*57+MOD(ROW()-1,7)+50)&amp;"=/ s "&amp;INDEX(CUEs!$B:$B,INT((ROW()-1)/7)*57+MOD(ROW()-1,7)+50),"")</f>
        <v/>
      </c>
    </row>
    <row r="4727" spans="1:1" x14ac:dyDescent="0.25">
      <c r="A4727" t="str" cm="1">
        <f t="array" ref="A4727">IF(INDEX(CUEs!$A:$A,INT((ROW()-1)/7)*57+MOD(ROW()-1,7)+50)&lt;&gt;"","set "&amp;INDEX(CUEs!$A:$A,INT((ROW()-1)/7)*57+MOD(ROW()-1,7)+50)&amp;"=/ s "&amp;INDEX(CUEs!$B:$B,INT((ROW()-1)/7)*57+MOD(ROW()-1,7)+50),"")</f>
        <v/>
      </c>
    </row>
    <row r="4728" spans="1:1" x14ac:dyDescent="0.25">
      <c r="A4728" t="str" cm="1">
        <f t="array" ref="A4728">IF(INDEX(CUEs!$A:$A,INT((ROW()-1)/7)*57+MOD(ROW()-1,7)+50)&lt;&gt;"","set "&amp;INDEX(CUEs!$A:$A,INT((ROW()-1)/7)*57+MOD(ROW()-1,7)+50)&amp;"=/ s "&amp;INDEX(CUEs!$B:$B,INT((ROW()-1)/7)*57+MOD(ROW()-1,7)+50),"")</f>
        <v/>
      </c>
    </row>
    <row r="4729" spans="1:1" x14ac:dyDescent="0.25">
      <c r="A4729" t="str" cm="1">
        <f t="array" ref="A4729">IF(INDEX(CUEs!$A:$A,INT((ROW()-1)/7)*57+MOD(ROW()-1,7)+50)&lt;&gt;"","set "&amp;INDEX(CUEs!$A:$A,INT((ROW()-1)/7)*57+MOD(ROW()-1,7)+50)&amp;"=/ s "&amp;INDEX(CUEs!$B:$B,INT((ROW()-1)/7)*57+MOD(ROW()-1,7)+50),"")</f>
        <v/>
      </c>
    </row>
    <row r="4730" spans="1:1" x14ac:dyDescent="0.25">
      <c r="A4730" t="str" cm="1">
        <f t="array" ref="A4730">IF(INDEX(CUEs!$A:$A,INT((ROW()-1)/7)*57+MOD(ROW()-1,7)+50)&lt;&gt;"","set "&amp;INDEX(CUEs!$A:$A,INT((ROW()-1)/7)*57+MOD(ROW()-1,7)+50)&amp;"=/ s "&amp;INDEX(CUEs!$B:$B,INT((ROW()-1)/7)*57+MOD(ROW()-1,7)+50),"")</f>
        <v/>
      </c>
    </row>
    <row r="4731" spans="1:1" x14ac:dyDescent="0.25">
      <c r="A4731" t="str" cm="1">
        <f t="array" ref="A4731">IF(INDEX(CUEs!$A:$A,INT((ROW()-1)/7)*57+MOD(ROW()-1,7)+50)&lt;&gt;"","set "&amp;INDEX(CUEs!$A:$A,INT((ROW()-1)/7)*57+MOD(ROW()-1,7)+50)&amp;"=/ s "&amp;INDEX(CUEs!$B:$B,INT((ROW()-1)/7)*57+MOD(ROW()-1,7)+50),"")</f>
        <v/>
      </c>
    </row>
    <row r="4732" spans="1:1" x14ac:dyDescent="0.25">
      <c r="A4732" t="str" cm="1">
        <f t="array" ref="A4732">IF(INDEX(CUEs!$A:$A,INT((ROW()-1)/7)*57+MOD(ROW()-1,7)+50)&lt;&gt;"","set "&amp;INDEX(CUEs!$A:$A,INT((ROW()-1)/7)*57+MOD(ROW()-1,7)+50)&amp;"=/ s "&amp;INDEX(CUEs!$B:$B,INT((ROW()-1)/7)*57+MOD(ROW()-1,7)+50),"")</f>
        <v/>
      </c>
    </row>
    <row r="4733" spans="1:1" x14ac:dyDescent="0.25">
      <c r="A4733" t="str" cm="1">
        <f t="array" ref="A4733">IF(INDEX(CUEs!$A:$A,INT((ROW()-1)/7)*57+MOD(ROW()-1,7)+50)&lt;&gt;"","set "&amp;INDEX(CUEs!$A:$A,INT((ROW()-1)/7)*57+MOD(ROW()-1,7)+50)&amp;"=/ s "&amp;INDEX(CUEs!$B:$B,INT((ROW()-1)/7)*57+MOD(ROW()-1,7)+50),"")</f>
        <v/>
      </c>
    </row>
    <row r="4734" spans="1:1" x14ac:dyDescent="0.25">
      <c r="A4734" t="str" cm="1">
        <f t="array" ref="A4734">IF(INDEX(CUEs!$A:$A,INT((ROW()-1)/7)*57+MOD(ROW()-1,7)+50)&lt;&gt;"","set "&amp;INDEX(CUEs!$A:$A,INT((ROW()-1)/7)*57+MOD(ROW()-1,7)+50)&amp;"=/ s "&amp;INDEX(CUEs!$B:$B,INT((ROW()-1)/7)*57+MOD(ROW()-1,7)+50),"")</f>
        <v/>
      </c>
    </row>
    <row r="4735" spans="1:1" x14ac:dyDescent="0.25">
      <c r="A4735" t="str" cm="1">
        <f t="array" ref="A4735">IF(INDEX(CUEs!$A:$A,INT((ROW()-1)/7)*57+MOD(ROW()-1,7)+50)&lt;&gt;"","set "&amp;INDEX(CUEs!$A:$A,INT((ROW()-1)/7)*57+MOD(ROW()-1,7)+50)&amp;"=/ s "&amp;INDEX(CUEs!$B:$B,INT((ROW()-1)/7)*57+MOD(ROW()-1,7)+50),"")</f>
        <v/>
      </c>
    </row>
    <row r="4736" spans="1:1" x14ac:dyDescent="0.25">
      <c r="A4736" t="str" cm="1">
        <f t="array" ref="A4736">IF(INDEX(CUEs!$A:$A,INT((ROW()-1)/7)*57+MOD(ROW()-1,7)+50)&lt;&gt;"","set "&amp;INDEX(CUEs!$A:$A,INT((ROW()-1)/7)*57+MOD(ROW()-1,7)+50)&amp;"=/ s "&amp;INDEX(CUEs!$B:$B,INT((ROW()-1)/7)*57+MOD(ROW()-1,7)+50),"")</f>
        <v/>
      </c>
    </row>
    <row r="4737" spans="1:1" x14ac:dyDescent="0.25">
      <c r="A4737" t="str" cm="1">
        <f t="array" ref="A4737">IF(INDEX(CUEs!$A:$A,INT((ROW()-1)/7)*57+MOD(ROW()-1,7)+50)&lt;&gt;"","set "&amp;INDEX(CUEs!$A:$A,INT((ROW()-1)/7)*57+MOD(ROW()-1,7)+50)&amp;"=/ s "&amp;INDEX(CUEs!$B:$B,INT((ROW()-1)/7)*57+MOD(ROW()-1,7)+50),"")</f>
        <v/>
      </c>
    </row>
    <row r="4738" spans="1:1" x14ac:dyDescent="0.25">
      <c r="A4738" t="str" cm="1">
        <f t="array" ref="A4738">IF(INDEX(CUEs!$A:$A,INT((ROW()-1)/7)*57+MOD(ROW()-1,7)+50)&lt;&gt;"","set "&amp;INDEX(CUEs!$A:$A,INT((ROW()-1)/7)*57+MOD(ROW()-1,7)+50)&amp;"=/ s "&amp;INDEX(CUEs!$B:$B,INT((ROW()-1)/7)*57+MOD(ROW()-1,7)+50),"")</f>
        <v/>
      </c>
    </row>
    <row r="4739" spans="1:1" x14ac:dyDescent="0.25">
      <c r="A4739" t="str" cm="1">
        <f t="array" ref="A4739">IF(INDEX(CUEs!$A:$A,INT((ROW()-1)/7)*57+MOD(ROW()-1,7)+50)&lt;&gt;"","set "&amp;INDEX(CUEs!$A:$A,INT((ROW()-1)/7)*57+MOD(ROW()-1,7)+50)&amp;"=/ s "&amp;INDEX(CUEs!$B:$B,INT((ROW()-1)/7)*57+MOD(ROW()-1,7)+50),"")</f>
        <v/>
      </c>
    </row>
    <row r="4740" spans="1:1" x14ac:dyDescent="0.25">
      <c r="A4740" t="str" cm="1">
        <f t="array" ref="A4740">IF(INDEX(CUEs!$A:$A,INT((ROW()-1)/7)*57+MOD(ROW()-1,7)+50)&lt;&gt;"","set "&amp;INDEX(CUEs!$A:$A,INT((ROW()-1)/7)*57+MOD(ROW()-1,7)+50)&amp;"=/ s "&amp;INDEX(CUEs!$B:$B,INT((ROW()-1)/7)*57+MOD(ROW()-1,7)+50),"")</f>
        <v/>
      </c>
    </row>
    <row r="4741" spans="1:1" x14ac:dyDescent="0.25">
      <c r="A4741" t="str" cm="1">
        <f t="array" ref="A4741">IF(INDEX(CUEs!$A:$A,INT((ROW()-1)/7)*57+MOD(ROW()-1,7)+50)&lt;&gt;"","set "&amp;INDEX(CUEs!$A:$A,INT((ROW()-1)/7)*57+MOD(ROW()-1,7)+50)&amp;"=/ s "&amp;INDEX(CUEs!$B:$B,INT((ROW()-1)/7)*57+MOD(ROW()-1,7)+50),"")</f>
        <v/>
      </c>
    </row>
    <row r="4742" spans="1:1" x14ac:dyDescent="0.25">
      <c r="A4742" t="str" cm="1">
        <f t="array" ref="A4742">IF(INDEX(CUEs!$A:$A,INT((ROW()-1)/7)*57+MOD(ROW()-1,7)+50)&lt;&gt;"","set "&amp;INDEX(CUEs!$A:$A,INT((ROW()-1)/7)*57+MOD(ROW()-1,7)+50)&amp;"=/ s "&amp;INDEX(CUEs!$B:$B,INT((ROW()-1)/7)*57+MOD(ROW()-1,7)+50),"")</f>
        <v/>
      </c>
    </row>
    <row r="4743" spans="1:1" x14ac:dyDescent="0.25">
      <c r="A4743" t="str" cm="1">
        <f t="array" ref="A4743">IF(INDEX(CUEs!$A:$A,INT((ROW()-1)/7)*57+MOD(ROW()-1,7)+50)&lt;&gt;"","set "&amp;INDEX(CUEs!$A:$A,INT((ROW()-1)/7)*57+MOD(ROW()-1,7)+50)&amp;"=/ s "&amp;INDEX(CUEs!$B:$B,INT((ROW()-1)/7)*57+MOD(ROW()-1,7)+50),"")</f>
        <v/>
      </c>
    </row>
    <row r="4744" spans="1:1" x14ac:dyDescent="0.25">
      <c r="A4744" t="str" cm="1">
        <f t="array" ref="A4744">IF(INDEX(CUEs!$A:$A,INT((ROW()-1)/7)*57+MOD(ROW()-1,7)+50)&lt;&gt;"","set "&amp;INDEX(CUEs!$A:$A,INT((ROW()-1)/7)*57+MOD(ROW()-1,7)+50)&amp;"=/ s "&amp;INDEX(CUEs!$B:$B,INT((ROW()-1)/7)*57+MOD(ROW()-1,7)+50),"")</f>
        <v/>
      </c>
    </row>
    <row r="4745" spans="1:1" x14ac:dyDescent="0.25">
      <c r="A4745" t="str" cm="1">
        <f t="array" ref="A4745">IF(INDEX(CUEs!$A:$A,INT((ROW()-1)/7)*57+MOD(ROW()-1,7)+50)&lt;&gt;"","set "&amp;INDEX(CUEs!$A:$A,INT((ROW()-1)/7)*57+MOD(ROW()-1,7)+50)&amp;"=/ s "&amp;INDEX(CUEs!$B:$B,INT((ROW()-1)/7)*57+MOD(ROW()-1,7)+50),"")</f>
        <v/>
      </c>
    </row>
    <row r="4746" spans="1:1" x14ac:dyDescent="0.25">
      <c r="A4746" t="str" cm="1">
        <f t="array" ref="A4746">IF(INDEX(CUEs!$A:$A,INT((ROW()-1)/7)*57+MOD(ROW()-1,7)+50)&lt;&gt;"","set "&amp;INDEX(CUEs!$A:$A,INT((ROW()-1)/7)*57+MOD(ROW()-1,7)+50)&amp;"=/ s "&amp;INDEX(CUEs!$B:$B,INT((ROW()-1)/7)*57+MOD(ROW()-1,7)+50),"")</f>
        <v/>
      </c>
    </row>
    <row r="4747" spans="1:1" x14ac:dyDescent="0.25">
      <c r="A4747" t="str" cm="1">
        <f t="array" ref="A4747">IF(INDEX(CUEs!$A:$A,INT((ROW()-1)/7)*57+MOD(ROW()-1,7)+50)&lt;&gt;"","set "&amp;INDEX(CUEs!$A:$A,INT((ROW()-1)/7)*57+MOD(ROW()-1,7)+50)&amp;"=/ s "&amp;INDEX(CUEs!$B:$B,INT((ROW()-1)/7)*57+MOD(ROW()-1,7)+50),"")</f>
        <v/>
      </c>
    </row>
    <row r="4748" spans="1:1" x14ac:dyDescent="0.25">
      <c r="A4748" t="str" cm="1">
        <f t="array" ref="A4748">IF(INDEX(CUEs!$A:$A,INT((ROW()-1)/7)*57+MOD(ROW()-1,7)+50)&lt;&gt;"","set "&amp;INDEX(CUEs!$A:$A,INT((ROW()-1)/7)*57+MOD(ROW()-1,7)+50)&amp;"=/ s "&amp;INDEX(CUEs!$B:$B,INT((ROW()-1)/7)*57+MOD(ROW()-1,7)+50),"")</f>
        <v/>
      </c>
    </row>
    <row r="4749" spans="1:1" x14ac:dyDescent="0.25">
      <c r="A4749" t="str" cm="1">
        <f t="array" ref="A4749">IF(INDEX(CUEs!$A:$A,INT((ROW()-1)/7)*57+MOD(ROW()-1,7)+50)&lt;&gt;"","set "&amp;INDEX(CUEs!$A:$A,INT((ROW()-1)/7)*57+MOD(ROW()-1,7)+50)&amp;"=/ s "&amp;INDEX(CUEs!$B:$B,INT((ROW()-1)/7)*57+MOD(ROW()-1,7)+50),"")</f>
        <v/>
      </c>
    </row>
    <row r="4750" spans="1:1" x14ac:dyDescent="0.25">
      <c r="A4750" t="str" cm="1">
        <f t="array" ref="A4750">IF(INDEX(CUEs!$A:$A,INT((ROW()-1)/7)*57+MOD(ROW()-1,7)+50)&lt;&gt;"","set "&amp;INDEX(CUEs!$A:$A,INT((ROW()-1)/7)*57+MOD(ROW()-1,7)+50)&amp;"=/ s "&amp;INDEX(CUEs!$B:$B,INT((ROW()-1)/7)*57+MOD(ROW()-1,7)+50),"")</f>
        <v/>
      </c>
    </row>
    <row r="4751" spans="1:1" x14ac:dyDescent="0.25">
      <c r="A4751" t="str" cm="1">
        <f t="array" ref="A4751">IF(INDEX(CUEs!$A:$A,INT((ROW()-1)/7)*57+MOD(ROW()-1,7)+50)&lt;&gt;"","set "&amp;INDEX(CUEs!$A:$A,INT((ROW()-1)/7)*57+MOD(ROW()-1,7)+50)&amp;"=/ s "&amp;INDEX(CUEs!$B:$B,INT((ROW()-1)/7)*57+MOD(ROW()-1,7)+50),"")</f>
        <v/>
      </c>
    </row>
    <row r="4752" spans="1:1" x14ac:dyDescent="0.25">
      <c r="A4752" t="str" cm="1">
        <f t="array" ref="A4752">IF(INDEX(CUEs!$A:$A,INT((ROW()-1)/7)*57+MOD(ROW()-1,7)+50)&lt;&gt;"","set "&amp;INDEX(CUEs!$A:$A,INT((ROW()-1)/7)*57+MOD(ROW()-1,7)+50)&amp;"=/ s "&amp;INDEX(CUEs!$B:$B,INT((ROW()-1)/7)*57+MOD(ROW()-1,7)+50),"")</f>
        <v/>
      </c>
    </row>
    <row r="4753" spans="1:1" x14ac:dyDescent="0.25">
      <c r="A4753" t="str" cm="1">
        <f t="array" ref="A4753">IF(INDEX(CUEs!$A:$A,INT((ROW()-1)/7)*57+MOD(ROW()-1,7)+50)&lt;&gt;"","set "&amp;INDEX(CUEs!$A:$A,INT((ROW()-1)/7)*57+MOD(ROW()-1,7)+50)&amp;"=/ s "&amp;INDEX(CUEs!$B:$B,INT((ROW()-1)/7)*57+MOD(ROW()-1,7)+50),"")</f>
        <v/>
      </c>
    </row>
    <row r="4754" spans="1:1" x14ac:dyDescent="0.25">
      <c r="A4754" t="str" cm="1">
        <f t="array" ref="A4754">IF(INDEX(CUEs!$A:$A,INT((ROW()-1)/7)*57+MOD(ROW()-1,7)+50)&lt;&gt;"","set "&amp;INDEX(CUEs!$A:$A,INT((ROW()-1)/7)*57+MOD(ROW()-1,7)+50)&amp;"=/ s "&amp;INDEX(CUEs!$B:$B,INT((ROW()-1)/7)*57+MOD(ROW()-1,7)+50),"")</f>
        <v/>
      </c>
    </row>
    <row r="4755" spans="1:1" x14ac:dyDescent="0.25">
      <c r="A4755" t="str" cm="1">
        <f t="array" ref="A4755">IF(INDEX(CUEs!$A:$A,INT((ROW()-1)/7)*57+MOD(ROW()-1,7)+50)&lt;&gt;"","set "&amp;INDEX(CUEs!$A:$A,INT((ROW()-1)/7)*57+MOD(ROW()-1,7)+50)&amp;"=/ s "&amp;INDEX(CUEs!$B:$B,INT((ROW()-1)/7)*57+MOD(ROW()-1,7)+50),"")</f>
        <v/>
      </c>
    </row>
    <row r="4756" spans="1:1" x14ac:dyDescent="0.25">
      <c r="A4756" t="str" cm="1">
        <f t="array" ref="A4756">IF(INDEX(CUEs!$A:$A,INT((ROW()-1)/7)*57+MOD(ROW()-1,7)+50)&lt;&gt;"","set "&amp;INDEX(CUEs!$A:$A,INT((ROW()-1)/7)*57+MOD(ROW()-1,7)+50)&amp;"=/ s "&amp;INDEX(CUEs!$B:$B,INT((ROW()-1)/7)*57+MOD(ROW()-1,7)+50),"")</f>
        <v/>
      </c>
    </row>
    <row r="4757" spans="1:1" x14ac:dyDescent="0.25">
      <c r="A4757" t="str" cm="1">
        <f t="array" ref="A4757">IF(INDEX(CUEs!$A:$A,INT((ROW()-1)/7)*57+MOD(ROW()-1,7)+50)&lt;&gt;"","set "&amp;INDEX(CUEs!$A:$A,INT((ROW()-1)/7)*57+MOD(ROW()-1,7)+50)&amp;"=/ s "&amp;INDEX(CUEs!$B:$B,INT((ROW()-1)/7)*57+MOD(ROW()-1,7)+50),"")</f>
        <v/>
      </c>
    </row>
    <row r="4758" spans="1:1" x14ac:dyDescent="0.25">
      <c r="A4758" t="str" cm="1">
        <f t="array" ref="A4758">IF(INDEX(CUEs!$A:$A,INT((ROW()-1)/7)*57+MOD(ROW()-1,7)+50)&lt;&gt;"","set "&amp;INDEX(CUEs!$A:$A,INT((ROW()-1)/7)*57+MOD(ROW()-1,7)+50)&amp;"=/ s "&amp;INDEX(CUEs!$B:$B,INT((ROW()-1)/7)*57+MOD(ROW()-1,7)+50),"")</f>
        <v/>
      </c>
    </row>
    <row r="4759" spans="1:1" x14ac:dyDescent="0.25">
      <c r="A4759" t="str" cm="1">
        <f t="array" ref="A4759">IF(INDEX(CUEs!$A:$A,INT((ROW()-1)/7)*57+MOD(ROW()-1,7)+50)&lt;&gt;"","set "&amp;INDEX(CUEs!$A:$A,INT((ROW()-1)/7)*57+MOD(ROW()-1,7)+50)&amp;"=/ s "&amp;INDEX(CUEs!$B:$B,INT((ROW()-1)/7)*57+MOD(ROW()-1,7)+50),"")</f>
        <v/>
      </c>
    </row>
    <row r="4760" spans="1:1" x14ac:dyDescent="0.25">
      <c r="A4760" t="str" cm="1">
        <f t="array" ref="A4760">IF(INDEX(CUEs!$A:$A,INT((ROW()-1)/7)*57+MOD(ROW()-1,7)+50)&lt;&gt;"","set "&amp;INDEX(CUEs!$A:$A,INT((ROW()-1)/7)*57+MOD(ROW()-1,7)+50)&amp;"=/ s "&amp;INDEX(CUEs!$B:$B,INT((ROW()-1)/7)*57+MOD(ROW()-1,7)+50),"")</f>
        <v/>
      </c>
    </row>
    <row r="4761" spans="1:1" x14ac:dyDescent="0.25">
      <c r="A4761" t="str" cm="1">
        <f t="array" ref="A4761">IF(INDEX(CUEs!$A:$A,INT((ROW()-1)/7)*57+MOD(ROW()-1,7)+50)&lt;&gt;"","set "&amp;INDEX(CUEs!$A:$A,INT((ROW()-1)/7)*57+MOD(ROW()-1,7)+50)&amp;"=/ s "&amp;INDEX(CUEs!$B:$B,INT((ROW()-1)/7)*57+MOD(ROW()-1,7)+50),"")</f>
        <v/>
      </c>
    </row>
    <row r="4762" spans="1:1" x14ac:dyDescent="0.25">
      <c r="A4762" t="str" cm="1">
        <f t="array" ref="A4762">IF(INDEX(CUEs!$A:$A,INT((ROW()-1)/7)*57+MOD(ROW()-1,7)+50)&lt;&gt;"","set "&amp;INDEX(CUEs!$A:$A,INT((ROW()-1)/7)*57+MOD(ROW()-1,7)+50)&amp;"=/ s "&amp;INDEX(CUEs!$B:$B,INT((ROW()-1)/7)*57+MOD(ROW()-1,7)+50),"")</f>
        <v/>
      </c>
    </row>
    <row r="4763" spans="1:1" x14ac:dyDescent="0.25">
      <c r="A4763" t="str" cm="1">
        <f t="array" ref="A4763">IF(INDEX(CUEs!$A:$A,INT((ROW()-1)/7)*57+MOD(ROW()-1,7)+50)&lt;&gt;"","set "&amp;INDEX(CUEs!$A:$A,INT((ROW()-1)/7)*57+MOD(ROW()-1,7)+50)&amp;"=/ s "&amp;INDEX(CUEs!$B:$B,INT((ROW()-1)/7)*57+MOD(ROW()-1,7)+50),"")</f>
        <v/>
      </c>
    </row>
    <row r="4764" spans="1:1" x14ac:dyDescent="0.25">
      <c r="A4764" t="str" cm="1">
        <f t="array" ref="A4764">IF(INDEX(CUEs!$A:$A,INT((ROW()-1)/7)*57+MOD(ROW()-1,7)+50)&lt;&gt;"","set "&amp;INDEX(CUEs!$A:$A,INT((ROW()-1)/7)*57+MOD(ROW()-1,7)+50)&amp;"=/ s "&amp;INDEX(CUEs!$B:$B,INT((ROW()-1)/7)*57+MOD(ROW()-1,7)+50),"")</f>
        <v/>
      </c>
    </row>
    <row r="4765" spans="1:1" x14ac:dyDescent="0.25">
      <c r="A4765" t="str" cm="1">
        <f t="array" ref="A4765">IF(INDEX(CUEs!$A:$A,INT((ROW()-1)/7)*57+MOD(ROW()-1,7)+50)&lt;&gt;"","set "&amp;INDEX(CUEs!$A:$A,INT((ROW()-1)/7)*57+MOD(ROW()-1,7)+50)&amp;"=/ s "&amp;INDEX(CUEs!$B:$B,INT((ROW()-1)/7)*57+MOD(ROW()-1,7)+50),"")</f>
        <v/>
      </c>
    </row>
    <row r="4766" spans="1:1" x14ac:dyDescent="0.25">
      <c r="A4766" t="str" cm="1">
        <f t="array" ref="A4766">IF(INDEX(CUEs!$A:$A,INT((ROW()-1)/7)*57+MOD(ROW()-1,7)+50)&lt;&gt;"","set "&amp;INDEX(CUEs!$A:$A,INT((ROW()-1)/7)*57+MOD(ROW()-1,7)+50)&amp;"=/ s "&amp;INDEX(CUEs!$B:$B,INT((ROW()-1)/7)*57+MOD(ROW()-1,7)+50),"")</f>
        <v/>
      </c>
    </row>
    <row r="4767" spans="1:1" x14ac:dyDescent="0.25">
      <c r="A4767" t="str" cm="1">
        <f t="array" ref="A4767">IF(INDEX(CUEs!$A:$A,INT((ROW()-1)/7)*57+MOD(ROW()-1,7)+50)&lt;&gt;"","set "&amp;INDEX(CUEs!$A:$A,INT((ROW()-1)/7)*57+MOD(ROW()-1,7)+50)&amp;"=/ s "&amp;INDEX(CUEs!$B:$B,INT((ROW()-1)/7)*57+MOD(ROW()-1,7)+50),"")</f>
        <v/>
      </c>
    </row>
    <row r="4768" spans="1:1" x14ac:dyDescent="0.25">
      <c r="A4768" t="str" cm="1">
        <f t="array" ref="A4768">IF(INDEX(CUEs!$A:$A,INT((ROW()-1)/7)*57+MOD(ROW()-1,7)+50)&lt;&gt;"","set "&amp;INDEX(CUEs!$A:$A,INT((ROW()-1)/7)*57+MOD(ROW()-1,7)+50)&amp;"=/ s "&amp;INDEX(CUEs!$B:$B,INT((ROW()-1)/7)*57+MOD(ROW()-1,7)+50),"")</f>
        <v/>
      </c>
    </row>
    <row r="4769" spans="1:1" x14ac:dyDescent="0.25">
      <c r="A4769" t="str" cm="1">
        <f t="array" ref="A4769">IF(INDEX(CUEs!$A:$A,INT((ROW()-1)/7)*57+MOD(ROW()-1,7)+50)&lt;&gt;"","set "&amp;INDEX(CUEs!$A:$A,INT((ROW()-1)/7)*57+MOD(ROW()-1,7)+50)&amp;"=/ s "&amp;INDEX(CUEs!$B:$B,INT((ROW()-1)/7)*57+MOD(ROW()-1,7)+50),"")</f>
        <v/>
      </c>
    </row>
    <row r="4770" spans="1:1" x14ac:dyDescent="0.25">
      <c r="A4770" t="str" cm="1">
        <f t="array" ref="A4770">IF(INDEX(CUEs!$A:$A,INT((ROW()-1)/7)*57+MOD(ROW()-1,7)+50)&lt;&gt;"","set "&amp;INDEX(CUEs!$A:$A,INT((ROW()-1)/7)*57+MOD(ROW()-1,7)+50)&amp;"=/ s "&amp;INDEX(CUEs!$B:$B,INT((ROW()-1)/7)*57+MOD(ROW()-1,7)+50),"")</f>
        <v/>
      </c>
    </row>
    <row r="4771" spans="1:1" x14ac:dyDescent="0.25">
      <c r="A4771" t="str" cm="1">
        <f t="array" ref="A4771">IF(INDEX(CUEs!$A:$A,INT((ROW()-1)/7)*57+MOD(ROW()-1,7)+50)&lt;&gt;"","set "&amp;INDEX(CUEs!$A:$A,INT((ROW()-1)/7)*57+MOD(ROW()-1,7)+50)&amp;"=/ s "&amp;INDEX(CUEs!$B:$B,INT((ROW()-1)/7)*57+MOD(ROW()-1,7)+50),"")</f>
        <v/>
      </c>
    </row>
    <row r="4772" spans="1:1" x14ac:dyDescent="0.25">
      <c r="A4772" t="str" cm="1">
        <f t="array" ref="A4772">IF(INDEX(CUEs!$A:$A,INT((ROW()-1)/7)*57+MOD(ROW()-1,7)+50)&lt;&gt;"","set "&amp;INDEX(CUEs!$A:$A,INT((ROW()-1)/7)*57+MOD(ROW()-1,7)+50)&amp;"=/ s "&amp;INDEX(CUEs!$B:$B,INT((ROW()-1)/7)*57+MOD(ROW()-1,7)+50),"")</f>
        <v/>
      </c>
    </row>
    <row r="4773" spans="1:1" x14ac:dyDescent="0.25">
      <c r="A4773" t="str" cm="1">
        <f t="array" ref="A4773">IF(INDEX(CUEs!$A:$A,INT((ROW()-1)/7)*57+MOD(ROW()-1,7)+50)&lt;&gt;"","set "&amp;INDEX(CUEs!$A:$A,INT((ROW()-1)/7)*57+MOD(ROW()-1,7)+50)&amp;"=/ s "&amp;INDEX(CUEs!$B:$B,INT((ROW()-1)/7)*57+MOD(ROW()-1,7)+50),"")</f>
        <v/>
      </c>
    </row>
    <row r="4774" spans="1:1" x14ac:dyDescent="0.25">
      <c r="A4774" t="str" cm="1">
        <f t="array" ref="A4774">IF(INDEX(CUEs!$A:$A,INT((ROW()-1)/7)*57+MOD(ROW()-1,7)+50)&lt;&gt;"","set "&amp;INDEX(CUEs!$A:$A,INT((ROW()-1)/7)*57+MOD(ROW()-1,7)+50)&amp;"=/ s "&amp;INDEX(CUEs!$B:$B,INT((ROW()-1)/7)*57+MOD(ROW()-1,7)+50),"")</f>
        <v/>
      </c>
    </row>
    <row r="4775" spans="1:1" x14ac:dyDescent="0.25">
      <c r="A4775" t="str" cm="1">
        <f t="array" ref="A4775">IF(INDEX(CUEs!$A:$A,INT((ROW()-1)/7)*57+MOD(ROW()-1,7)+50)&lt;&gt;"","set "&amp;INDEX(CUEs!$A:$A,INT((ROW()-1)/7)*57+MOD(ROW()-1,7)+50)&amp;"=/ s "&amp;INDEX(CUEs!$B:$B,INT((ROW()-1)/7)*57+MOD(ROW()-1,7)+50),"")</f>
        <v/>
      </c>
    </row>
    <row r="4776" spans="1:1" x14ac:dyDescent="0.25">
      <c r="A4776" t="str" cm="1">
        <f t="array" ref="A4776">IF(INDEX(CUEs!$A:$A,INT((ROW()-1)/7)*57+MOD(ROW()-1,7)+50)&lt;&gt;"","set "&amp;INDEX(CUEs!$A:$A,INT((ROW()-1)/7)*57+MOD(ROW()-1,7)+50)&amp;"=/ s "&amp;INDEX(CUEs!$B:$B,INT((ROW()-1)/7)*57+MOD(ROW()-1,7)+50),"")</f>
        <v/>
      </c>
    </row>
    <row r="4777" spans="1:1" x14ac:dyDescent="0.25">
      <c r="A4777" t="str" cm="1">
        <f t="array" ref="A4777">IF(INDEX(CUEs!$A:$A,INT((ROW()-1)/7)*57+MOD(ROW()-1,7)+50)&lt;&gt;"","set "&amp;INDEX(CUEs!$A:$A,INT((ROW()-1)/7)*57+MOD(ROW()-1,7)+50)&amp;"=/ s "&amp;INDEX(CUEs!$B:$B,INT((ROW()-1)/7)*57+MOD(ROW()-1,7)+50),"")</f>
        <v/>
      </c>
    </row>
    <row r="4778" spans="1:1" x14ac:dyDescent="0.25">
      <c r="A4778" t="str" cm="1">
        <f t="array" ref="A4778">IF(INDEX(CUEs!$A:$A,INT((ROW()-1)/7)*57+MOD(ROW()-1,7)+50)&lt;&gt;"","set "&amp;INDEX(CUEs!$A:$A,INT((ROW()-1)/7)*57+MOD(ROW()-1,7)+50)&amp;"=/ s "&amp;INDEX(CUEs!$B:$B,INT((ROW()-1)/7)*57+MOD(ROW()-1,7)+50),"")</f>
        <v/>
      </c>
    </row>
    <row r="4779" spans="1:1" x14ac:dyDescent="0.25">
      <c r="A4779" t="str" cm="1">
        <f t="array" ref="A4779">IF(INDEX(CUEs!$A:$A,INT((ROW()-1)/7)*57+MOD(ROW()-1,7)+50)&lt;&gt;"","set "&amp;INDEX(CUEs!$A:$A,INT((ROW()-1)/7)*57+MOD(ROW()-1,7)+50)&amp;"=/ s "&amp;INDEX(CUEs!$B:$B,INT((ROW()-1)/7)*57+MOD(ROW()-1,7)+50),"")</f>
        <v/>
      </c>
    </row>
    <row r="4780" spans="1:1" x14ac:dyDescent="0.25">
      <c r="A4780" t="str" cm="1">
        <f t="array" ref="A4780">IF(INDEX(CUEs!$A:$A,INT((ROW()-1)/7)*57+MOD(ROW()-1,7)+50)&lt;&gt;"","set "&amp;INDEX(CUEs!$A:$A,INT((ROW()-1)/7)*57+MOD(ROW()-1,7)+50)&amp;"=/ s "&amp;INDEX(CUEs!$B:$B,INT((ROW()-1)/7)*57+MOD(ROW()-1,7)+50),"")</f>
        <v/>
      </c>
    </row>
    <row r="4781" spans="1:1" x14ac:dyDescent="0.25">
      <c r="A4781" t="str" cm="1">
        <f t="array" ref="A4781">IF(INDEX(CUEs!$A:$A,INT((ROW()-1)/7)*57+MOD(ROW()-1,7)+50)&lt;&gt;"","set "&amp;INDEX(CUEs!$A:$A,INT((ROW()-1)/7)*57+MOD(ROW()-1,7)+50)&amp;"=/ s "&amp;INDEX(CUEs!$B:$B,INT((ROW()-1)/7)*57+MOD(ROW()-1,7)+50),"")</f>
        <v/>
      </c>
    </row>
    <row r="4782" spans="1:1" x14ac:dyDescent="0.25">
      <c r="A4782" t="str" cm="1">
        <f t="array" ref="A4782">IF(INDEX(CUEs!$A:$A,INT((ROW()-1)/7)*57+MOD(ROW()-1,7)+50)&lt;&gt;"","set "&amp;INDEX(CUEs!$A:$A,INT((ROW()-1)/7)*57+MOD(ROW()-1,7)+50)&amp;"=/ s "&amp;INDEX(CUEs!$B:$B,INT((ROW()-1)/7)*57+MOD(ROW()-1,7)+50),"")</f>
        <v/>
      </c>
    </row>
    <row r="4783" spans="1:1" x14ac:dyDescent="0.25">
      <c r="A4783" t="str" cm="1">
        <f t="array" ref="A4783">IF(INDEX(CUEs!$A:$A,INT((ROW()-1)/7)*57+MOD(ROW()-1,7)+50)&lt;&gt;"","set "&amp;INDEX(CUEs!$A:$A,INT((ROW()-1)/7)*57+MOD(ROW()-1,7)+50)&amp;"=/ s "&amp;INDEX(CUEs!$B:$B,INT((ROW()-1)/7)*57+MOD(ROW()-1,7)+50),"")</f>
        <v/>
      </c>
    </row>
    <row r="4784" spans="1:1" x14ac:dyDescent="0.25">
      <c r="A4784" t="str" cm="1">
        <f t="array" ref="A4784">IF(INDEX(CUEs!$A:$A,INT((ROW()-1)/7)*57+MOD(ROW()-1,7)+50)&lt;&gt;"","set "&amp;INDEX(CUEs!$A:$A,INT((ROW()-1)/7)*57+MOD(ROW()-1,7)+50)&amp;"=/ s "&amp;INDEX(CUEs!$B:$B,INT((ROW()-1)/7)*57+MOD(ROW()-1,7)+50),"")</f>
        <v/>
      </c>
    </row>
    <row r="4785" spans="1:1" x14ac:dyDescent="0.25">
      <c r="A4785" t="str" cm="1">
        <f t="array" ref="A4785">IF(INDEX(CUEs!$A:$A,INT((ROW()-1)/7)*57+MOD(ROW()-1,7)+50)&lt;&gt;"","set "&amp;INDEX(CUEs!$A:$A,INT((ROW()-1)/7)*57+MOD(ROW()-1,7)+50)&amp;"=/ s "&amp;INDEX(CUEs!$B:$B,INT((ROW()-1)/7)*57+MOD(ROW()-1,7)+50),"")</f>
        <v/>
      </c>
    </row>
    <row r="4786" spans="1:1" x14ac:dyDescent="0.25">
      <c r="A4786" t="str" cm="1">
        <f t="array" ref="A4786">IF(INDEX(CUEs!$A:$A,INT((ROW()-1)/7)*57+MOD(ROW()-1,7)+50)&lt;&gt;"","set "&amp;INDEX(CUEs!$A:$A,INT((ROW()-1)/7)*57+MOD(ROW()-1,7)+50)&amp;"=/ s "&amp;INDEX(CUEs!$B:$B,INT((ROW()-1)/7)*57+MOD(ROW()-1,7)+50),"")</f>
        <v/>
      </c>
    </row>
    <row r="4787" spans="1:1" x14ac:dyDescent="0.25">
      <c r="A4787" t="str" cm="1">
        <f t="array" ref="A4787">IF(INDEX(CUEs!$A:$A,INT((ROW()-1)/7)*57+MOD(ROW()-1,7)+50)&lt;&gt;"","set "&amp;INDEX(CUEs!$A:$A,INT((ROW()-1)/7)*57+MOD(ROW()-1,7)+50)&amp;"=/ s "&amp;INDEX(CUEs!$B:$B,INT((ROW()-1)/7)*57+MOD(ROW()-1,7)+50),"")</f>
        <v/>
      </c>
    </row>
    <row r="4788" spans="1:1" x14ac:dyDescent="0.25">
      <c r="A4788" t="str" cm="1">
        <f t="array" ref="A4788">IF(INDEX(CUEs!$A:$A,INT((ROW()-1)/7)*57+MOD(ROW()-1,7)+50)&lt;&gt;"","set "&amp;INDEX(CUEs!$A:$A,INT((ROW()-1)/7)*57+MOD(ROW()-1,7)+50)&amp;"=/ s "&amp;INDEX(CUEs!$B:$B,INT((ROW()-1)/7)*57+MOD(ROW()-1,7)+50),"")</f>
        <v/>
      </c>
    </row>
    <row r="4789" spans="1:1" x14ac:dyDescent="0.25">
      <c r="A4789" t="str" cm="1">
        <f t="array" ref="A4789">IF(INDEX(CUEs!$A:$A,INT((ROW()-1)/7)*57+MOD(ROW()-1,7)+50)&lt;&gt;"","set "&amp;INDEX(CUEs!$A:$A,INT((ROW()-1)/7)*57+MOD(ROW()-1,7)+50)&amp;"=/ s "&amp;INDEX(CUEs!$B:$B,INT((ROW()-1)/7)*57+MOD(ROW()-1,7)+50),"")</f>
        <v/>
      </c>
    </row>
    <row r="4790" spans="1:1" x14ac:dyDescent="0.25">
      <c r="A4790" t="str" cm="1">
        <f t="array" ref="A4790">IF(INDEX(CUEs!$A:$A,INT((ROW()-1)/7)*57+MOD(ROW()-1,7)+50)&lt;&gt;"","set "&amp;INDEX(CUEs!$A:$A,INT((ROW()-1)/7)*57+MOD(ROW()-1,7)+50)&amp;"=/ s "&amp;INDEX(CUEs!$B:$B,INT((ROW()-1)/7)*57+MOD(ROW()-1,7)+50),"")</f>
        <v/>
      </c>
    </row>
    <row r="4791" spans="1:1" x14ac:dyDescent="0.25">
      <c r="A4791" t="str" cm="1">
        <f t="array" ref="A4791">IF(INDEX(CUEs!$A:$A,INT((ROW()-1)/7)*57+MOD(ROW()-1,7)+50)&lt;&gt;"","set "&amp;INDEX(CUEs!$A:$A,INT((ROW()-1)/7)*57+MOD(ROW()-1,7)+50)&amp;"=/ s "&amp;INDEX(CUEs!$B:$B,INT((ROW()-1)/7)*57+MOD(ROW()-1,7)+50),"")</f>
        <v/>
      </c>
    </row>
    <row r="4792" spans="1:1" x14ac:dyDescent="0.25">
      <c r="A4792" t="str" cm="1">
        <f t="array" ref="A4792">IF(INDEX(CUEs!$A:$A,INT((ROW()-1)/7)*57+MOD(ROW()-1,7)+50)&lt;&gt;"","set "&amp;INDEX(CUEs!$A:$A,INT((ROW()-1)/7)*57+MOD(ROW()-1,7)+50)&amp;"=/ s "&amp;INDEX(CUEs!$B:$B,INT((ROW()-1)/7)*57+MOD(ROW()-1,7)+50),"")</f>
        <v/>
      </c>
    </row>
    <row r="4793" spans="1:1" x14ac:dyDescent="0.25">
      <c r="A4793" t="str" cm="1">
        <f t="array" ref="A4793">IF(INDEX(CUEs!$A:$A,INT((ROW()-1)/7)*57+MOD(ROW()-1,7)+50)&lt;&gt;"","set "&amp;INDEX(CUEs!$A:$A,INT((ROW()-1)/7)*57+MOD(ROW()-1,7)+50)&amp;"=/ s "&amp;INDEX(CUEs!$B:$B,INT((ROW()-1)/7)*57+MOD(ROW()-1,7)+50),"")</f>
        <v/>
      </c>
    </row>
    <row r="4794" spans="1:1" x14ac:dyDescent="0.25">
      <c r="A4794" t="str" cm="1">
        <f t="array" ref="A4794">IF(INDEX(CUEs!$A:$A,INT((ROW()-1)/7)*57+MOD(ROW()-1,7)+50)&lt;&gt;"","set "&amp;INDEX(CUEs!$A:$A,INT((ROW()-1)/7)*57+MOD(ROW()-1,7)+50)&amp;"=/ s "&amp;INDEX(CUEs!$B:$B,INT((ROW()-1)/7)*57+MOD(ROW()-1,7)+50),"")</f>
        <v/>
      </c>
    </row>
    <row r="4795" spans="1:1" x14ac:dyDescent="0.25">
      <c r="A4795" t="str" cm="1">
        <f t="array" ref="A4795">IF(INDEX(CUEs!$A:$A,INT((ROW()-1)/7)*57+MOD(ROW()-1,7)+50)&lt;&gt;"","set "&amp;INDEX(CUEs!$A:$A,INT((ROW()-1)/7)*57+MOD(ROW()-1,7)+50)&amp;"=/ s "&amp;INDEX(CUEs!$B:$B,INT((ROW()-1)/7)*57+MOD(ROW()-1,7)+50),"")</f>
        <v/>
      </c>
    </row>
    <row r="4796" spans="1:1" x14ac:dyDescent="0.25">
      <c r="A4796" t="str" cm="1">
        <f t="array" ref="A4796">IF(INDEX(CUEs!$A:$A,INT((ROW()-1)/7)*57+MOD(ROW()-1,7)+50)&lt;&gt;"","set "&amp;INDEX(CUEs!$A:$A,INT((ROW()-1)/7)*57+MOD(ROW()-1,7)+50)&amp;"=/ s "&amp;INDEX(CUEs!$B:$B,INT((ROW()-1)/7)*57+MOD(ROW()-1,7)+50),"")</f>
        <v/>
      </c>
    </row>
    <row r="4797" spans="1:1" x14ac:dyDescent="0.25">
      <c r="A4797" t="str" cm="1">
        <f t="array" ref="A4797">IF(INDEX(CUEs!$A:$A,INT((ROW()-1)/7)*57+MOD(ROW()-1,7)+50)&lt;&gt;"","set "&amp;INDEX(CUEs!$A:$A,INT((ROW()-1)/7)*57+MOD(ROW()-1,7)+50)&amp;"=/ s "&amp;INDEX(CUEs!$B:$B,INT((ROW()-1)/7)*57+MOD(ROW()-1,7)+50),"")</f>
        <v/>
      </c>
    </row>
    <row r="4798" spans="1:1" x14ac:dyDescent="0.25">
      <c r="A4798" t="str" cm="1">
        <f t="array" ref="A4798">IF(INDEX(CUEs!$A:$A,INT((ROW()-1)/7)*57+MOD(ROW()-1,7)+50)&lt;&gt;"","set "&amp;INDEX(CUEs!$A:$A,INT((ROW()-1)/7)*57+MOD(ROW()-1,7)+50)&amp;"=/ s "&amp;INDEX(CUEs!$B:$B,INT((ROW()-1)/7)*57+MOD(ROW()-1,7)+50),"")</f>
        <v/>
      </c>
    </row>
    <row r="4799" spans="1:1" x14ac:dyDescent="0.25">
      <c r="A4799" t="str" cm="1">
        <f t="array" ref="A4799">IF(INDEX(CUEs!$A:$A,INT((ROW()-1)/7)*57+MOD(ROW()-1,7)+50)&lt;&gt;"","set "&amp;INDEX(CUEs!$A:$A,INT((ROW()-1)/7)*57+MOD(ROW()-1,7)+50)&amp;"=/ s "&amp;INDEX(CUEs!$B:$B,INT((ROW()-1)/7)*57+MOD(ROW()-1,7)+50),"")</f>
        <v/>
      </c>
    </row>
    <row r="4800" spans="1:1" x14ac:dyDescent="0.25">
      <c r="A4800" t="str" cm="1">
        <f t="array" ref="A4800">IF(INDEX(CUEs!$A:$A,INT((ROW()-1)/7)*57+MOD(ROW()-1,7)+50)&lt;&gt;"","set "&amp;INDEX(CUEs!$A:$A,INT((ROW()-1)/7)*57+MOD(ROW()-1,7)+50)&amp;"=/ s "&amp;INDEX(CUEs!$B:$B,INT((ROW()-1)/7)*57+MOD(ROW()-1,7)+50),"")</f>
        <v/>
      </c>
    </row>
    <row r="4801" spans="1:1" x14ac:dyDescent="0.25">
      <c r="A4801" t="str" cm="1">
        <f t="array" ref="A4801">IF(INDEX(CUEs!$A:$A,INT((ROW()-1)/7)*57+MOD(ROW()-1,7)+50)&lt;&gt;"","set "&amp;INDEX(CUEs!$A:$A,INT((ROW()-1)/7)*57+MOD(ROW()-1,7)+50)&amp;"=/ s "&amp;INDEX(CUEs!$B:$B,INT((ROW()-1)/7)*57+MOD(ROW()-1,7)+50),"")</f>
        <v/>
      </c>
    </row>
    <row r="4802" spans="1:1" x14ac:dyDescent="0.25">
      <c r="A4802" t="str" cm="1">
        <f t="array" ref="A4802">IF(INDEX(CUEs!$A:$A,INT((ROW()-1)/7)*57+MOD(ROW()-1,7)+50)&lt;&gt;"","set "&amp;INDEX(CUEs!$A:$A,INT((ROW()-1)/7)*57+MOD(ROW()-1,7)+50)&amp;"=/ s "&amp;INDEX(CUEs!$B:$B,INT((ROW()-1)/7)*57+MOD(ROW()-1,7)+50),"")</f>
        <v/>
      </c>
    </row>
    <row r="4803" spans="1:1" x14ac:dyDescent="0.25">
      <c r="A4803" t="str" cm="1">
        <f t="array" ref="A4803">IF(INDEX(CUEs!$A:$A,INT((ROW()-1)/7)*57+MOD(ROW()-1,7)+50)&lt;&gt;"","set "&amp;INDEX(CUEs!$A:$A,INT((ROW()-1)/7)*57+MOD(ROW()-1,7)+50)&amp;"=/ s "&amp;INDEX(CUEs!$B:$B,INT((ROW()-1)/7)*57+MOD(ROW()-1,7)+50),"")</f>
        <v/>
      </c>
    </row>
    <row r="4804" spans="1:1" x14ac:dyDescent="0.25">
      <c r="A4804" t="str" cm="1">
        <f t="array" ref="A4804">IF(INDEX(CUEs!$A:$A,INT((ROW()-1)/7)*57+MOD(ROW()-1,7)+50)&lt;&gt;"","set "&amp;INDEX(CUEs!$A:$A,INT((ROW()-1)/7)*57+MOD(ROW()-1,7)+50)&amp;"=/ s "&amp;INDEX(CUEs!$B:$B,INT((ROW()-1)/7)*57+MOD(ROW()-1,7)+50),"")</f>
        <v/>
      </c>
    </row>
    <row r="4805" spans="1:1" x14ac:dyDescent="0.25">
      <c r="A4805" t="str" cm="1">
        <f t="array" ref="A4805">IF(INDEX(CUEs!$A:$A,INT((ROW()-1)/7)*57+MOD(ROW()-1,7)+50)&lt;&gt;"","set "&amp;INDEX(CUEs!$A:$A,INT((ROW()-1)/7)*57+MOD(ROW()-1,7)+50)&amp;"=/ s "&amp;INDEX(CUEs!$B:$B,INT((ROW()-1)/7)*57+MOD(ROW()-1,7)+50),"")</f>
        <v/>
      </c>
    </row>
    <row r="4806" spans="1:1" x14ac:dyDescent="0.25">
      <c r="A4806" t="str" cm="1">
        <f t="array" ref="A4806">IF(INDEX(CUEs!$A:$A,INT((ROW()-1)/7)*57+MOD(ROW()-1,7)+50)&lt;&gt;"","set "&amp;INDEX(CUEs!$A:$A,INT((ROW()-1)/7)*57+MOD(ROW()-1,7)+50)&amp;"=/ s "&amp;INDEX(CUEs!$B:$B,INT((ROW()-1)/7)*57+MOD(ROW()-1,7)+50),"")</f>
        <v/>
      </c>
    </row>
    <row r="4807" spans="1:1" x14ac:dyDescent="0.25">
      <c r="A4807" t="str" cm="1">
        <f t="array" ref="A4807">IF(INDEX(CUEs!$A:$A,INT((ROW()-1)/7)*57+MOD(ROW()-1,7)+50)&lt;&gt;"","set "&amp;INDEX(CUEs!$A:$A,INT((ROW()-1)/7)*57+MOD(ROW()-1,7)+50)&amp;"=/ s "&amp;INDEX(CUEs!$B:$B,INT((ROW()-1)/7)*57+MOD(ROW()-1,7)+50),"")</f>
        <v/>
      </c>
    </row>
    <row r="4808" spans="1:1" x14ac:dyDescent="0.25">
      <c r="A4808" t="str" cm="1">
        <f t="array" ref="A4808">IF(INDEX(CUEs!$A:$A,INT((ROW()-1)/7)*57+MOD(ROW()-1,7)+50)&lt;&gt;"","set "&amp;INDEX(CUEs!$A:$A,INT((ROW()-1)/7)*57+MOD(ROW()-1,7)+50)&amp;"=/ s "&amp;INDEX(CUEs!$B:$B,INT((ROW()-1)/7)*57+MOD(ROW()-1,7)+50),"")</f>
        <v/>
      </c>
    </row>
    <row r="4809" spans="1:1" x14ac:dyDescent="0.25">
      <c r="A4809" t="str" cm="1">
        <f t="array" ref="A4809">IF(INDEX(CUEs!$A:$A,INT((ROW()-1)/7)*57+MOD(ROW()-1,7)+50)&lt;&gt;"","set "&amp;INDEX(CUEs!$A:$A,INT((ROW()-1)/7)*57+MOD(ROW()-1,7)+50)&amp;"=/ s "&amp;INDEX(CUEs!$B:$B,INT((ROW()-1)/7)*57+MOD(ROW()-1,7)+50),"")</f>
        <v/>
      </c>
    </row>
    <row r="4810" spans="1:1" x14ac:dyDescent="0.25">
      <c r="A4810" t="str" cm="1">
        <f t="array" ref="A4810">IF(INDEX(CUEs!$A:$A,INT((ROW()-1)/7)*57+MOD(ROW()-1,7)+50)&lt;&gt;"","set "&amp;INDEX(CUEs!$A:$A,INT((ROW()-1)/7)*57+MOD(ROW()-1,7)+50)&amp;"=/ s "&amp;INDEX(CUEs!$B:$B,INT((ROW()-1)/7)*57+MOD(ROW()-1,7)+50),"")</f>
        <v/>
      </c>
    </row>
    <row r="4811" spans="1:1" x14ac:dyDescent="0.25">
      <c r="A4811" t="str" cm="1">
        <f t="array" ref="A4811">IF(INDEX(CUEs!$A:$A,INT((ROW()-1)/7)*57+MOD(ROW()-1,7)+50)&lt;&gt;"","set "&amp;INDEX(CUEs!$A:$A,INT((ROW()-1)/7)*57+MOD(ROW()-1,7)+50)&amp;"=/ s "&amp;INDEX(CUEs!$B:$B,INT((ROW()-1)/7)*57+MOD(ROW()-1,7)+50),"")</f>
        <v/>
      </c>
    </row>
    <row r="4812" spans="1:1" x14ac:dyDescent="0.25">
      <c r="A4812" t="str" cm="1">
        <f t="array" ref="A4812">IF(INDEX(CUEs!$A:$A,INT((ROW()-1)/7)*57+MOD(ROW()-1,7)+50)&lt;&gt;"","set "&amp;INDEX(CUEs!$A:$A,INT((ROW()-1)/7)*57+MOD(ROW()-1,7)+50)&amp;"=/ s "&amp;INDEX(CUEs!$B:$B,INT((ROW()-1)/7)*57+MOD(ROW()-1,7)+50),"")</f>
        <v/>
      </c>
    </row>
    <row r="4813" spans="1:1" x14ac:dyDescent="0.25">
      <c r="A4813" t="str" cm="1">
        <f t="array" ref="A4813">IF(INDEX(CUEs!$A:$A,INT((ROW()-1)/7)*57+MOD(ROW()-1,7)+50)&lt;&gt;"","set "&amp;INDEX(CUEs!$A:$A,INT((ROW()-1)/7)*57+MOD(ROW()-1,7)+50)&amp;"=/ s "&amp;INDEX(CUEs!$B:$B,INT((ROW()-1)/7)*57+MOD(ROW()-1,7)+50),"")</f>
        <v/>
      </c>
    </row>
    <row r="4814" spans="1:1" x14ac:dyDescent="0.25">
      <c r="A4814" t="str" cm="1">
        <f t="array" ref="A4814">IF(INDEX(CUEs!$A:$A,INT((ROW()-1)/7)*57+MOD(ROW()-1,7)+50)&lt;&gt;"","set "&amp;INDEX(CUEs!$A:$A,INT((ROW()-1)/7)*57+MOD(ROW()-1,7)+50)&amp;"=/ s "&amp;INDEX(CUEs!$B:$B,INT((ROW()-1)/7)*57+MOD(ROW()-1,7)+50),"")</f>
        <v/>
      </c>
    </row>
    <row r="4815" spans="1:1" x14ac:dyDescent="0.25">
      <c r="A4815" t="str" cm="1">
        <f t="array" ref="A4815">IF(INDEX(CUEs!$A:$A,INT((ROW()-1)/7)*57+MOD(ROW()-1,7)+50)&lt;&gt;"","set "&amp;INDEX(CUEs!$A:$A,INT((ROW()-1)/7)*57+MOD(ROW()-1,7)+50)&amp;"=/ s "&amp;INDEX(CUEs!$B:$B,INT((ROW()-1)/7)*57+MOD(ROW()-1,7)+50),"")</f>
        <v/>
      </c>
    </row>
    <row r="4816" spans="1:1" x14ac:dyDescent="0.25">
      <c r="A4816" t="str" cm="1">
        <f t="array" ref="A4816">IF(INDEX(CUEs!$A:$A,INT((ROW()-1)/7)*57+MOD(ROW()-1,7)+50)&lt;&gt;"","set "&amp;INDEX(CUEs!$A:$A,INT((ROW()-1)/7)*57+MOD(ROW()-1,7)+50)&amp;"=/ s "&amp;INDEX(CUEs!$B:$B,INT((ROW()-1)/7)*57+MOD(ROW()-1,7)+50),"")</f>
        <v/>
      </c>
    </row>
    <row r="4817" spans="1:1" x14ac:dyDescent="0.25">
      <c r="A4817" t="str" cm="1">
        <f t="array" ref="A4817">IF(INDEX(CUEs!$A:$A,INT((ROW()-1)/7)*57+MOD(ROW()-1,7)+50)&lt;&gt;"","set "&amp;INDEX(CUEs!$A:$A,INT((ROW()-1)/7)*57+MOD(ROW()-1,7)+50)&amp;"=/ s "&amp;INDEX(CUEs!$B:$B,INT((ROW()-1)/7)*57+MOD(ROW()-1,7)+50),"")</f>
        <v/>
      </c>
    </row>
    <row r="4818" spans="1:1" x14ac:dyDescent="0.25">
      <c r="A4818" t="str" cm="1">
        <f t="array" ref="A4818">IF(INDEX(CUEs!$A:$A,INT((ROW()-1)/7)*57+MOD(ROW()-1,7)+50)&lt;&gt;"","set "&amp;INDEX(CUEs!$A:$A,INT((ROW()-1)/7)*57+MOD(ROW()-1,7)+50)&amp;"=/ s "&amp;INDEX(CUEs!$B:$B,INT((ROW()-1)/7)*57+MOD(ROW()-1,7)+50),"")</f>
        <v/>
      </c>
    </row>
    <row r="4819" spans="1:1" x14ac:dyDescent="0.25">
      <c r="A4819" t="str" cm="1">
        <f t="array" ref="A4819">IF(INDEX(CUEs!$A:$A,INT((ROW()-1)/7)*57+MOD(ROW()-1,7)+50)&lt;&gt;"","set "&amp;INDEX(CUEs!$A:$A,INT((ROW()-1)/7)*57+MOD(ROW()-1,7)+50)&amp;"=/ s "&amp;INDEX(CUEs!$B:$B,INT((ROW()-1)/7)*57+MOD(ROW()-1,7)+50),"")</f>
        <v/>
      </c>
    </row>
    <row r="4820" spans="1:1" x14ac:dyDescent="0.25">
      <c r="A4820" t="str" cm="1">
        <f t="array" ref="A4820">IF(INDEX(CUEs!$A:$A,INT((ROW()-1)/7)*57+MOD(ROW()-1,7)+50)&lt;&gt;"","set "&amp;INDEX(CUEs!$A:$A,INT((ROW()-1)/7)*57+MOD(ROW()-1,7)+50)&amp;"=/ s "&amp;INDEX(CUEs!$B:$B,INT((ROW()-1)/7)*57+MOD(ROW()-1,7)+50),"")</f>
        <v/>
      </c>
    </row>
    <row r="4821" spans="1:1" x14ac:dyDescent="0.25">
      <c r="A4821" t="str" cm="1">
        <f t="array" ref="A4821">IF(INDEX(CUEs!$A:$A,INT((ROW()-1)/7)*57+MOD(ROW()-1,7)+50)&lt;&gt;"","set "&amp;INDEX(CUEs!$A:$A,INT((ROW()-1)/7)*57+MOD(ROW()-1,7)+50)&amp;"=/ s "&amp;INDEX(CUEs!$B:$B,INT((ROW()-1)/7)*57+MOD(ROW()-1,7)+50),"")</f>
        <v/>
      </c>
    </row>
    <row r="4822" spans="1:1" x14ac:dyDescent="0.25">
      <c r="A4822" t="str" cm="1">
        <f t="array" ref="A4822">IF(INDEX(CUEs!$A:$A,INT((ROW()-1)/7)*57+MOD(ROW()-1,7)+50)&lt;&gt;"","set "&amp;INDEX(CUEs!$A:$A,INT((ROW()-1)/7)*57+MOD(ROW()-1,7)+50)&amp;"=/ s "&amp;INDEX(CUEs!$B:$B,INT((ROW()-1)/7)*57+MOD(ROW()-1,7)+50),"")</f>
        <v/>
      </c>
    </row>
    <row r="4823" spans="1:1" x14ac:dyDescent="0.25">
      <c r="A4823" t="str" cm="1">
        <f t="array" ref="A4823">IF(INDEX(CUEs!$A:$A,INT((ROW()-1)/7)*57+MOD(ROW()-1,7)+50)&lt;&gt;"","set "&amp;INDEX(CUEs!$A:$A,INT((ROW()-1)/7)*57+MOD(ROW()-1,7)+50)&amp;"=/ s "&amp;INDEX(CUEs!$B:$B,INT((ROW()-1)/7)*57+MOD(ROW()-1,7)+50),"")</f>
        <v/>
      </c>
    </row>
    <row r="4824" spans="1:1" x14ac:dyDescent="0.25">
      <c r="A4824" t="str" cm="1">
        <f t="array" ref="A4824">IF(INDEX(CUEs!$A:$A,INT((ROW()-1)/7)*57+MOD(ROW()-1,7)+50)&lt;&gt;"","set "&amp;INDEX(CUEs!$A:$A,INT((ROW()-1)/7)*57+MOD(ROW()-1,7)+50)&amp;"=/ s "&amp;INDEX(CUEs!$B:$B,INT((ROW()-1)/7)*57+MOD(ROW()-1,7)+50),"")</f>
        <v/>
      </c>
    </row>
    <row r="4825" spans="1:1" x14ac:dyDescent="0.25">
      <c r="A4825" t="str" cm="1">
        <f t="array" ref="A4825">IF(INDEX(CUEs!$A:$A,INT((ROW()-1)/7)*57+MOD(ROW()-1,7)+50)&lt;&gt;"","set "&amp;INDEX(CUEs!$A:$A,INT((ROW()-1)/7)*57+MOD(ROW()-1,7)+50)&amp;"=/ s "&amp;INDEX(CUEs!$B:$B,INT((ROW()-1)/7)*57+MOD(ROW()-1,7)+50),"")</f>
        <v/>
      </c>
    </row>
    <row r="4826" spans="1:1" x14ac:dyDescent="0.25">
      <c r="A4826" t="str" cm="1">
        <f t="array" ref="A4826">IF(INDEX(CUEs!$A:$A,INT((ROW()-1)/7)*57+MOD(ROW()-1,7)+50)&lt;&gt;"","set "&amp;INDEX(CUEs!$A:$A,INT((ROW()-1)/7)*57+MOD(ROW()-1,7)+50)&amp;"=/ s "&amp;INDEX(CUEs!$B:$B,INT((ROW()-1)/7)*57+MOD(ROW()-1,7)+50),"")</f>
        <v/>
      </c>
    </row>
    <row r="4827" spans="1:1" x14ac:dyDescent="0.25">
      <c r="A4827" t="str" cm="1">
        <f t="array" ref="A4827">IF(INDEX(CUEs!$A:$A,INT((ROW()-1)/7)*57+MOD(ROW()-1,7)+50)&lt;&gt;"","set "&amp;INDEX(CUEs!$A:$A,INT((ROW()-1)/7)*57+MOD(ROW()-1,7)+50)&amp;"=/ s "&amp;INDEX(CUEs!$B:$B,INT((ROW()-1)/7)*57+MOD(ROW()-1,7)+50),"")</f>
        <v/>
      </c>
    </row>
    <row r="4828" spans="1:1" x14ac:dyDescent="0.25">
      <c r="A4828" t="str" cm="1">
        <f t="array" ref="A4828">IF(INDEX(CUEs!$A:$A,INT((ROW()-1)/7)*57+MOD(ROW()-1,7)+50)&lt;&gt;"","set "&amp;INDEX(CUEs!$A:$A,INT((ROW()-1)/7)*57+MOD(ROW()-1,7)+50)&amp;"=/ s "&amp;INDEX(CUEs!$B:$B,INT((ROW()-1)/7)*57+MOD(ROW()-1,7)+50),"")</f>
        <v/>
      </c>
    </row>
    <row r="4829" spans="1:1" x14ac:dyDescent="0.25">
      <c r="A4829" t="str" cm="1">
        <f t="array" ref="A4829">IF(INDEX(CUEs!$A:$A,INT((ROW()-1)/7)*57+MOD(ROW()-1,7)+50)&lt;&gt;"","set "&amp;INDEX(CUEs!$A:$A,INT((ROW()-1)/7)*57+MOD(ROW()-1,7)+50)&amp;"=/ s "&amp;INDEX(CUEs!$B:$B,INT((ROW()-1)/7)*57+MOD(ROW()-1,7)+50),"")</f>
        <v/>
      </c>
    </row>
    <row r="4830" spans="1:1" x14ac:dyDescent="0.25">
      <c r="A4830" t="str" cm="1">
        <f t="array" ref="A4830">IF(INDEX(CUEs!$A:$A,INT((ROW()-1)/7)*57+MOD(ROW()-1,7)+50)&lt;&gt;"","set "&amp;INDEX(CUEs!$A:$A,INT((ROW()-1)/7)*57+MOD(ROW()-1,7)+50)&amp;"=/ s "&amp;INDEX(CUEs!$B:$B,INT((ROW()-1)/7)*57+MOD(ROW()-1,7)+50),"")</f>
        <v/>
      </c>
    </row>
    <row r="4831" spans="1:1" x14ac:dyDescent="0.25">
      <c r="A4831" t="str" cm="1">
        <f t="array" ref="A4831">IF(INDEX(CUEs!$A:$A,INT((ROW()-1)/7)*57+MOD(ROW()-1,7)+50)&lt;&gt;"","set "&amp;INDEX(CUEs!$A:$A,INT((ROW()-1)/7)*57+MOD(ROW()-1,7)+50)&amp;"=/ s "&amp;INDEX(CUEs!$B:$B,INT((ROW()-1)/7)*57+MOD(ROW()-1,7)+50),"")</f>
        <v/>
      </c>
    </row>
    <row r="4832" spans="1:1" x14ac:dyDescent="0.25">
      <c r="A4832" t="str" cm="1">
        <f t="array" ref="A4832">IF(INDEX(CUEs!$A:$A,INT((ROW()-1)/7)*57+MOD(ROW()-1,7)+50)&lt;&gt;"","set "&amp;INDEX(CUEs!$A:$A,INT((ROW()-1)/7)*57+MOD(ROW()-1,7)+50)&amp;"=/ s "&amp;INDEX(CUEs!$B:$B,INT((ROW()-1)/7)*57+MOD(ROW()-1,7)+50),"")</f>
        <v/>
      </c>
    </row>
    <row r="4833" spans="1:1" x14ac:dyDescent="0.25">
      <c r="A4833" t="str" cm="1">
        <f t="array" ref="A4833">IF(INDEX(CUEs!$A:$A,INT((ROW()-1)/7)*57+MOD(ROW()-1,7)+50)&lt;&gt;"","set "&amp;INDEX(CUEs!$A:$A,INT((ROW()-1)/7)*57+MOD(ROW()-1,7)+50)&amp;"=/ s "&amp;INDEX(CUEs!$B:$B,INT((ROW()-1)/7)*57+MOD(ROW()-1,7)+50),"")</f>
        <v/>
      </c>
    </row>
    <row r="4834" spans="1:1" x14ac:dyDescent="0.25">
      <c r="A4834" t="str" cm="1">
        <f t="array" ref="A4834">IF(INDEX(CUEs!$A:$A,INT((ROW()-1)/7)*57+MOD(ROW()-1,7)+50)&lt;&gt;"","set "&amp;INDEX(CUEs!$A:$A,INT((ROW()-1)/7)*57+MOD(ROW()-1,7)+50)&amp;"=/ s "&amp;INDEX(CUEs!$B:$B,INT((ROW()-1)/7)*57+MOD(ROW()-1,7)+50),"")</f>
        <v/>
      </c>
    </row>
    <row r="4835" spans="1:1" x14ac:dyDescent="0.25">
      <c r="A4835" t="str" cm="1">
        <f t="array" ref="A4835">IF(INDEX(CUEs!$A:$A,INT((ROW()-1)/7)*57+MOD(ROW()-1,7)+50)&lt;&gt;"","set "&amp;INDEX(CUEs!$A:$A,INT((ROW()-1)/7)*57+MOD(ROW()-1,7)+50)&amp;"=/ s "&amp;INDEX(CUEs!$B:$B,INT((ROW()-1)/7)*57+MOD(ROW()-1,7)+50),"")</f>
        <v/>
      </c>
    </row>
    <row r="4836" spans="1:1" x14ac:dyDescent="0.25">
      <c r="A4836" t="str" cm="1">
        <f t="array" ref="A4836">IF(INDEX(CUEs!$A:$A,INT((ROW()-1)/7)*57+MOD(ROW()-1,7)+50)&lt;&gt;"","set "&amp;INDEX(CUEs!$A:$A,INT((ROW()-1)/7)*57+MOD(ROW()-1,7)+50)&amp;"=/ s "&amp;INDEX(CUEs!$B:$B,INT((ROW()-1)/7)*57+MOD(ROW()-1,7)+50),"")</f>
        <v/>
      </c>
    </row>
    <row r="4837" spans="1:1" x14ac:dyDescent="0.25">
      <c r="A4837" t="str" cm="1">
        <f t="array" ref="A4837">IF(INDEX(CUEs!$A:$A,INT((ROW()-1)/7)*57+MOD(ROW()-1,7)+50)&lt;&gt;"","set "&amp;INDEX(CUEs!$A:$A,INT((ROW()-1)/7)*57+MOD(ROW()-1,7)+50)&amp;"=/ s "&amp;INDEX(CUEs!$B:$B,INT((ROW()-1)/7)*57+MOD(ROW()-1,7)+50),"")</f>
        <v/>
      </c>
    </row>
    <row r="4838" spans="1:1" x14ac:dyDescent="0.25">
      <c r="A4838" t="str" cm="1">
        <f t="array" ref="A4838">IF(INDEX(CUEs!$A:$A,INT((ROW()-1)/7)*57+MOD(ROW()-1,7)+50)&lt;&gt;"","set "&amp;INDEX(CUEs!$A:$A,INT((ROW()-1)/7)*57+MOD(ROW()-1,7)+50)&amp;"=/ s "&amp;INDEX(CUEs!$B:$B,INT((ROW()-1)/7)*57+MOD(ROW()-1,7)+50),"")</f>
        <v/>
      </c>
    </row>
    <row r="4839" spans="1:1" x14ac:dyDescent="0.25">
      <c r="A4839" t="str" cm="1">
        <f t="array" ref="A4839">IF(INDEX(CUEs!$A:$A,INT((ROW()-1)/7)*57+MOD(ROW()-1,7)+50)&lt;&gt;"","set "&amp;INDEX(CUEs!$A:$A,INT((ROW()-1)/7)*57+MOD(ROW()-1,7)+50)&amp;"=/ s "&amp;INDEX(CUEs!$B:$B,INT((ROW()-1)/7)*57+MOD(ROW()-1,7)+50),"")</f>
        <v/>
      </c>
    </row>
    <row r="4840" spans="1:1" x14ac:dyDescent="0.25">
      <c r="A4840" t="str" cm="1">
        <f t="array" ref="A4840">IF(INDEX(CUEs!$A:$A,INT((ROW()-1)/7)*57+MOD(ROW()-1,7)+50)&lt;&gt;"","set "&amp;INDEX(CUEs!$A:$A,INT((ROW()-1)/7)*57+MOD(ROW()-1,7)+50)&amp;"=/ s "&amp;INDEX(CUEs!$B:$B,INT((ROW()-1)/7)*57+MOD(ROW()-1,7)+50),"")</f>
        <v/>
      </c>
    </row>
    <row r="4841" spans="1:1" x14ac:dyDescent="0.25">
      <c r="A4841" t="str" cm="1">
        <f t="array" ref="A4841">IF(INDEX(CUEs!$A:$A,INT((ROW()-1)/7)*57+MOD(ROW()-1,7)+50)&lt;&gt;"","set "&amp;INDEX(CUEs!$A:$A,INT((ROW()-1)/7)*57+MOD(ROW()-1,7)+50)&amp;"=/ s "&amp;INDEX(CUEs!$B:$B,INT((ROW()-1)/7)*57+MOD(ROW()-1,7)+50),"")</f>
        <v/>
      </c>
    </row>
    <row r="4842" spans="1:1" x14ac:dyDescent="0.25">
      <c r="A4842" t="str" cm="1">
        <f t="array" ref="A4842">IF(INDEX(CUEs!$A:$A,INT((ROW()-1)/7)*57+MOD(ROW()-1,7)+50)&lt;&gt;"","set "&amp;INDEX(CUEs!$A:$A,INT((ROW()-1)/7)*57+MOD(ROW()-1,7)+50)&amp;"=/ s "&amp;INDEX(CUEs!$B:$B,INT((ROW()-1)/7)*57+MOD(ROW()-1,7)+50),"")</f>
        <v/>
      </c>
    </row>
    <row r="4843" spans="1:1" x14ac:dyDescent="0.25">
      <c r="A4843" t="str" cm="1">
        <f t="array" ref="A4843">IF(INDEX(CUEs!$A:$A,INT((ROW()-1)/7)*57+MOD(ROW()-1,7)+50)&lt;&gt;"","set "&amp;INDEX(CUEs!$A:$A,INT((ROW()-1)/7)*57+MOD(ROW()-1,7)+50)&amp;"=/ s "&amp;INDEX(CUEs!$B:$B,INT((ROW()-1)/7)*57+MOD(ROW()-1,7)+50),"")</f>
        <v/>
      </c>
    </row>
    <row r="4844" spans="1:1" x14ac:dyDescent="0.25">
      <c r="A4844" t="str" cm="1">
        <f t="array" ref="A4844">IF(INDEX(CUEs!$A:$A,INT((ROW()-1)/7)*57+MOD(ROW()-1,7)+50)&lt;&gt;"","set "&amp;INDEX(CUEs!$A:$A,INT((ROW()-1)/7)*57+MOD(ROW()-1,7)+50)&amp;"=/ s "&amp;INDEX(CUEs!$B:$B,INT((ROW()-1)/7)*57+MOD(ROW()-1,7)+50),"")</f>
        <v/>
      </c>
    </row>
    <row r="4845" spans="1:1" x14ac:dyDescent="0.25">
      <c r="A4845" t="str" cm="1">
        <f t="array" ref="A4845">IF(INDEX(CUEs!$A:$A,INT((ROW()-1)/7)*57+MOD(ROW()-1,7)+50)&lt;&gt;"","set "&amp;INDEX(CUEs!$A:$A,INT((ROW()-1)/7)*57+MOD(ROW()-1,7)+50)&amp;"=/ s "&amp;INDEX(CUEs!$B:$B,INT((ROW()-1)/7)*57+MOD(ROW()-1,7)+50),"")</f>
        <v/>
      </c>
    </row>
    <row r="4846" spans="1:1" x14ac:dyDescent="0.25">
      <c r="A4846" t="str" cm="1">
        <f t="array" ref="A4846">IF(INDEX(CUEs!$A:$A,INT((ROW()-1)/7)*57+MOD(ROW()-1,7)+50)&lt;&gt;"","set "&amp;INDEX(CUEs!$A:$A,INT((ROW()-1)/7)*57+MOD(ROW()-1,7)+50)&amp;"=/ s "&amp;INDEX(CUEs!$B:$B,INT((ROW()-1)/7)*57+MOD(ROW()-1,7)+50),"")</f>
        <v/>
      </c>
    </row>
    <row r="4847" spans="1:1" x14ac:dyDescent="0.25">
      <c r="A4847" t="str" cm="1">
        <f t="array" ref="A4847">IF(INDEX(CUEs!$A:$A,INT((ROW()-1)/7)*57+MOD(ROW()-1,7)+50)&lt;&gt;"","set "&amp;INDEX(CUEs!$A:$A,INT((ROW()-1)/7)*57+MOD(ROW()-1,7)+50)&amp;"=/ s "&amp;INDEX(CUEs!$B:$B,INT((ROW()-1)/7)*57+MOD(ROW()-1,7)+50),"")</f>
        <v/>
      </c>
    </row>
    <row r="4848" spans="1:1" x14ac:dyDescent="0.25">
      <c r="A4848" t="str" cm="1">
        <f t="array" ref="A4848">IF(INDEX(CUEs!$A:$A,INT((ROW()-1)/7)*57+MOD(ROW()-1,7)+50)&lt;&gt;"","set "&amp;INDEX(CUEs!$A:$A,INT((ROW()-1)/7)*57+MOD(ROW()-1,7)+50)&amp;"=/ s "&amp;INDEX(CUEs!$B:$B,INT((ROW()-1)/7)*57+MOD(ROW()-1,7)+50),"")</f>
        <v/>
      </c>
    </row>
    <row r="4849" spans="1:1" x14ac:dyDescent="0.25">
      <c r="A4849" t="str" cm="1">
        <f t="array" ref="A4849">IF(INDEX(CUEs!$A:$A,INT((ROW()-1)/7)*57+MOD(ROW()-1,7)+50)&lt;&gt;"","set "&amp;INDEX(CUEs!$A:$A,INT((ROW()-1)/7)*57+MOD(ROW()-1,7)+50)&amp;"=/ s "&amp;INDEX(CUEs!$B:$B,INT((ROW()-1)/7)*57+MOD(ROW()-1,7)+50),"")</f>
        <v/>
      </c>
    </row>
    <row r="4850" spans="1:1" x14ac:dyDescent="0.25">
      <c r="A4850" t="str" cm="1">
        <f t="array" ref="A4850">IF(INDEX(CUEs!$A:$A,INT((ROW()-1)/7)*57+MOD(ROW()-1,7)+50)&lt;&gt;"","set "&amp;INDEX(CUEs!$A:$A,INT((ROW()-1)/7)*57+MOD(ROW()-1,7)+50)&amp;"=/ s "&amp;INDEX(CUEs!$B:$B,INT((ROW()-1)/7)*57+MOD(ROW()-1,7)+50),"")</f>
        <v/>
      </c>
    </row>
    <row r="4851" spans="1:1" x14ac:dyDescent="0.25">
      <c r="A4851" t="str" cm="1">
        <f t="array" ref="A4851">IF(INDEX(CUEs!$A:$A,INT((ROW()-1)/7)*57+MOD(ROW()-1,7)+50)&lt;&gt;"","set "&amp;INDEX(CUEs!$A:$A,INT((ROW()-1)/7)*57+MOD(ROW()-1,7)+50)&amp;"=/ s "&amp;INDEX(CUEs!$B:$B,INT((ROW()-1)/7)*57+MOD(ROW()-1,7)+50),"")</f>
        <v/>
      </c>
    </row>
    <row r="4852" spans="1:1" x14ac:dyDescent="0.25">
      <c r="A4852" t="str" cm="1">
        <f t="array" ref="A4852">IF(INDEX(CUEs!$A:$A,INT((ROW()-1)/7)*57+MOD(ROW()-1,7)+50)&lt;&gt;"","set "&amp;INDEX(CUEs!$A:$A,INT((ROW()-1)/7)*57+MOD(ROW()-1,7)+50)&amp;"=/ s "&amp;INDEX(CUEs!$B:$B,INT((ROW()-1)/7)*57+MOD(ROW()-1,7)+50),"")</f>
        <v/>
      </c>
    </row>
    <row r="4853" spans="1:1" x14ac:dyDescent="0.25">
      <c r="A4853" t="str" cm="1">
        <f t="array" ref="A4853">IF(INDEX(CUEs!$A:$A,INT((ROW()-1)/7)*57+MOD(ROW()-1,7)+50)&lt;&gt;"","set "&amp;INDEX(CUEs!$A:$A,INT((ROW()-1)/7)*57+MOD(ROW()-1,7)+50)&amp;"=/ s "&amp;INDEX(CUEs!$B:$B,INT((ROW()-1)/7)*57+MOD(ROW()-1,7)+50),"")</f>
        <v/>
      </c>
    </row>
    <row r="4854" spans="1:1" x14ac:dyDescent="0.25">
      <c r="A4854" t="str" cm="1">
        <f t="array" ref="A4854">IF(INDEX(CUEs!$A:$A,INT((ROW()-1)/7)*57+MOD(ROW()-1,7)+50)&lt;&gt;"","set "&amp;INDEX(CUEs!$A:$A,INT((ROW()-1)/7)*57+MOD(ROW()-1,7)+50)&amp;"=/ s "&amp;INDEX(CUEs!$B:$B,INT((ROW()-1)/7)*57+MOD(ROW()-1,7)+50),"")</f>
        <v/>
      </c>
    </row>
    <row r="4855" spans="1:1" x14ac:dyDescent="0.25">
      <c r="A4855" t="str" cm="1">
        <f t="array" ref="A4855">IF(INDEX(CUEs!$A:$A,INT((ROW()-1)/7)*57+MOD(ROW()-1,7)+50)&lt;&gt;"","set "&amp;INDEX(CUEs!$A:$A,INT((ROW()-1)/7)*57+MOD(ROW()-1,7)+50)&amp;"=/ s "&amp;INDEX(CUEs!$B:$B,INT((ROW()-1)/7)*57+MOD(ROW()-1,7)+50),"")</f>
        <v/>
      </c>
    </row>
    <row r="4856" spans="1:1" x14ac:dyDescent="0.25">
      <c r="A4856" t="str" cm="1">
        <f t="array" ref="A4856">IF(INDEX(CUEs!$A:$A,INT((ROW()-1)/7)*57+MOD(ROW()-1,7)+50)&lt;&gt;"","set "&amp;INDEX(CUEs!$A:$A,INT((ROW()-1)/7)*57+MOD(ROW()-1,7)+50)&amp;"=/ s "&amp;INDEX(CUEs!$B:$B,INT((ROW()-1)/7)*57+MOD(ROW()-1,7)+50),"")</f>
        <v/>
      </c>
    </row>
    <row r="4857" spans="1:1" x14ac:dyDescent="0.25">
      <c r="A4857" t="str" cm="1">
        <f t="array" ref="A4857">IF(INDEX(CUEs!$A:$A,INT((ROW()-1)/7)*57+MOD(ROW()-1,7)+50)&lt;&gt;"","set "&amp;INDEX(CUEs!$A:$A,INT((ROW()-1)/7)*57+MOD(ROW()-1,7)+50)&amp;"=/ s "&amp;INDEX(CUEs!$B:$B,INT((ROW()-1)/7)*57+MOD(ROW()-1,7)+50),"")</f>
        <v/>
      </c>
    </row>
    <row r="4858" spans="1:1" x14ac:dyDescent="0.25">
      <c r="A4858" t="str" cm="1">
        <f t="array" ref="A4858">IF(INDEX(CUEs!$A:$A,INT((ROW()-1)/7)*57+MOD(ROW()-1,7)+50)&lt;&gt;"","set "&amp;INDEX(CUEs!$A:$A,INT((ROW()-1)/7)*57+MOD(ROW()-1,7)+50)&amp;"=/ s "&amp;INDEX(CUEs!$B:$B,INT((ROW()-1)/7)*57+MOD(ROW()-1,7)+50),"")</f>
        <v/>
      </c>
    </row>
    <row r="4859" spans="1:1" x14ac:dyDescent="0.25">
      <c r="A4859" t="str" cm="1">
        <f t="array" ref="A4859">IF(INDEX(CUEs!$A:$A,INT((ROW()-1)/7)*57+MOD(ROW()-1,7)+50)&lt;&gt;"","set "&amp;INDEX(CUEs!$A:$A,INT((ROW()-1)/7)*57+MOD(ROW()-1,7)+50)&amp;"=/ s "&amp;INDEX(CUEs!$B:$B,INT((ROW()-1)/7)*57+MOD(ROW()-1,7)+50),"")</f>
        <v/>
      </c>
    </row>
    <row r="4860" spans="1:1" x14ac:dyDescent="0.25">
      <c r="A4860" t="str" cm="1">
        <f t="array" ref="A4860">IF(INDEX(CUEs!$A:$A,INT((ROW()-1)/7)*57+MOD(ROW()-1,7)+50)&lt;&gt;"","set "&amp;INDEX(CUEs!$A:$A,INT((ROW()-1)/7)*57+MOD(ROW()-1,7)+50)&amp;"=/ s "&amp;INDEX(CUEs!$B:$B,INT((ROW()-1)/7)*57+MOD(ROW()-1,7)+50),"")</f>
        <v/>
      </c>
    </row>
    <row r="4861" spans="1:1" x14ac:dyDescent="0.25">
      <c r="A4861" t="str" cm="1">
        <f t="array" ref="A4861">IF(INDEX(CUEs!$A:$A,INT((ROW()-1)/7)*57+MOD(ROW()-1,7)+50)&lt;&gt;"","set "&amp;INDEX(CUEs!$A:$A,INT((ROW()-1)/7)*57+MOD(ROW()-1,7)+50)&amp;"=/ s "&amp;INDEX(CUEs!$B:$B,INT((ROW()-1)/7)*57+MOD(ROW()-1,7)+50),"")</f>
        <v/>
      </c>
    </row>
    <row r="4862" spans="1:1" x14ac:dyDescent="0.25">
      <c r="A4862" t="str" cm="1">
        <f t="array" ref="A4862">IF(INDEX(CUEs!$A:$A,INT((ROW()-1)/7)*57+MOD(ROW()-1,7)+50)&lt;&gt;"","set "&amp;INDEX(CUEs!$A:$A,INT((ROW()-1)/7)*57+MOD(ROW()-1,7)+50)&amp;"=/ s "&amp;INDEX(CUEs!$B:$B,INT((ROW()-1)/7)*57+MOD(ROW()-1,7)+50),"")</f>
        <v/>
      </c>
    </row>
    <row r="4863" spans="1:1" x14ac:dyDescent="0.25">
      <c r="A4863" t="str" cm="1">
        <f t="array" ref="A4863">IF(INDEX(CUEs!$A:$A,INT((ROW()-1)/7)*57+MOD(ROW()-1,7)+50)&lt;&gt;"","set "&amp;INDEX(CUEs!$A:$A,INT((ROW()-1)/7)*57+MOD(ROW()-1,7)+50)&amp;"=/ s "&amp;INDEX(CUEs!$B:$B,INT((ROW()-1)/7)*57+MOD(ROW()-1,7)+50),"")</f>
        <v/>
      </c>
    </row>
    <row r="4864" spans="1:1" x14ac:dyDescent="0.25">
      <c r="A4864" t="str" cm="1">
        <f t="array" ref="A4864">IF(INDEX(CUEs!$A:$A,INT((ROW()-1)/7)*57+MOD(ROW()-1,7)+50)&lt;&gt;"","set "&amp;INDEX(CUEs!$A:$A,INT((ROW()-1)/7)*57+MOD(ROW()-1,7)+50)&amp;"=/ s "&amp;INDEX(CUEs!$B:$B,INT((ROW()-1)/7)*57+MOD(ROW()-1,7)+50),"")</f>
        <v/>
      </c>
    </row>
    <row r="4865" spans="1:1" x14ac:dyDescent="0.25">
      <c r="A4865" t="str" cm="1">
        <f t="array" ref="A4865">IF(INDEX(CUEs!$A:$A,INT((ROW()-1)/7)*57+MOD(ROW()-1,7)+50)&lt;&gt;"","set "&amp;INDEX(CUEs!$A:$A,INT((ROW()-1)/7)*57+MOD(ROW()-1,7)+50)&amp;"=/ s "&amp;INDEX(CUEs!$B:$B,INT((ROW()-1)/7)*57+MOD(ROW()-1,7)+50),"")</f>
        <v/>
      </c>
    </row>
    <row r="4866" spans="1:1" x14ac:dyDescent="0.25">
      <c r="A4866" t="str" cm="1">
        <f t="array" ref="A4866">IF(INDEX(CUEs!$A:$A,INT((ROW()-1)/7)*57+MOD(ROW()-1,7)+50)&lt;&gt;"","set "&amp;INDEX(CUEs!$A:$A,INT((ROW()-1)/7)*57+MOD(ROW()-1,7)+50)&amp;"=/ s "&amp;INDEX(CUEs!$B:$B,INT((ROW()-1)/7)*57+MOD(ROW()-1,7)+50),"")</f>
        <v/>
      </c>
    </row>
    <row r="4867" spans="1:1" x14ac:dyDescent="0.25">
      <c r="A4867" t="str" cm="1">
        <f t="array" ref="A4867">IF(INDEX(CUEs!$A:$A,INT((ROW()-1)/7)*57+MOD(ROW()-1,7)+50)&lt;&gt;"","set "&amp;INDEX(CUEs!$A:$A,INT((ROW()-1)/7)*57+MOD(ROW()-1,7)+50)&amp;"=/ s "&amp;INDEX(CUEs!$B:$B,INT((ROW()-1)/7)*57+MOD(ROW()-1,7)+50),"")</f>
        <v/>
      </c>
    </row>
    <row r="4868" spans="1:1" x14ac:dyDescent="0.25">
      <c r="A4868" t="str" cm="1">
        <f t="array" ref="A4868">IF(INDEX(CUEs!$A:$A,INT((ROW()-1)/7)*57+MOD(ROW()-1,7)+50)&lt;&gt;"","set "&amp;INDEX(CUEs!$A:$A,INT((ROW()-1)/7)*57+MOD(ROW()-1,7)+50)&amp;"=/ s "&amp;INDEX(CUEs!$B:$B,INT((ROW()-1)/7)*57+MOD(ROW()-1,7)+50),"")</f>
        <v/>
      </c>
    </row>
    <row r="4869" spans="1:1" x14ac:dyDescent="0.25">
      <c r="A4869" t="str" cm="1">
        <f t="array" ref="A4869">IF(INDEX(CUEs!$A:$A,INT((ROW()-1)/7)*57+MOD(ROW()-1,7)+50)&lt;&gt;"","set "&amp;INDEX(CUEs!$A:$A,INT((ROW()-1)/7)*57+MOD(ROW()-1,7)+50)&amp;"=/ s "&amp;INDEX(CUEs!$B:$B,INT((ROW()-1)/7)*57+MOD(ROW()-1,7)+50),"")</f>
        <v/>
      </c>
    </row>
    <row r="4870" spans="1:1" x14ac:dyDescent="0.25">
      <c r="A4870" t="str" cm="1">
        <f t="array" ref="A4870">IF(INDEX(CUEs!$A:$A,INT((ROW()-1)/7)*57+MOD(ROW()-1,7)+50)&lt;&gt;"","set "&amp;INDEX(CUEs!$A:$A,INT((ROW()-1)/7)*57+MOD(ROW()-1,7)+50)&amp;"=/ s "&amp;INDEX(CUEs!$B:$B,INT((ROW()-1)/7)*57+MOD(ROW()-1,7)+50),"")</f>
        <v/>
      </c>
    </row>
    <row r="4871" spans="1:1" x14ac:dyDescent="0.25">
      <c r="A4871" t="str" cm="1">
        <f t="array" ref="A4871">IF(INDEX(CUEs!$A:$A,INT((ROW()-1)/7)*57+MOD(ROW()-1,7)+50)&lt;&gt;"","set "&amp;INDEX(CUEs!$A:$A,INT((ROW()-1)/7)*57+MOD(ROW()-1,7)+50)&amp;"=/ s "&amp;INDEX(CUEs!$B:$B,INT((ROW()-1)/7)*57+MOD(ROW()-1,7)+50),"")</f>
        <v/>
      </c>
    </row>
    <row r="4872" spans="1:1" x14ac:dyDescent="0.25">
      <c r="A4872" t="str" cm="1">
        <f t="array" ref="A4872">IF(INDEX(CUEs!$A:$A,INT((ROW()-1)/7)*57+MOD(ROW()-1,7)+50)&lt;&gt;"","set "&amp;INDEX(CUEs!$A:$A,INT((ROW()-1)/7)*57+MOD(ROW()-1,7)+50)&amp;"=/ s "&amp;INDEX(CUEs!$B:$B,INT((ROW()-1)/7)*57+MOD(ROW()-1,7)+50),"")</f>
        <v/>
      </c>
    </row>
    <row r="4873" spans="1:1" x14ac:dyDescent="0.25">
      <c r="A4873" t="str" cm="1">
        <f t="array" ref="A4873">IF(INDEX(CUEs!$A:$A,INT((ROW()-1)/7)*57+MOD(ROW()-1,7)+50)&lt;&gt;"","set "&amp;INDEX(CUEs!$A:$A,INT((ROW()-1)/7)*57+MOD(ROW()-1,7)+50)&amp;"=/ s "&amp;INDEX(CUEs!$B:$B,INT((ROW()-1)/7)*57+MOD(ROW()-1,7)+50),"")</f>
        <v/>
      </c>
    </row>
    <row r="4874" spans="1:1" x14ac:dyDescent="0.25">
      <c r="A4874" t="str" cm="1">
        <f t="array" ref="A4874">IF(INDEX(CUEs!$A:$A,INT((ROW()-1)/7)*57+MOD(ROW()-1,7)+50)&lt;&gt;"","set "&amp;INDEX(CUEs!$A:$A,INT((ROW()-1)/7)*57+MOD(ROW()-1,7)+50)&amp;"=/ s "&amp;INDEX(CUEs!$B:$B,INT((ROW()-1)/7)*57+MOD(ROW()-1,7)+50),"")</f>
        <v/>
      </c>
    </row>
    <row r="4875" spans="1:1" x14ac:dyDescent="0.25">
      <c r="A4875" t="str" cm="1">
        <f t="array" ref="A4875">IF(INDEX(CUEs!$A:$A,INT((ROW()-1)/7)*57+MOD(ROW()-1,7)+50)&lt;&gt;"","set "&amp;INDEX(CUEs!$A:$A,INT((ROW()-1)/7)*57+MOD(ROW()-1,7)+50)&amp;"=/ s "&amp;INDEX(CUEs!$B:$B,INT((ROW()-1)/7)*57+MOD(ROW()-1,7)+50),"")</f>
        <v/>
      </c>
    </row>
    <row r="4876" spans="1:1" x14ac:dyDescent="0.25">
      <c r="A4876" t="str" cm="1">
        <f t="array" ref="A4876">IF(INDEX(CUEs!$A:$A,INT((ROW()-1)/7)*57+MOD(ROW()-1,7)+50)&lt;&gt;"","set "&amp;INDEX(CUEs!$A:$A,INT((ROW()-1)/7)*57+MOD(ROW()-1,7)+50)&amp;"=/ s "&amp;INDEX(CUEs!$B:$B,INT((ROW()-1)/7)*57+MOD(ROW()-1,7)+50),"")</f>
        <v/>
      </c>
    </row>
    <row r="4877" spans="1:1" x14ac:dyDescent="0.25">
      <c r="A4877" t="str" cm="1">
        <f t="array" ref="A4877">IF(INDEX(CUEs!$A:$A,INT((ROW()-1)/7)*57+MOD(ROW()-1,7)+50)&lt;&gt;"","set "&amp;INDEX(CUEs!$A:$A,INT((ROW()-1)/7)*57+MOD(ROW()-1,7)+50)&amp;"=/ s "&amp;INDEX(CUEs!$B:$B,INT((ROW()-1)/7)*57+MOD(ROW()-1,7)+50),"")</f>
        <v/>
      </c>
    </row>
    <row r="4878" spans="1:1" x14ac:dyDescent="0.25">
      <c r="A4878" t="str" cm="1">
        <f t="array" ref="A4878">IF(INDEX(CUEs!$A:$A,INT((ROW()-1)/7)*57+MOD(ROW()-1,7)+50)&lt;&gt;"","set "&amp;INDEX(CUEs!$A:$A,INT((ROW()-1)/7)*57+MOD(ROW()-1,7)+50)&amp;"=/ s "&amp;INDEX(CUEs!$B:$B,INT((ROW()-1)/7)*57+MOD(ROW()-1,7)+50),"")</f>
        <v/>
      </c>
    </row>
    <row r="4879" spans="1:1" x14ac:dyDescent="0.25">
      <c r="A4879" t="str" cm="1">
        <f t="array" ref="A4879">IF(INDEX(CUEs!$A:$A,INT((ROW()-1)/7)*57+MOD(ROW()-1,7)+50)&lt;&gt;"","set "&amp;INDEX(CUEs!$A:$A,INT((ROW()-1)/7)*57+MOD(ROW()-1,7)+50)&amp;"=/ s "&amp;INDEX(CUEs!$B:$B,INT((ROW()-1)/7)*57+MOD(ROW()-1,7)+50),"")</f>
        <v/>
      </c>
    </row>
    <row r="4880" spans="1:1" x14ac:dyDescent="0.25">
      <c r="A4880" t="str" cm="1">
        <f t="array" ref="A4880">IF(INDEX(CUEs!$A:$A,INT((ROW()-1)/7)*57+MOD(ROW()-1,7)+50)&lt;&gt;"","set "&amp;INDEX(CUEs!$A:$A,INT((ROW()-1)/7)*57+MOD(ROW()-1,7)+50)&amp;"=/ s "&amp;INDEX(CUEs!$B:$B,INT((ROW()-1)/7)*57+MOD(ROW()-1,7)+50),"")</f>
        <v/>
      </c>
    </row>
    <row r="4881" spans="1:1" x14ac:dyDescent="0.25">
      <c r="A4881" t="str" cm="1">
        <f t="array" ref="A4881">IF(INDEX(CUEs!$A:$A,INT((ROW()-1)/7)*57+MOD(ROW()-1,7)+50)&lt;&gt;"","set "&amp;INDEX(CUEs!$A:$A,INT((ROW()-1)/7)*57+MOD(ROW()-1,7)+50)&amp;"=/ s "&amp;INDEX(CUEs!$B:$B,INT((ROW()-1)/7)*57+MOD(ROW()-1,7)+50),"")</f>
        <v/>
      </c>
    </row>
    <row r="4882" spans="1:1" x14ac:dyDescent="0.25">
      <c r="A4882" t="str" cm="1">
        <f t="array" ref="A4882">IF(INDEX(CUEs!$A:$A,INT((ROW()-1)/7)*57+MOD(ROW()-1,7)+50)&lt;&gt;"","set "&amp;INDEX(CUEs!$A:$A,INT((ROW()-1)/7)*57+MOD(ROW()-1,7)+50)&amp;"=/ s "&amp;INDEX(CUEs!$B:$B,INT((ROW()-1)/7)*57+MOD(ROW()-1,7)+50),"")</f>
        <v/>
      </c>
    </row>
    <row r="4883" spans="1:1" x14ac:dyDescent="0.25">
      <c r="A4883" t="str" cm="1">
        <f t="array" ref="A4883">IF(INDEX(CUEs!$A:$A,INT((ROW()-1)/7)*57+MOD(ROW()-1,7)+50)&lt;&gt;"","set "&amp;INDEX(CUEs!$A:$A,INT((ROW()-1)/7)*57+MOD(ROW()-1,7)+50)&amp;"=/ s "&amp;INDEX(CUEs!$B:$B,INT((ROW()-1)/7)*57+MOD(ROW()-1,7)+50),"")</f>
        <v/>
      </c>
    </row>
    <row r="4884" spans="1:1" x14ac:dyDescent="0.25">
      <c r="A4884" t="str" cm="1">
        <f t="array" ref="A4884">IF(INDEX(CUEs!$A:$A,INT((ROW()-1)/7)*57+MOD(ROW()-1,7)+50)&lt;&gt;"","set "&amp;INDEX(CUEs!$A:$A,INT((ROW()-1)/7)*57+MOD(ROW()-1,7)+50)&amp;"=/ s "&amp;INDEX(CUEs!$B:$B,INT((ROW()-1)/7)*57+MOD(ROW()-1,7)+50),"")</f>
        <v/>
      </c>
    </row>
    <row r="4885" spans="1:1" x14ac:dyDescent="0.25">
      <c r="A4885" t="str" cm="1">
        <f t="array" ref="A4885">IF(INDEX(CUEs!$A:$A,INT((ROW()-1)/7)*57+MOD(ROW()-1,7)+50)&lt;&gt;"","set "&amp;INDEX(CUEs!$A:$A,INT((ROW()-1)/7)*57+MOD(ROW()-1,7)+50)&amp;"=/ s "&amp;INDEX(CUEs!$B:$B,INT((ROW()-1)/7)*57+MOD(ROW()-1,7)+50),"")</f>
        <v/>
      </c>
    </row>
    <row r="4886" spans="1:1" x14ac:dyDescent="0.25">
      <c r="A4886" t="str" cm="1">
        <f t="array" ref="A4886">IF(INDEX(CUEs!$A:$A,INT((ROW()-1)/7)*57+MOD(ROW()-1,7)+50)&lt;&gt;"","set "&amp;INDEX(CUEs!$A:$A,INT((ROW()-1)/7)*57+MOD(ROW()-1,7)+50)&amp;"=/ s "&amp;INDEX(CUEs!$B:$B,INT((ROW()-1)/7)*57+MOD(ROW()-1,7)+50),"")</f>
        <v/>
      </c>
    </row>
    <row r="4887" spans="1:1" x14ac:dyDescent="0.25">
      <c r="A4887" t="str" cm="1">
        <f t="array" ref="A4887">IF(INDEX(CUEs!$A:$A,INT((ROW()-1)/7)*57+MOD(ROW()-1,7)+50)&lt;&gt;"","set "&amp;INDEX(CUEs!$A:$A,INT((ROW()-1)/7)*57+MOD(ROW()-1,7)+50)&amp;"=/ s "&amp;INDEX(CUEs!$B:$B,INT((ROW()-1)/7)*57+MOD(ROW()-1,7)+50),"")</f>
        <v/>
      </c>
    </row>
    <row r="4888" spans="1:1" x14ac:dyDescent="0.25">
      <c r="A4888" t="str" cm="1">
        <f t="array" ref="A4888">IF(INDEX(CUEs!$A:$A,INT((ROW()-1)/7)*57+MOD(ROW()-1,7)+50)&lt;&gt;"","set "&amp;INDEX(CUEs!$A:$A,INT((ROW()-1)/7)*57+MOD(ROW()-1,7)+50)&amp;"=/ s "&amp;INDEX(CUEs!$B:$B,INT((ROW()-1)/7)*57+MOD(ROW()-1,7)+50),"")</f>
        <v/>
      </c>
    </row>
    <row r="4889" spans="1:1" x14ac:dyDescent="0.25">
      <c r="A4889" t="str" cm="1">
        <f t="array" ref="A4889">IF(INDEX(CUEs!$A:$A,INT((ROW()-1)/7)*57+MOD(ROW()-1,7)+50)&lt;&gt;"","set "&amp;INDEX(CUEs!$A:$A,INT((ROW()-1)/7)*57+MOD(ROW()-1,7)+50)&amp;"=/ s "&amp;INDEX(CUEs!$B:$B,INT((ROW()-1)/7)*57+MOD(ROW()-1,7)+50),"")</f>
        <v/>
      </c>
    </row>
    <row r="4890" spans="1:1" x14ac:dyDescent="0.25">
      <c r="A4890" t="str" cm="1">
        <f t="array" ref="A4890">IF(INDEX(CUEs!$A:$A,INT((ROW()-1)/7)*57+MOD(ROW()-1,7)+50)&lt;&gt;"","set "&amp;INDEX(CUEs!$A:$A,INT((ROW()-1)/7)*57+MOD(ROW()-1,7)+50)&amp;"=/ s "&amp;INDEX(CUEs!$B:$B,INT((ROW()-1)/7)*57+MOD(ROW()-1,7)+50),"")</f>
        <v/>
      </c>
    </row>
    <row r="4891" spans="1:1" x14ac:dyDescent="0.25">
      <c r="A4891" t="str" cm="1">
        <f t="array" ref="A4891">IF(INDEX(CUEs!$A:$A,INT((ROW()-1)/7)*57+MOD(ROW()-1,7)+50)&lt;&gt;"","set "&amp;INDEX(CUEs!$A:$A,INT((ROW()-1)/7)*57+MOD(ROW()-1,7)+50)&amp;"=/ s "&amp;INDEX(CUEs!$B:$B,INT((ROW()-1)/7)*57+MOD(ROW()-1,7)+50),"")</f>
        <v/>
      </c>
    </row>
    <row r="4892" spans="1:1" x14ac:dyDescent="0.25">
      <c r="A4892" t="str" cm="1">
        <f t="array" ref="A4892">IF(INDEX(CUEs!$A:$A,INT((ROW()-1)/7)*57+MOD(ROW()-1,7)+50)&lt;&gt;"","set "&amp;INDEX(CUEs!$A:$A,INT((ROW()-1)/7)*57+MOD(ROW()-1,7)+50)&amp;"=/ s "&amp;INDEX(CUEs!$B:$B,INT((ROW()-1)/7)*57+MOD(ROW()-1,7)+50),"")</f>
        <v/>
      </c>
    </row>
    <row r="4893" spans="1:1" x14ac:dyDescent="0.25">
      <c r="A4893" t="str" cm="1">
        <f t="array" ref="A4893">IF(INDEX(CUEs!$A:$A,INT((ROW()-1)/7)*57+MOD(ROW()-1,7)+50)&lt;&gt;"","set "&amp;INDEX(CUEs!$A:$A,INT((ROW()-1)/7)*57+MOD(ROW()-1,7)+50)&amp;"=/ s "&amp;INDEX(CUEs!$B:$B,INT((ROW()-1)/7)*57+MOD(ROW()-1,7)+50),"")</f>
        <v/>
      </c>
    </row>
    <row r="4894" spans="1:1" x14ac:dyDescent="0.25">
      <c r="A4894" t="str" cm="1">
        <f t="array" ref="A4894">IF(INDEX(CUEs!$A:$A,INT((ROW()-1)/7)*57+MOD(ROW()-1,7)+50)&lt;&gt;"","set "&amp;INDEX(CUEs!$A:$A,INT((ROW()-1)/7)*57+MOD(ROW()-1,7)+50)&amp;"=/ s "&amp;INDEX(CUEs!$B:$B,INT((ROW()-1)/7)*57+MOD(ROW()-1,7)+50),"")</f>
        <v/>
      </c>
    </row>
    <row r="4895" spans="1:1" x14ac:dyDescent="0.25">
      <c r="A4895" t="str" cm="1">
        <f t="array" ref="A4895">IF(INDEX(CUEs!$A:$A,INT((ROW()-1)/7)*57+MOD(ROW()-1,7)+50)&lt;&gt;"","set "&amp;INDEX(CUEs!$A:$A,INT((ROW()-1)/7)*57+MOD(ROW()-1,7)+50)&amp;"=/ s "&amp;INDEX(CUEs!$B:$B,INT((ROW()-1)/7)*57+MOD(ROW()-1,7)+50),"")</f>
        <v/>
      </c>
    </row>
    <row r="4896" spans="1:1" x14ac:dyDescent="0.25">
      <c r="A4896" t="str" cm="1">
        <f t="array" ref="A4896">IF(INDEX(CUEs!$A:$A,INT((ROW()-1)/7)*57+MOD(ROW()-1,7)+50)&lt;&gt;"","set "&amp;INDEX(CUEs!$A:$A,INT((ROW()-1)/7)*57+MOD(ROW()-1,7)+50)&amp;"=/ s "&amp;INDEX(CUEs!$B:$B,INT((ROW()-1)/7)*57+MOD(ROW()-1,7)+50),"")</f>
        <v/>
      </c>
    </row>
    <row r="4897" spans="1:1" x14ac:dyDescent="0.25">
      <c r="A4897" t="str" cm="1">
        <f t="array" ref="A4897">IF(INDEX(CUEs!$A:$A,INT((ROW()-1)/7)*57+MOD(ROW()-1,7)+50)&lt;&gt;"","set "&amp;INDEX(CUEs!$A:$A,INT((ROW()-1)/7)*57+MOD(ROW()-1,7)+50)&amp;"=/ s "&amp;INDEX(CUEs!$B:$B,INT((ROW()-1)/7)*57+MOD(ROW()-1,7)+50),"")</f>
        <v/>
      </c>
    </row>
    <row r="4898" spans="1:1" x14ac:dyDescent="0.25">
      <c r="A4898" t="str" cm="1">
        <f t="array" ref="A4898">IF(INDEX(CUEs!$A:$A,INT((ROW()-1)/7)*57+MOD(ROW()-1,7)+50)&lt;&gt;"","set "&amp;INDEX(CUEs!$A:$A,INT((ROW()-1)/7)*57+MOD(ROW()-1,7)+50)&amp;"=/ s "&amp;INDEX(CUEs!$B:$B,INT((ROW()-1)/7)*57+MOD(ROW()-1,7)+50),"")</f>
        <v/>
      </c>
    </row>
    <row r="4899" spans="1:1" x14ac:dyDescent="0.25">
      <c r="A4899" t="str" cm="1">
        <f t="array" ref="A4899">IF(INDEX(CUEs!$A:$A,INT((ROW()-1)/7)*57+MOD(ROW()-1,7)+50)&lt;&gt;"","set "&amp;INDEX(CUEs!$A:$A,INT((ROW()-1)/7)*57+MOD(ROW()-1,7)+50)&amp;"=/ s "&amp;INDEX(CUEs!$B:$B,INT((ROW()-1)/7)*57+MOD(ROW()-1,7)+50),"")</f>
        <v/>
      </c>
    </row>
    <row r="4900" spans="1:1" x14ac:dyDescent="0.25">
      <c r="A4900" t="str" cm="1">
        <f t="array" ref="A4900">IF(INDEX(CUEs!$A:$A,INT((ROW()-1)/7)*57+MOD(ROW()-1,7)+50)&lt;&gt;"","set "&amp;INDEX(CUEs!$A:$A,INT((ROW()-1)/7)*57+MOD(ROW()-1,7)+50)&amp;"=/ s "&amp;INDEX(CUEs!$B:$B,INT((ROW()-1)/7)*57+MOD(ROW()-1,7)+50),"")</f>
        <v/>
      </c>
    </row>
    <row r="4901" spans="1:1" x14ac:dyDescent="0.25">
      <c r="A4901" t="str" cm="1">
        <f t="array" ref="A4901">IF(INDEX(CUEs!$A:$A,INT((ROW()-1)/7)*57+MOD(ROW()-1,7)+50)&lt;&gt;"","set "&amp;INDEX(CUEs!$A:$A,INT((ROW()-1)/7)*57+MOD(ROW()-1,7)+50)&amp;"=/ s "&amp;INDEX(CUEs!$B:$B,INT((ROW()-1)/7)*57+MOD(ROW()-1,7)+50),"")</f>
        <v/>
      </c>
    </row>
    <row r="4902" spans="1:1" x14ac:dyDescent="0.25">
      <c r="A4902" t="str" cm="1">
        <f t="array" ref="A4902">IF(INDEX(CUEs!$A:$A,INT((ROW()-1)/7)*57+MOD(ROW()-1,7)+50)&lt;&gt;"","set "&amp;INDEX(CUEs!$A:$A,INT((ROW()-1)/7)*57+MOD(ROW()-1,7)+50)&amp;"=/ s "&amp;INDEX(CUEs!$B:$B,INT((ROW()-1)/7)*57+MOD(ROW()-1,7)+50),"")</f>
        <v/>
      </c>
    </row>
    <row r="4903" spans="1:1" x14ac:dyDescent="0.25">
      <c r="A4903" t="str" cm="1">
        <f t="array" ref="A4903">IF(INDEX(CUEs!$A:$A,INT((ROW()-1)/7)*57+MOD(ROW()-1,7)+50)&lt;&gt;"","set "&amp;INDEX(CUEs!$A:$A,INT((ROW()-1)/7)*57+MOD(ROW()-1,7)+50)&amp;"=/ s "&amp;INDEX(CUEs!$B:$B,INT((ROW()-1)/7)*57+MOD(ROW()-1,7)+50),"")</f>
        <v/>
      </c>
    </row>
    <row r="4904" spans="1:1" x14ac:dyDescent="0.25">
      <c r="A4904" t="str" cm="1">
        <f t="array" ref="A4904">IF(INDEX(CUEs!$A:$A,INT((ROW()-1)/7)*57+MOD(ROW()-1,7)+50)&lt;&gt;"","set "&amp;INDEX(CUEs!$A:$A,INT((ROW()-1)/7)*57+MOD(ROW()-1,7)+50)&amp;"=/ s "&amp;INDEX(CUEs!$B:$B,INT((ROW()-1)/7)*57+MOD(ROW()-1,7)+50),"")</f>
        <v/>
      </c>
    </row>
    <row r="4905" spans="1:1" x14ac:dyDescent="0.25">
      <c r="A4905" t="str" cm="1">
        <f t="array" ref="A4905">IF(INDEX(CUEs!$A:$A,INT((ROW()-1)/7)*57+MOD(ROW()-1,7)+50)&lt;&gt;"","set "&amp;INDEX(CUEs!$A:$A,INT((ROW()-1)/7)*57+MOD(ROW()-1,7)+50)&amp;"=/ s "&amp;INDEX(CUEs!$B:$B,INT((ROW()-1)/7)*57+MOD(ROW()-1,7)+50),"")</f>
        <v/>
      </c>
    </row>
    <row r="4906" spans="1:1" x14ac:dyDescent="0.25">
      <c r="A4906" t="str" cm="1">
        <f t="array" ref="A4906">IF(INDEX(CUEs!$A:$A,INT((ROW()-1)/7)*57+MOD(ROW()-1,7)+50)&lt;&gt;"","set "&amp;INDEX(CUEs!$A:$A,INT((ROW()-1)/7)*57+MOD(ROW()-1,7)+50)&amp;"=/ s "&amp;INDEX(CUEs!$B:$B,INT((ROW()-1)/7)*57+MOD(ROW()-1,7)+50),"")</f>
        <v/>
      </c>
    </row>
    <row r="4907" spans="1:1" x14ac:dyDescent="0.25">
      <c r="A4907" t="str" cm="1">
        <f t="array" ref="A4907">IF(INDEX(CUEs!$A:$A,INT((ROW()-1)/7)*57+MOD(ROW()-1,7)+50)&lt;&gt;"","set "&amp;INDEX(CUEs!$A:$A,INT((ROW()-1)/7)*57+MOD(ROW()-1,7)+50)&amp;"=/ s "&amp;INDEX(CUEs!$B:$B,INT((ROW()-1)/7)*57+MOD(ROW()-1,7)+50),"")</f>
        <v/>
      </c>
    </row>
    <row r="4908" spans="1:1" x14ac:dyDescent="0.25">
      <c r="A4908" t="str" cm="1">
        <f t="array" ref="A4908">IF(INDEX(CUEs!$A:$A,INT((ROW()-1)/7)*57+MOD(ROW()-1,7)+50)&lt;&gt;"","set "&amp;INDEX(CUEs!$A:$A,INT((ROW()-1)/7)*57+MOD(ROW()-1,7)+50)&amp;"=/ s "&amp;INDEX(CUEs!$B:$B,INT((ROW()-1)/7)*57+MOD(ROW()-1,7)+50),"")</f>
        <v/>
      </c>
    </row>
    <row r="4909" spans="1:1" x14ac:dyDescent="0.25">
      <c r="A4909" t="str" cm="1">
        <f t="array" ref="A4909">IF(INDEX(CUEs!$A:$A,INT((ROW()-1)/7)*57+MOD(ROW()-1,7)+50)&lt;&gt;"","set "&amp;INDEX(CUEs!$A:$A,INT((ROW()-1)/7)*57+MOD(ROW()-1,7)+50)&amp;"=/ s "&amp;INDEX(CUEs!$B:$B,INT((ROW()-1)/7)*57+MOD(ROW()-1,7)+50),"")</f>
        <v/>
      </c>
    </row>
    <row r="4910" spans="1:1" x14ac:dyDescent="0.25">
      <c r="A4910" t="str" cm="1">
        <f t="array" ref="A4910">IF(INDEX(CUEs!$A:$A,INT((ROW()-1)/7)*57+MOD(ROW()-1,7)+50)&lt;&gt;"","set "&amp;INDEX(CUEs!$A:$A,INT((ROW()-1)/7)*57+MOD(ROW()-1,7)+50)&amp;"=/ s "&amp;INDEX(CUEs!$B:$B,INT((ROW()-1)/7)*57+MOD(ROW()-1,7)+50),"")</f>
        <v/>
      </c>
    </row>
    <row r="4911" spans="1:1" x14ac:dyDescent="0.25">
      <c r="A4911" t="str" cm="1">
        <f t="array" ref="A4911">IF(INDEX(CUEs!$A:$A,INT((ROW()-1)/7)*57+MOD(ROW()-1,7)+50)&lt;&gt;"","set "&amp;INDEX(CUEs!$A:$A,INT((ROW()-1)/7)*57+MOD(ROW()-1,7)+50)&amp;"=/ s "&amp;INDEX(CUEs!$B:$B,INT((ROW()-1)/7)*57+MOD(ROW()-1,7)+50),"")</f>
        <v/>
      </c>
    </row>
    <row r="4912" spans="1:1" x14ac:dyDescent="0.25">
      <c r="A4912" t="str" cm="1">
        <f t="array" ref="A4912">IF(INDEX(CUEs!$A:$A,INT((ROW()-1)/7)*57+MOD(ROW()-1,7)+50)&lt;&gt;"","set "&amp;INDEX(CUEs!$A:$A,INT((ROW()-1)/7)*57+MOD(ROW()-1,7)+50)&amp;"=/ s "&amp;INDEX(CUEs!$B:$B,INT((ROW()-1)/7)*57+MOD(ROW()-1,7)+50),"")</f>
        <v/>
      </c>
    </row>
    <row r="4913" spans="1:1" x14ac:dyDescent="0.25">
      <c r="A4913" t="str" cm="1">
        <f t="array" ref="A4913">IF(INDEX(CUEs!$A:$A,INT((ROW()-1)/7)*57+MOD(ROW()-1,7)+50)&lt;&gt;"","set "&amp;INDEX(CUEs!$A:$A,INT((ROW()-1)/7)*57+MOD(ROW()-1,7)+50)&amp;"=/ s "&amp;INDEX(CUEs!$B:$B,INT((ROW()-1)/7)*57+MOD(ROW()-1,7)+50),"")</f>
        <v/>
      </c>
    </row>
    <row r="4914" spans="1:1" x14ac:dyDescent="0.25">
      <c r="A4914" t="str" cm="1">
        <f t="array" ref="A4914">IF(INDEX(CUEs!$A:$A,INT((ROW()-1)/7)*57+MOD(ROW()-1,7)+50)&lt;&gt;"","set "&amp;INDEX(CUEs!$A:$A,INT((ROW()-1)/7)*57+MOD(ROW()-1,7)+50)&amp;"=/ s "&amp;INDEX(CUEs!$B:$B,INT((ROW()-1)/7)*57+MOD(ROW()-1,7)+50),"")</f>
        <v/>
      </c>
    </row>
    <row r="4915" spans="1:1" x14ac:dyDescent="0.25">
      <c r="A4915" t="str" cm="1">
        <f t="array" ref="A4915">IF(INDEX(CUEs!$A:$A,INT((ROW()-1)/7)*57+MOD(ROW()-1,7)+50)&lt;&gt;"","set "&amp;INDEX(CUEs!$A:$A,INT((ROW()-1)/7)*57+MOD(ROW()-1,7)+50)&amp;"=/ s "&amp;INDEX(CUEs!$B:$B,INT((ROW()-1)/7)*57+MOD(ROW()-1,7)+50),"")</f>
        <v/>
      </c>
    </row>
    <row r="4916" spans="1:1" x14ac:dyDescent="0.25">
      <c r="A4916" t="str" cm="1">
        <f t="array" ref="A4916">IF(INDEX(CUEs!$A:$A,INT((ROW()-1)/7)*57+MOD(ROW()-1,7)+50)&lt;&gt;"","set "&amp;INDEX(CUEs!$A:$A,INT((ROW()-1)/7)*57+MOD(ROW()-1,7)+50)&amp;"=/ s "&amp;INDEX(CUEs!$B:$B,INT((ROW()-1)/7)*57+MOD(ROW()-1,7)+50),"")</f>
        <v/>
      </c>
    </row>
    <row r="4917" spans="1:1" x14ac:dyDescent="0.25">
      <c r="A4917" t="str" cm="1">
        <f t="array" ref="A4917">IF(INDEX(CUEs!$A:$A,INT((ROW()-1)/7)*57+MOD(ROW()-1,7)+50)&lt;&gt;"","set "&amp;INDEX(CUEs!$A:$A,INT((ROW()-1)/7)*57+MOD(ROW()-1,7)+50)&amp;"=/ s "&amp;INDEX(CUEs!$B:$B,INT((ROW()-1)/7)*57+MOD(ROW()-1,7)+50),"")</f>
        <v/>
      </c>
    </row>
    <row r="4918" spans="1:1" x14ac:dyDescent="0.25">
      <c r="A4918" t="str" cm="1">
        <f t="array" ref="A4918">IF(INDEX(CUEs!$A:$A,INT((ROW()-1)/7)*57+MOD(ROW()-1,7)+50)&lt;&gt;"","set "&amp;INDEX(CUEs!$A:$A,INT((ROW()-1)/7)*57+MOD(ROW()-1,7)+50)&amp;"=/ s "&amp;INDEX(CUEs!$B:$B,INT((ROW()-1)/7)*57+MOD(ROW()-1,7)+50),"")</f>
        <v/>
      </c>
    </row>
    <row r="4919" spans="1:1" x14ac:dyDescent="0.25">
      <c r="A4919" t="str" cm="1">
        <f t="array" ref="A4919">IF(INDEX(CUEs!$A:$A,INT((ROW()-1)/7)*57+MOD(ROW()-1,7)+50)&lt;&gt;"","set "&amp;INDEX(CUEs!$A:$A,INT((ROW()-1)/7)*57+MOD(ROW()-1,7)+50)&amp;"=/ s "&amp;INDEX(CUEs!$B:$B,INT((ROW()-1)/7)*57+MOD(ROW()-1,7)+50),"")</f>
        <v/>
      </c>
    </row>
    <row r="4920" spans="1:1" x14ac:dyDescent="0.25">
      <c r="A4920" t="str" cm="1">
        <f t="array" ref="A4920">IF(INDEX(CUEs!$A:$A,INT((ROW()-1)/7)*57+MOD(ROW()-1,7)+50)&lt;&gt;"","set "&amp;INDEX(CUEs!$A:$A,INT((ROW()-1)/7)*57+MOD(ROW()-1,7)+50)&amp;"=/ s "&amp;INDEX(CUEs!$B:$B,INT((ROW()-1)/7)*57+MOD(ROW()-1,7)+50),"")</f>
        <v/>
      </c>
    </row>
    <row r="4921" spans="1:1" x14ac:dyDescent="0.25">
      <c r="A4921" t="str" cm="1">
        <f t="array" ref="A4921">IF(INDEX(CUEs!$A:$A,INT((ROW()-1)/7)*57+MOD(ROW()-1,7)+50)&lt;&gt;"","set "&amp;INDEX(CUEs!$A:$A,INT((ROW()-1)/7)*57+MOD(ROW()-1,7)+50)&amp;"=/ s "&amp;INDEX(CUEs!$B:$B,INT((ROW()-1)/7)*57+MOD(ROW()-1,7)+50),"")</f>
        <v/>
      </c>
    </row>
    <row r="4922" spans="1:1" x14ac:dyDescent="0.25">
      <c r="A4922" t="str" cm="1">
        <f t="array" ref="A4922">IF(INDEX(CUEs!$A:$A,INT((ROW()-1)/7)*57+MOD(ROW()-1,7)+50)&lt;&gt;"","set "&amp;INDEX(CUEs!$A:$A,INT((ROW()-1)/7)*57+MOD(ROW()-1,7)+50)&amp;"=/ s "&amp;INDEX(CUEs!$B:$B,INT((ROW()-1)/7)*57+MOD(ROW()-1,7)+50),"")</f>
        <v/>
      </c>
    </row>
    <row r="4923" spans="1:1" x14ac:dyDescent="0.25">
      <c r="A4923" t="str" cm="1">
        <f t="array" ref="A4923">IF(INDEX(CUEs!$A:$A,INT((ROW()-1)/7)*57+MOD(ROW()-1,7)+50)&lt;&gt;"","set "&amp;INDEX(CUEs!$A:$A,INT((ROW()-1)/7)*57+MOD(ROW()-1,7)+50)&amp;"=/ s "&amp;INDEX(CUEs!$B:$B,INT((ROW()-1)/7)*57+MOD(ROW()-1,7)+50),"")</f>
        <v/>
      </c>
    </row>
    <row r="4924" spans="1:1" x14ac:dyDescent="0.25">
      <c r="A4924" t="str" cm="1">
        <f t="array" ref="A4924">IF(INDEX(CUEs!$A:$A,INT((ROW()-1)/7)*57+MOD(ROW()-1,7)+50)&lt;&gt;"","set "&amp;INDEX(CUEs!$A:$A,INT((ROW()-1)/7)*57+MOD(ROW()-1,7)+50)&amp;"=/ s "&amp;INDEX(CUEs!$B:$B,INT((ROW()-1)/7)*57+MOD(ROW()-1,7)+50),"")</f>
        <v/>
      </c>
    </row>
    <row r="4925" spans="1:1" x14ac:dyDescent="0.25">
      <c r="A4925" t="str" cm="1">
        <f t="array" ref="A4925">IF(INDEX(CUEs!$A:$A,INT((ROW()-1)/7)*57+MOD(ROW()-1,7)+50)&lt;&gt;"","set "&amp;INDEX(CUEs!$A:$A,INT((ROW()-1)/7)*57+MOD(ROW()-1,7)+50)&amp;"=/ s "&amp;INDEX(CUEs!$B:$B,INT((ROW()-1)/7)*57+MOD(ROW()-1,7)+50),"")</f>
        <v/>
      </c>
    </row>
    <row r="4926" spans="1:1" x14ac:dyDescent="0.25">
      <c r="A4926" t="str" cm="1">
        <f t="array" ref="A4926">IF(INDEX(CUEs!$A:$A,INT((ROW()-1)/7)*57+MOD(ROW()-1,7)+50)&lt;&gt;"","set "&amp;INDEX(CUEs!$A:$A,INT((ROW()-1)/7)*57+MOD(ROW()-1,7)+50)&amp;"=/ s "&amp;INDEX(CUEs!$B:$B,INT((ROW()-1)/7)*57+MOD(ROW()-1,7)+50),"")</f>
        <v/>
      </c>
    </row>
    <row r="4927" spans="1:1" x14ac:dyDescent="0.25">
      <c r="A4927" t="str" cm="1">
        <f t="array" ref="A4927">IF(INDEX(CUEs!$A:$A,INT((ROW()-1)/7)*57+MOD(ROW()-1,7)+50)&lt;&gt;"","set "&amp;INDEX(CUEs!$A:$A,INT((ROW()-1)/7)*57+MOD(ROW()-1,7)+50)&amp;"=/ s "&amp;INDEX(CUEs!$B:$B,INT((ROW()-1)/7)*57+MOD(ROW()-1,7)+50),"")</f>
        <v/>
      </c>
    </row>
    <row r="4928" spans="1:1" x14ac:dyDescent="0.25">
      <c r="A4928" t="str" cm="1">
        <f t="array" ref="A4928">IF(INDEX(CUEs!$A:$A,INT((ROW()-1)/7)*57+MOD(ROW()-1,7)+50)&lt;&gt;"","set "&amp;INDEX(CUEs!$A:$A,INT((ROW()-1)/7)*57+MOD(ROW()-1,7)+50)&amp;"=/ s "&amp;INDEX(CUEs!$B:$B,INT((ROW()-1)/7)*57+MOD(ROW()-1,7)+50),"")</f>
        <v/>
      </c>
    </row>
    <row r="4929" spans="1:1" x14ac:dyDescent="0.25">
      <c r="A4929" t="str" cm="1">
        <f t="array" ref="A4929">IF(INDEX(CUEs!$A:$A,INT((ROW()-1)/7)*57+MOD(ROW()-1,7)+50)&lt;&gt;"","set "&amp;INDEX(CUEs!$A:$A,INT((ROW()-1)/7)*57+MOD(ROW()-1,7)+50)&amp;"=/ s "&amp;INDEX(CUEs!$B:$B,INT((ROW()-1)/7)*57+MOD(ROW()-1,7)+50),"")</f>
        <v/>
      </c>
    </row>
    <row r="4930" spans="1:1" x14ac:dyDescent="0.25">
      <c r="A4930" t="str" cm="1">
        <f t="array" ref="A4930">IF(INDEX(CUEs!$A:$A,INT((ROW()-1)/7)*57+MOD(ROW()-1,7)+50)&lt;&gt;"","set "&amp;INDEX(CUEs!$A:$A,INT((ROW()-1)/7)*57+MOD(ROW()-1,7)+50)&amp;"=/ s "&amp;INDEX(CUEs!$B:$B,INT((ROW()-1)/7)*57+MOD(ROW()-1,7)+50),"")</f>
        <v/>
      </c>
    </row>
    <row r="4931" spans="1:1" x14ac:dyDescent="0.25">
      <c r="A4931" t="str" cm="1">
        <f t="array" ref="A4931">IF(INDEX(CUEs!$A:$A,INT((ROW()-1)/7)*57+MOD(ROW()-1,7)+50)&lt;&gt;"","set "&amp;INDEX(CUEs!$A:$A,INT((ROW()-1)/7)*57+MOD(ROW()-1,7)+50)&amp;"=/ s "&amp;INDEX(CUEs!$B:$B,INT((ROW()-1)/7)*57+MOD(ROW()-1,7)+50),"")</f>
        <v/>
      </c>
    </row>
    <row r="4932" spans="1:1" x14ac:dyDescent="0.25">
      <c r="A4932" t="str" cm="1">
        <f t="array" ref="A4932">IF(INDEX(CUEs!$A:$A,INT((ROW()-1)/7)*57+MOD(ROW()-1,7)+50)&lt;&gt;"","set "&amp;INDEX(CUEs!$A:$A,INT((ROW()-1)/7)*57+MOD(ROW()-1,7)+50)&amp;"=/ s "&amp;INDEX(CUEs!$B:$B,INT((ROW()-1)/7)*57+MOD(ROW()-1,7)+50),"")</f>
        <v/>
      </c>
    </row>
    <row r="4933" spans="1:1" x14ac:dyDescent="0.25">
      <c r="A4933" t="str" cm="1">
        <f t="array" ref="A4933">IF(INDEX(CUEs!$A:$A,INT((ROW()-1)/7)*57+MOD(ROW()-1,7)+50)&lt;&gt;"","set "&amp;INDEX(CUEs!$A:$A,INT((ROW()-1)/7)*57+MOD(ROW()-1,7)+50)&amp;"=/ s "&amp;INDEX(CUEs!$B:$B,INT((ROW()-1)/7)*57+MOD(ROW()-1,7)+50),"")</f>
        <v/>
      </c>
    </row>
    <row r="4934" spans="1:1" x14ac:dyDescent="0.25">
      <c r="A4934" t="str" cm="1">
        <f t="array" ref="A4934">IF(INDEX(CUEs!$A:$A,INT((ROW()-1)/7)*57+MOD(ROW()-1,7)+50)&lt;&gt;"","set "&amp;INDEX(CUEs!$A:$A,INT((ROW()-1)/7)*57+MOD(ROW()-1,7)+50)&amp;"=/ s "&amp;INDEX(CUEs!$B:$B,INT((ROW()-1)/7)*57+MOD(ROW()-1,7)+50),"")</f>
        <v/>
      </c>
    </row>
    <row r="4935" spans="1:1" x14ac:dyDescent="0.25">
      <c r="A4935" t="str" cm="1">
        <f t="array" ref="A4935">IF(INDEX(CUEs!$A:$A,INT((ROW()-1)/7)*57+MOD(ROW()-1,7)+50)&lt;&gt;"","set "&amp;INDEX(CUEs!$A:$A,INT((ROW()-1)/7)*57+MOD(ROW()-1,7)+50)&amp;"=/ s "&amp;INDEX(CUEs!$B:$B,INT((ROW()-1)/7)*57+MOD(ROW()-1,7)+50),"")</f>
        <v/>
      </c>
    </row>
    <row r="4936" spans="1:1" x14ac:dyDescent="0.25">
      <c r="A4936" t="str" cm="1">
        <f t="array" ref="A4936">IF(INDEX(CUEs!$A:$A,INT((ROW()-1)/7)*57+MOD(ROW()-1,7)+50)&lt;&gt;"","set "&amp;INDEX(CUEs!$A:$A,INT((ROW()-1)/7)*57+MOD(ROW()-1,7)+50)&amp;"=/ s "&amp;INDEX(CUEs!$B:$B,INT((ROW()-1)/7)*57+MOD(ROW()-1,7)+50),"")</f>
        <v/>
      </c>
    </row>
    <row r="4937" spans="1:1" x14ac:dyDescent="0.25">
      <c r="A4937" t="str" cm="1">
        <f t="array" ref="A4937">IF(INDEX(CUEs!$A:$A,INT((ROW()-1)/7)*57+MOD(ROW()-1,7)+50)&lt;&gt;"","set "&amp;INDEX(CUEs!$A:$A,INT((ROW()-1)/7)*57+MOD(ROW()-1,7)+50)&amp;"=/ s "&amp;INDEX(CUEs!$B:$B,INT((ROW()-1)/7)*57+MOD(ROW()-1,7)+50),"")</f>
        <v/>
      </c>
    </row>
    <row r="4938" spans="1:1" x14ac:dyDescent="0.25">
      <c r="A4938" t="str" cm="1">
        <f t="array" ref="A4938">IF(INDEX(CUEs!$A:$A,INT((ROW()-1)/7)*57+MOD(ROW()-1,7)+50)&lt;&gt;"","set "&amp;INDEX(CUEs!$A:$A,INT((ROW()-1)/7)*57+MOD(ROW()-1,7)+50)&amp;"=/ s "&amp;INDEX(CUEs!$B:$B,INT((ROW()-1)/7)*57+MOD(ROW()-1,7)+50),"")</f>
        <v/>
      </c>
    </row>
    <row r="4939" spans="1:1" x14ac:dyDescent="0.25">
      <c r="A4939" t="str" cm="1">
        <f t="array" ref="A4939">IF(INDEX(CUEs!$A:$A,INT((ROW()-1)/7)*57+MOD(ROW()-1,7)+50)&lt;&gt;"","set "&amp;INDEX(CUEs!$A:$A,INT((ROW()-1)/7)*57+MOD(ROW()-1,7)+50)&amp;"=/ s "&amp;INDEX(CUEs!$B:$B,INT((ROW()-1)/7)*57+MOD(ROW()-1,7)+50),"")</f>
        <v/>
      </c>
    </row>
    <row r="4940" spans="1:1" x14ac:dyDescent="0.25">
      <c r="A4940" t="str" cm="1">
        <f t="array" ref="A4940">IF(INDEX(CUEs!$A:$A,INT((ROW()-1)/7)*57+MOD(ROW()-1,7)+50)&lt;&gt;"","set "&amp;INDEX(CUEs!$A:$A,INT((ROW()-1)/7)*57+MOD(ROW()-1,7)+50)&amp;"=/ s "&amp;INDEX(CUEs!$B:$B,INT((ROW()-1)/7)*57+MOD(ROW()-1,7)+50),"")</f>
        <v/>
      </c>
    </row>
    <row r="4941" spans="1:1" x14ac:dyDescent="0.25">
      <c r="A4941" t="str" cm="1">
        <f t="array" ref="A4941">IF(INDEX(CUEs!$A:$A,INT((ROW()-1)/7)*57+MOD(ROW()-1,7)+50)&lt;&gt;"","set "&amp;INDEX(CUEs!$A:$A,INT((ROW()-1)/7)*57+MOD(ROW()-1,7)+50)&amp;"=/ s "&amp;INDEX(CUEs!$B:$B,INT((ROW()-1)/7)*57+MOD(ROW()-1,7)+50),"")</f>
        <v/>
      </c>
    </row>
    <row r="4942" spans="1:1" x14ac:dyDescent="0.25">
      <c r="A4942" t="str" cm="1">
        <f t="array" ref="A4942">IF(INDEX(CUEs!$A:$A,INT((ROW()-1)/7)*57+MOD(ROW()-1,7)+50)&lt;&gt;"","set "&amp;INDEX(CUEs!$A:$A,INT((ROW()-1)/7)*57+MOD(ROW()-1,7)+50)&amp;"=/ s "&amp;INDEX(CUEs!$B:$B,INT((ROW()-1)/7)*57+MOD(ROW()-1,7)+50),"")</f>
        <v/>
      </c>
    </row>
    <row r="4943" spans="1:1" x14ac:dyDescent="0.25">
      <c r="A4943" t="str" cm="1">
        <f t="array" ref="A4943">IF(INDEX(CUEs!$A:$A,INT((ROW()-1)/7)*57+MOD(ROW()-1,7)+50)&lt;&gt;"","set "&amp;INDEX(CUEs!$A:$A,INT((ROW()-1)/7)*57+MOD(ROW()-1,7)+50)&amp;"=/ s "&amp;INDEX(CUEs!$B:$B,INT((ROW()-1)/7)*57+MOD(ROW()-1,7)+50),"")</f>
        <v/>
      </c>
    </row>
    <row r="4944" spans="1:1" x14ac:dyDescent="0.25">
      <c r="A4944" t="str" cm="1">
        <f t="array" ref="A4944">IF(INDEX(CUEs!$A:$A,INT((ROW()-1)/7)*57+MOD(ROW()-1,7)+50)&lt;&gt;"","set "&amp;INDEX(CUEs!$A:$A,INT((ROW()-1)/7)*57+MOD(ROW()-1,7)+50)&amp;"=/ s "&amp;INDEX(CUEs!$B:$B,INT((ROW()-1)/7)*57+MOD(ROW()-1,7)+50),"")</f>
        <v/>
      </c>
    </row>
    <row r="4945" spans="1:1" x14ac:dyDescent="0.25">
      <c r="A4945" t="str" cm="1">
        <f t="array" ref="A4945">IF(INDEX(CUEs!$A:$A,INT((ROW()-1)/7)*57+MOD(ROW()-1,7)+50)&lt;&gt;"","set "&amp;INDEX(CUEs!$A:$A,INT((ROW()-1)/7)*57+MOD(ROW()-1,7)+50)&amp;"=/ s "&amp;INDEX(CUEs!$B:$B,INT((ROW()-1)/7)*57+MOD(ROW()-1,7)+50),"")</f>
        <v/>
      </c>
    </row>
    <row r="4946" spans="1:1" x14ac:dyDescent="0.25">
      <c r="A4946" t="str" cm="1">
        <f t="array" ref="A4946">IF(INDEX(CUEs!$A:$A,INT((ROW()-1)/7)*57+MOD(ROW()-1,7)+50)&lt;&gt;"","set "&amp;INDEX(CUEs!$A:$A,INT((ROW()-1)/7)*57+MOD(ROW()-1,7)+50)&amp;"=/ s "&amp;INDEX(CUEs!$B:$B,INT((ROW()-1)/7)*57+MOD(ROW()-1,7)+50),"")</f>
        <v/>
      </c>
    </row>
    <row r="4947" spans="1:1" x14ac:dyDescent="0.25">
      <c r="A4947" t="str" cm="1">
        <f t="array" ref="A4947">IF(INDEX(CUEs!$A:$A,INT((ROW()-1)/7)*57+MOD(ROW()-1,7)+50)&lt;&gt;"","set "&amp;INDEX(CUEs!$A:$A,INT((ROW()-1)/7)*57+MOD(ROW()-1,7)+50)&amp;"=/ s "&amp;INDEX(CUEs!$B:$B,INT((ROW()-1)/7)*57+MOD(ROW()-1,7)+50),"")</f>
        <v/>
      </c>
    </row>
    <row r="4948" spans="1:1" x14ac:dyDescent="0.25">
      <c r="A4948" t="str" cm="1">
        <f t="array" ref="A4948">IF(INDEX(CUEs!$A:$A,INT((ROW()-1)/7)*57+MOD(ROW()-1,7)+50)&lt;&gt;"","set "&amp;INDEX(CUEs!$A:$A,INT((ROW()-1)/7)*57+MOD(ROW()-1,7)+50)&amp;"=/ s "&amp;INDEX(CUEs!$B:$B,INT((ROW()-1)/7)*57+MOD(ROW()-1,7)+50),"")</f>
        <v/>
      </c>
    </row>
    <row r="4949" spans="1:1" x14ac:dyDescent="0.25">
      <c r="A4949" t="str" cm="1">
        <f t="array" ref="A4949">IF(INDEX(CUEs!$A:$A,INT((ROW()-1)/7)*57+MOD(ROW()-1,7)+50)&lt;&gt;"","set "&amp;INDEX(CUEs!$A:$A,INT((ROW()-1)/7)*57+MOD(ROW()-1,7)+50)&amp;"=/ s "&amp;INDEX(CUEs!$B:$B,INT((ROW()-1)/7)*57+MOD(ROW()-1,7)+50),"")</f>
        <v/>
      </c>
    </row>
    <row r="4950" spans="1:1" x14ac:dyDescent="0.25">
      <c r="A4950" t="str" cm="1">
        <f t="array" ref="A4950">IF(INDEX(CUEs!$A:$A,INT((ROW()-1)/7)*57+MOD(ROW()-1,7)+50)&lt;&gt;"","set "&amp;INDEX(CUEs!$A:$A,INT((ROW()-1)/7)*57+MOD(ROW()-1,7)+50)&amp;"=/ s "&amp;INDEX(CUEs!$B:$B,INT((ROW()-1)/7)*57+MOD(ROW()-1,7)+50),"")</f>
        <v/>
      </c>
    </row>
    <row r="4951" spans="1:1" x14ac:dyDescent="0.25">
      <c r="A4951" t="str" cm="1">
        <f t="array" ref="A4951">IF(INDEX(CUEs!$A:$A,INT((ROW()-1)/7)*57+MOD(ROW()-1,7)+50)&lt;&gt;"","set "&amp;INDEX(CUEs!$A:$A,INT((ROW()-1)/7)*57+MOD(ROW()-1,7)+50)&amp;"=/ s "&amp;INDEX(CUEs!$B:$B,INT((ROW()-1)/7)*57+MOD(ROW()-1,7)+50),"")</f>
        <v/>
      </c>
    </row>
    <row r="4952" spans="1:1" x14ac:dyDescent="0.25">
      <c r="A4952" t="str" cm="1">
        <f t="array" ref="A4952">IF(INDEX(CUEs!$A:$A,INT((ROW()-1)/7)*57+MOD(ROW()-1,7)+50)&lt;&gt;"","set "&amp;INDEX(CUEs!$A:$A,INT((ROW()-1)/7)*57+MOD(ROW()-1,7)+50)&amp;"=/ s "&amp;INDEX(CUEs!$B:$B,INT((ROW()-1)/7)*57+MOD(ROW()-1,7)+50),"")</f>
        <v/>
      </c>
    </row>
    <row r="4953" spans="1:1" x14ac:dyDescent="0.25">
      <c r="A4953" t="str" cm="1">
        <f t="array" ref="A4953">IF(INDEX(CUEs!$A:$A,INT((ROW()-1)/7)*57+MOD(ROW()-1,7)+50)&lt;&gt;"","set "&amp;INDEX(CUEs!$A:$A,INT((ROW()-1)/7)*57+MOD(ROW()-1,7)+50)&amp;"=/ s "&amp;INDEX(CUEs!$B:$B,INT((ROW()-1)/7)*57+MOD(ROW()-1,7)+50),"")</f>
        <v/>
      </c>
    </row>
    <row r="4954" spans="1:1" x14ac:dyDescent="0.25">
      <c r="A4954" t="str" cm="1">
        <f t="array" ref="A4954">IF(INDEX(CUEs!$A:$A,INT((ROW()-1)/7)*57+MOD(ROW()-1,7)+50)&lt;&gt;"","set "&amp;INDEX(CUEs!$A:$A,INT((ROW()-1)/7)*57+MOD(ROW()-1,7)+50)&amp;"=/ s "&amp;INDEX(CUEs!$B:$B,INT((ROW()-1)/7)*57+MOD(ROW()-1,7)+50),"")</f>
        <v/>
      </c>
    </row>
    <row r="4955" spans="1:1" x14ac:dyDescent="0.25">
      <c r="A4955" t="str" cm="1">
        <f t="array" ref="A4955">IF(INDEX(CUEs!$A:$A,INT((ROW()-1)/7)*57+MOD(ROW()-1,7)+50)&lt;&gt;"","set "&amp;INDEX(CUEs!$A:$A,INT((ROW()-1)/7)*57+MOD(ROW()-1,7)+50)&amp;"=/ s "&amp;INDEX(CUEs!$B:$B,INT((ROW()-1)/7)*57+MOD(ROW()-1,7)+50),"")</f>
        <v/>
      </c>
    </row>
    <row r="4956" spans="1:1" x14ac:dyDescent="0.25">
      <c r="A4956" t="str" cm="1">
        <f t="array" ref="A4956">IF(INDEX(CUEs!$A:$A,INT((ROW()-1)/7)*57+MOD(ROW()-1,7)+50)&lt;&gt;"","set "&amp;INDEX(CUEs!$A:$A,INT((ROW()-1)/7)*57+MOD(ROW()-1,7)+50)&amp;"=/ s "&amp;INDEX(CUEs!$B:$B,INT((ROW()-1)/7)*57+MOD(ROW()-1,7)+50),"")</f>
        <v/>
      </c>
    </row>
    <row r="4957" spans="1:1" x14ac:dyDescent="0.25">
      <c r="A4957" t="str" cm="1">
        <f t="array" ref="A4957">IF(INDEX(CUEs!$A:$A,INT((ROW()-1)/7)*57+MOD(ROW()-1,7)+50)&lt;&gt;"","set "&amp;INDEX(CUEs!$A:$A,INT((ROW()-1)/7)*57+MOD(ROW()-1,7)+50)&amp;"=/ s "&amp;INDEX(CUEs!$B:$B,INT((ROW()-1)/7)*57+MOD(ROW()-1,7)+50),"")</f>
        <v/>
      </c>
    </row>
    <row r="4958" spans="1:1" x14ac:dyDescent="0.25">
      <c r="A4958" t="str" cm="1">
        <f t="array" ref="A4958">IF(INDEX(CUEs!$A:$A,INT((ROW()-1)/7)*57+MOD(ROW()-1,7)+50)&lt;&gt;"","set "&amp;INDEX(CUEs!$A:$A,INT((ROW()-1)/7)*57+MOD(ROW()-1,7)+50)&amp;"=/ s "&amp;INDEX(CUEs!$B:$B,INT((ROW()-1)/7)*57+MOD(ROW()-1,7)+50),"")</f>
        <v/>
      </c>
    </row>
    <row r="4959" spans="1:1" x14ac:dyDescent="0.25">
      <c r="A4959" t="str" cm="1">
        <f t="array" ref="A4959">IF(INDEX(CUEs!$A:$A,INT((ROW()-1)/7)*57+MOD(ROW()-1,7)+50)&lt;&gt;"","set "&amp;INDEX(CUEs!$A:$A,INT((ROW()-1)/7)*57+MOD(ROW()-1,7)+50)&amp;"=/ s "&amp;INDEX(CUEs!$B:$B,INT((ROW()-1)/7)*57+MOD(ROW()-1,7)+50),"")</f>
        <v/>
      </c>
    </row>
    <row r="4960" spans="1:1" x14ac:dyDescent="0.25">
      <c r="A4960" t="str" cm="1">
        <f t="array" ref="A4960">IF(INDEX(CUEs!$A:$A,INT((ROW()-1)/7)*57+MOD(ROW()-1,7)+50)&lt;&gt;"","set "&amp;INDEX(CUEs!$A:$A,INT((ROW()-1)/7)*57+MOD(ROW()-1,7)+50)&amp;"=/ s "&amp;INDEX(CUEs!$B:$B,INT((ROW()-1)/7)*57+MOD(ROW()-1,7)+50),"")</f>
        <v/>
      </c>
    </row>
    <row r="4961" spans="1:1" x14ac:dyDescent="0.25">
      <c r="A4961" t="str" cm="1">
        <f t="array" ref="A4961">IF(INDEX(CUEs!$A:$A,INT((ROW()-1)/7)*57+MOD(ROW()-1,7)+50)&lt;&gt;"","set "&amp;INDEX(CUEs!$A:$A,INT((ROW()-1)/7)*57+MOD(ROW()-1,7)+50)&amp;"=/ s "&amp;INDEX(CUEs!$B:$B,INT((ROW()-1)/7)*57+MOD(ROW()-1,7)+50),"")</f>
        <v/>
      </c>
    </row>
    <row r="4962" spans="1:1" x14ac:dyDescent="0.25">
      <c r="A4962" t="str" cm="1">
        <f t="array" ref="A4962">IF(INDEX(CUEs!$A:$A,INT((ROW()-1)/7)*57+MOD(ROW()-1,7)+50)&lt;&gt;"","set "&amp;INDEX(CUEs!$A:$A,INT((ROW()-1)/7)*57+MOD(ROW()-1,7)+50)&amp;"=/ s "&amp;INDEX(CUEs!$B:$B,INT((ROW()-1)/7)*57+MOD(ROW()-1,7)+50),"")</f>
        <v/>
      </c>
    </row>
    <row r="4963" spans="1:1" x14ac:dyDescent="0.25">
      <c r="A4963" t="str" cm="1">
        <f t="array" ref="A4963">IF(INDEX(CUEs!$A:$A,INT((ROW()-1)/7)*57+MOD(ROW()-1,7)+50)&lt;&gt;"","set "&amp;INDEX(CUEs!$A:$A,INT((ROW()-1)/7)*57+MOD(ROW()-1,7)+50)&amp;"=/ s "&amp;INDEX(CUEs!$B:$B,INT((ROW()-1)/7)*57+MOD(ROW()-1,7)+50),"")</f>
        <v/>
      </c>
    </row>
    <row r="4964" spans="1:1" x14ac:dyDescent="0.25">
      <c r="A4964" t="str" cm="1">
        <f t="array" ref="A4964">IF(INDEX(CUEs!$A:$A,INT((ROW()-1)/7)*57+MOD(ROW()-1,7)+50)&lt;&gt;"","set "&amp;INDEX(CUEs!$A:$A,INT((ROW()-1)/7)*57+MOD(ROW()-1,7)+50)&amp;"=/ s "&amp;INDEX(CUEs!$B:$B,INT((ROW()-1)/7)*57+MOD(ROW()-1,7)+50),"")</f>
        <v/>
      </c>
    </row>
    <row r="4965" spans="1:1" x14ac:dyDescent="0.25">
      <c r="A4965" t="str" cm="1">
        <f t="array" ref="A4965">IF(INDEX(CUEs!$A:$A,INT((ROW()-1)/7)*57+MOD(ROW()-1,7)+50)&lt;&gt;"","set "&amp;INDEX(CUEs!$A:$A,INT((ROW()-1)/7)*57+MOD(ROW()-1,7)+50)&amp;"=/ s "&amp;INDEX(CUEs!$B:$B,INT((ROW()-1)/7)*57+MOD(ROW()-1,7)+50),"")</f>
        <v/>
      </c>
    </row>
    <row r="4966" spans="1:1" x14ac:dyDescent="0.25">
      <c r="A4966" t="str" cm="1">
        <f t="array" ref="A4966">IF(INDEX(CUEs!$A:$A,INT((ROW()-1)/7)*57+MOD(ROW()-1,7)+50)&lt;&gt;"","set "&amp;INDEX(CUEs!$A:$A,INT((ROW()-1)/7)*57+MOD(ROW()-1,7)+50)&amp;"=/ s "&amp;INDEX(CUEs!$B:$B,INT((ROW()-1)/7)*57+MOD(ROW()-1,7)+50),"")</f>
        <v/>
      </c>
    </row>
    <row r="4967" spans="1:1" x14ac:dyDescent="0.25">
      <c r="A4967" t="str" cm="1">
        <f t="array" ref="A4967">IF(INDEX(CUEs!$A:$A,INT((ROW()-1)/7)*57+MOD(ROW()-1,7)+50)&lt;&gt;"","set "&amp;INDEX(CUEs!$A:$A,INT((ROW()-1)/7)*57+MOD(ROW()-1,7)+50)&amp;"=/ s "&amp;INDEX(CUEs!$B:$B,INT((ROW()-1)/7)*57+MOD(ROW()-1,7)+50),"")</f>
        <v/>
      </c>
    </row>
    <row r="4968" spans="1:1" x14ac:dyDescent="0.25">
      <c r="A4968" t="str" cm="1">
        <f t="array" ref="A4968">IF(INDEX(CUEs!$A:$A,INT((ROW()-1)/7)*57+MOD(ROW()-1,7)+50)&lt;&gt;"","set "&amp;INDEX(CUEs!$A:$A,INT((ROW()-1)/7)*57+MOD(ROW()-1,7)+50)&amp;"=/ s "&amp;INDEX(CUEs!$B:$B,INT((ROW()-1)/7)*57+MOD(ROW()-1,7)+50),"")</f>
        <v/>
      </c>
    </row>
    <row r="4969" spans="1:1" x14ac:dyDescent="0.25">
      <c r="A4969" t="str" cm="1">
        <f t="array" ref="A4969">IF(INDEX(CUEs!$A:$A,INT((ROW()-1)/7)*57+MOD(ROW()-1,7)+50)&lt;&gt;"","set "&amp;INDEX(CUEs!$A:$A,INT((ROW()-1)/7)*57+MOD(ROW()-1,7)+50)&amp;"=/ s "&amp;INDEX(CUEs!$B:$B,INT((ROW()-1)/7)*57+MOD(ROW()-1,7)+50),"")</f>
        <v/>
      </c>
    </row>
    <row r="4970" spans="1:1" x14ac:dyDescent="0.25">
      <c r="A4970" t="str" cm="1">
        <f t="array" ref="A4970">IF(INDEX(CUEs!$A:$A,INT((ROW()-1)/7)*57+MOD(ROW()-1,7)+50)&lt;&gt;"","set "&amp;INDEX(CUEs!$A:$A,INT((ROW()-1)/7)*57+MOD(ROW()-1,7)+50)&amp;"=/ s "&amp;INDEX(CUEs!$B:$B,INT((ROW()-1)/7)*57+MOD(ROW()-1,7)+50),"")</f>
        <v/>
      </c>
    </row>
    <row r="4971" spans="1:1" x14ac:dyDescent="0.25">
      <c r="A4971" t="str" cm="1">
        <f t="array" ref="A4971">IF(INDEX(CUEs!$A:$A,INT((ROW()-1)/7)*57+MOD(ROW()-1,7)+50)&lt;&gt;"","set "&amp;INDEX(CUEs!$A:$A,INT((ROW()-1)/7)*57+MOD(ROW()-1,7)+50)&amp;"=/ s "&amp;INDEX(CUEs!$B:$B,INT((ROW()-1)/7)*57+MOD(ROW()-1,7)+50),"")</f>
        <v/>
      </c>
    </row>
    <row r="4972" spans="1:1" x14ac:dyDescent="0.25">
      <c r="A4972" t="str" cm="1">
        <f t="array" ref="A4972">IF(INDEX(CUEs!$A:$A,INT((ROW()-1)/7)*57+MOD(ROW()-1,7)+50)&lt;&gt;"","set "&amp;INDEX(CUEs!$A:$A,INT((ROW()-1)/7)*57+MOD(ROW()-1,7)+50)&amp;"=/ s "&amp;INDEX(CUEs!$B:$B,INT((ROW()-1)/7)*57+MOD(ROW()-1,7)+50),"")</f>
        <v/>
      </c>
    </row>
    <row r="4973" spans="1:1" x14ac:dyDescent="0.25">
      <c r="A4973" t="str" cm="1">
        <f t="array" ref="A4973">IF(INDEX(CUEs!$A:$A,INT((ROW()-1)/7)*57+MOD(ROW()-1,7)+50)&lt;&gt;"","set "&amp;INDEX(CUEs!$A:$A,INT((ROW()-1)/7)*57+MOD(ROW()-1,7)+50)&amp;"=/ s "&amp;INDEX(CUEs!$B:$B,INT((ROW()-1)/7)*57+MOD(ROW()-1,7)+50),"")</f>
        <v/>
      </c>
    </row>
    <row r="4974" spans="1:1" x14ac:dyDescent="0.25">
      <c r="A4974" t="str" cm="1">
        <f t="array" ref="A4974">IF(INDEX(CUEs!$A:$A,INT((ROW()-1)/7)*57+MOD(ROW()-1,7)+50)&lt;&gt;"","set "&amp;INDEX(CUEs!$A:$A,INT((ROW()-1)/7)*57+MOD(ROW()-1,7)+50)&amp;"=/ s "&amp;INDEX(CUEs!$B:$B,INT((ROW()-1)/7)*57+MOD(ROW()-1,7)+50),"")</f>
        <v/>
      </c>
    </row>
    <row r="4975" spans="1:1" x14ac:dyDescent="0.25">
      <c r="A4975" t="str" cm="1">
        <f t="array" ref="A4975">IF(INDEX(CUEs!$A:$A,INT((ROW()-1)/7)*57+MOD(ROW()-1,7)+50)&lt;&gt;"","set "&amp;INDEX(CUEs!$A:$A,INT((ROW()-1)/7)*57+MOD(ROW()-1,7)+50)&amp;"=/ s "&amp;INDEX(CUEs!$B:$B,INT((ROW()-1)/7)*57+MOD(ROW()-1,7)+50),"")</f>
        <v/>
      </c>
    </row>
    <row r="4976" spans="1:1" x14ac:dyDescent="0.25">
      <c r="A4976" t="str" cm="1">
        <f t="array" ref="A4976">IF(INDEX(CUEs!$A:$A,INT((ROW()-1)/7)*57+MOD(ROW()-1,7)+50)&lt;&gt;"","set "&amp;INDEX(CUEs!$A:$A,INT((ROW()-1)/7)*57+MOD(ROW()-1,7)+50)&amp;"=/ s "&amp;INDEX(CUEs!$B:$B,INT((ROW()-1)/7)*57+MOD(ROW()-1,7)+50),"")</f>
        <v/>
      </c>
    </row>
    <row r="4977" spans="1:1" x14ac:dyDescent="0.25">
      <c r="A4977" t="str" cm="1">
        <f t="array" ref="A4977">IF(INDEX(CUEs!$A:$A,INT((ROW()-1)/7)*57+MOD(ROW()-1,7)+50)&lt;&gt;"","set "&amp;INDEX(CUEs!$A:$A,INT((ROW()-1)/7)*57+MOD(ROW()-1,7)+50)&amp;"=/ s "&amp;INDEX(CUEs!$B:$B,INT((ROW()-1)/7)*57+MOD(ROW()-1,7)+50),"")</f>
        <v/>
      </c>
    </row>
    <row r="4978" spans="1:1" x14ac:dyDescent="0.25">
      <c r="A4978" t="str" cm="1">
        <f t="array" ref="A4978">IF(INDEX(CUEs!$A:$A,INT((ROW()-1)/7)*57+MOD(ROW()-1,7)+50)&lt;&gt;"","set "&amp;INDEX(CUEs!$A:$A,INT((ROW()-1)/7)*57+MOD(ROW()-1,7)+50)&amp;"=/ s "&amp;INDEX(CUEs!$B:$B,INT((ROW()-1)/7)*57+MOD(ROW()-1,7)+50),"")</f>
        <v/>
      </c>
    </row>
    <row r="4979" spans="1:1" x14ac:dyDescent="0.25">
      <c r="A4979" t="str" cm="1">
        <f t="array" ref="A4979">IF(INDEX(CUEs!$A:$A,INT((ROW()-1)/7)*57+MOD(ROW()-1,7)+50)&lt;&gt;"","set "&amp;INDEX(CUEs!$A:$A,INT((ROW()-1)/7)*57+MOD(ROW()-1,7)+50)&amp;"=/ s "&amp;INDEX(CUEs!$B:$B,INT((ROW()-1)/7)*57+MOD(ROW()-1,7)+50),"")</f>
        <v/>
      </c>
    </row>
    <row r="4980" spans="1:1" x14ac:dyDescent="0.25">
      <c r="A4980" t="str" cm="1">
        <f t="array" ref="A4980">IF(INDEX(CUEs!$A:$A,INT((ROW()-1)/7)*57+MOD(ROW()-1,7)+50)&lt;&gt;"","set "&amp;INDEX(CUEs!$A:$A,INT((ROW()-1)/7)*57+MOD(ROW()-1,7)+50)&amp;"=/ s "&amp;INDEX(CUEs!$B:$B,INT((ROW()-1)/7)*57+MOD(ROW()-1,7)+50),"")</f>
        <v/>
      </c>
    </row>
    <row r="4981" spans="1:1" x14ac:dyDescent="0.25">
      <c r="A4981" t="str" cm="1">
        <f t="array" ref="A4981">IF(INDEX(CUEs!$A:$A,INT((ROW()-1)/7)*57+MOD(ROW()-1,7)+50)&lt;&gt;"","set "&amp;INDEX(CUEs!$A:$A,INT((ROW()-1)/7)*57+MOD(ROW()-1,7)+50)&amp;"=/ s "&amp;INDEX(CUEs!$B:$B,INT((ROW()-1)/7)*57+MOD(ROW()-1,7)+50),"")</f>
        <v/>
      </c>
    </row>
    <row r="4982" spans="1:1" x14ac:dyDescent="0.25">
      <c r="A4982" t="str" cm="1">
        <f t="array" ref="A4982">IF(INDEX(CUEs!$A:$A,INT((ROW()-1)/7)*57+MOD(ROW()-1,7)+50)&lt;&gt;"","set "&amp;INDEX(CUEs!$A:$A,INT((ROW()-1)/7)*57+MOD(ROW()-1,7)+50)&amp;"=/ s "&amp;INDEX(CUEs!$B:$B,INT((ROW()-1)/7)*57+MOD(ROW()-1,7)+50),"")</f>
        <v/>
      </c>
    </row>
    <row r="4983" spans="1:1" x14ac:dyDescent="0.25">
      <c r="A4983" t="str" cm="1">
        <f t="array" ref="A4983">IF(INDEX(CUEs!$A:$A,INT((ROW()-1)/7)*57+MOD(ROW()-1,7)+50)&lt;&gt;"","set "&amp;INDEX(CUEs!$A:$A,INT((ROW()-1)/7)*57+MOD(ROW()-1,7)+50)&amp;"=/ s "&amp;INDEX(CUEs!$B:$B,INT((ROW()-1)/7)*57+MOD(ROW()-1,7)+50),"")</f>
        <v/>
      </c>
    </row>
    <row r="4984" spans="1:1" x14ac:dyDescent="0.25">
      <c r="A4984" t="str" cm="1">
        <f t="array" ref="A4984">IF(INDEX(CUEs!$A:$A,INT((ROW()-1)/7)*57+MOD(ROW()-1,7)+50)&lt;&gt;"","set "&amp;INDEX(CUEs!$A:$A,INT((ROW()-1)/7)*57+MOD(ROW()-1,7)+50)&amp;"=/ s "&amp;INDEX(CUEs!$B:$B,INT((ROW()-1)/7)*57+MOD(ROW()-1,7)+50),"")</f>
        <v/>
      </c>
    </row>
    <row r="4985" spans="1:1" x14ac:dyDescent="0.25">
      <c r="A4985" t="str" cm="1">
        <f t="array" ref="A4985">IF(INDEX(CUEs!$A:$A,INT((ROW()-1)/7)*57+MOD(ROW()-1,7)+50)&lt;&gt;"","set "&amp;INDEX(CUEs!$A:$A,INT((ROW()-1)/7)*57+MOD(ROW()-1,7)+50)&amp;"=/ s "&amp;INDEX(CUEs!$B:$B,INT((ROW()-1)/7)*57+MOD(ROW()-1,7)+50),"")</f>
        <v/>
      </c>
    </row>
    <row r="4986" spans="1:1" x14ac:dyDescent="0.25">
      <c r="A4986" t="str" cm="1">
        <f t="array" ref="A4986">IF(INDEX(CUEs!$A:$A,INT((ROW()-1)/7)*57+MOD(ROW()-1,7)+50)&lt;&gt;"","set "&amp;INDEX(CUEs!$A:$A,INT((ROW()-1)/7)*57+MOD(ROW()-1,7)+50)&amp;"=/ s "&amp;INDEX(CUEs!$B:$B,INT((ROW()-1)/7)*57+MOD(ROW()-1,7)+50),"")</f>
        <v/>
      </c>
    </row>
    <row r="4987" spans="1:1" x14ac:dyDescent="0.25">
      <c r="A4987" t="str" cm="1">
        <f t="array" ref="A4987">IF(INDEX(CUEs!$A:$A,INT((ROW()-1)/7)*57+MOD(ROW()-1,7)+50)&lt;&gt;"","set "&amp;INDEX(CUEs!$A:$A,INT((ROW()-1)/7)*57+MOD(ROW()-1,7)+50)&amp;"=/ s "&amp;INDEX(CUEs!$B:$B,INT((ROW()-1)/7)*57+MOD(ROW()-1,7)+50),"")</f>
        <v/>
      </c>
    </row>
    <row r="4988" spans="1:1" x14ac:dyDescent="0.25">
      <c r="A4988" t="str" cm="1">
        <f t="array" ref="A4988">IF(INDEX(CUEs!$A:$A,INT((ROW()-1)/7)*57+MOD(ROW()-1,7)+50)&lt;&gt;"","set "&amp;INDEX(CUEs!$A:$A,INT((ROW()-1)/7)*57+MOD(ROW()-1,7)+50)&amp;"=/ s "&amp;INDEX(CUEs!$B:$B,INT((ROW()-1)/7)*57+MOD(ROW()-1,7)+50),"")</f>
        <v/>
      </c>
    </row>
    <row r="4989" spans="1:1" x14ac:dyDescent="0.25">
      <c r="A4989" t="str" cm="1">
        <f t="array" ref="A4989">IF(INDEX(CUEs!$A:$A,INT((ROW()-1)/7)*57+MOD(ROW()-1,7)+50)&lt;&gt;"","set "&amp;INDEX(CUEs!$A:$A,INT((ROW()-1)/7)*57+MOD(ROW()-1,7)+50)&amp;"=/ s "&amp;INDEX(CUEs!$B:$B,INT((ROW()-1)/7)*57+MOD(ROW()-1,7)+50),"")</f>
        <v/>
      </c>
    </row>
    <row r="4990" spans="1:1" x14ac:dyDescent="0.25">
      <c r="A4990" t="str" cm="1">
        <f t="array" ref="A4990">IF(INDEX(CUEs!$A:$A,INT((ROW()-1)/7)*57+MOD(ROW()-1,7)+50)&lt;&gt;"","set "&amp;INDEX(CUEs!$A:$A,INT((ROW()-1)/7)*57+MOD(ROW()-1,7)+50)&amp;"=/ s "&amp;INDEX(CUEs!$B:$B,INT((ROW()-1)/7)*57+MOD(ROW()-1,7)+50),"")</f>
        <v/>
      </c>
    </row>
    <row r="4991" spans="1:1" x14ac:dyDescent="0.25">
      <c r="A4991" t="str" cm="1">
        <f t="array" ref="A4991">IF(INDEX(CUEs!$A:$A,INT((ROW()-1)/7)*57+MOD(ROW()-1,7)+50)&lt;&gt;"","set "&amp;INDEX(CUEs!$A:$A,INT((ROW()-1)/7)*57+MOD(ROW()-1,7)+50)&amp;"=/ s "&amp;INDEX(CUEs!$B:$B,INT((ROW()-1)/7)*57+MOD(ROW()-1,7)+50),"")</f>
        <v/>
      </c>
    </row>
    <row r="4992" spans="1:1" x14ac:dyDescent="0.25">
      <c r="A4992" t="str" cm="1">
        <f t="array" ref="A4992">IF(INDEX(CUEs!$A:$A,INT((ROW()-1)/7)*57+MOD(ROW()-1,7)+50)&lt;&gt;"","set "&amp;INDEX(CUEs!$A:$A,INT((ROW()-1)/7)*57+MOD(ROW()-1,7)+50)&amp;"=/ s "&amp;INDEX(CUEs!$B:$B,INT((ROW()-1)/7)*57+MOD(ROW()-1,7)+50),"")</f>
        <v/>
      </c>
    </row>
    <row r="4993" spans="1:1" x14ac:dyDescent="0.25">
      <c r="A4993" t="str" cm="1">
        <f t="array" ref="A4993">IF(INDEX(CUEs!$A:$A,INT((ROW()-1)/7)*57+MOD(ROW()-1,7)+50)&lt;&gt;"","set "&amp;INDEX(CUEs!$A:$A,INT((ROW()-1)/7)*57+MOD(ROW()-1,7)+50)&amp;"=/ s "&amp;INDEX(CUEs!$B:$B,INT((ROW()-1)/7)*57+MOD(ROW()-1,7)+50),"")</f>
        <v/>
      </c>
    </row>
    <row r="4994" spans="1:1" x14ac:dyDescent="0.25">
      <c r="A4994" t="str" cm="1">
        <f t="array" ref="A4994">IF(INDEX(CUEs!$A:$A,INT((ROW()-1)/7)*57+MOD(ROW()-1,7)+50)&lt;&gt;"","set "&amp;INDEX(CUEs!$A:$A,INT((ROW()-1)/7)*57+MOD(ROW()-1,7)+50)&amp;"=/ s "&amp;INDEX(CUEs!$B:$B,INT((ROW()-1)/7)*57+MOD(ROW()-1,7)+50),"")</f>
        <v/>
      </c>
    </row>
    <row r="4995" spans="1:1" x14ac:dyDescent="0.25">
      <c r="A4995" t="str" cm="1">
        <f t="array" ref="A4995">IF(INDEX(CUEs!$A:$A,INT((ROW()-1)/7)*57+MOD(ROW()-1,7)+50)&lt;&gt;"","set "&amp;INDEX(CUEs!$A:$A,INT((ROW()-1)/7)*57+MOD(ROW()-1,7)+50)&amp;"=/ s "&amp;INDEX(CUEs!$B:$B,INT((ROW()-1)/7)*57+MOD(ROW()-1,7)+50),"")</f>
        <v/>
      </c>
    </row>
    <row r="4996" spans="1:1" x14ac:dyDescent="0.25">
      <c r="A4996" t="str" cm="1">
        <f t="array" ref="A4996">IF(INDEX(CUEs!$A:$A,INT((ROW()-1)/7)*57+MOD(ROW()-1,7)+50)&lt;&gt;"","set "&amp;INDEX(CUEs!$A:$A,INT((ROW()-1)/7)*57+MOD(ROW()-1,7)+50)&amp;"=/ s "&amp;INDEX(CUEs!$B:$B,INT((ROW()-1)/7)*57+MOD(ROW()-1,7)+50),"")</f>
        <v/>
      </c>
    </row>
    <row r="4997" spans="1:1" x14ac:dyDescent="0.25">
      <c r="A4997" t="str" cm="1">
        <f t="array" ref="A4997">IF(INDEX(CUEs!$A:$A,INT((ROW()-1)/7)*57+MOD(ROW()-1,7)+50)&lt;&gt;"","set "&amp;INDEX(CUEs!$A:$A,INT((ROW()-1)/7)*57+MOD(ROW()-1,7)+50)&amp;"=/ s "&amp;INDEX(CUEs!$B:$B,INT((ROW()-1)/7)*57+MOD(ROW()-1,7)+50),"")</f>
        <v/>
      </c>
    </row>
    <row r="4998" spans="1:1" x14ac:dyDescent="0.25">
      <c r="A4998" t="str" cm="1">
        <f t="array" ref="A4998">IF(INDEX(CUEs!$A:$A,INT((ROW()-1)/7)*57+MOD(ROW()-1,7)+50)&lt;&gt;"","set "&amp;INDEX(CUEs!$A:$A,INT((ROW()-1)/7)*57+MOD(ROW()-1,7)+50)&amp;"=/ s "&amp;INDEX(CUEs!$B:$B,INT((ROW()-1)/7)*57+MOD(ROW()-1,7)+50),"")</f>
        <v/>
      </c>
    </row>
    <row r="4999" spans="1:1" x14ac:dyDescent="0.25">
      <c r="A4999" t="str" cm="1">
        <f t="array" ref="A4999">IF(INDEX(CUEs!$A:$A,INT((ROW()-1)/7)*57+MOD(ROW()-1,7)+50)&lt;&gt;"","set "&amp;INDEX(CUEs!$A:$A,INT((ROW()-1)/7)*57+MOD(ROW()-1,7)+50)&amp;"=/ s "&amp;INDEX(CUEs!$B:$B,INT((ROW()-1)/7)*57+MOD(ROW()-1,7)+50),"")</f>
        <v/>
      </c>
    </row>
    <row r="5000" spans="1:1" x14ac:dyDescent="0.25">
      <c r="A5000" t="str" cm="1">
        <f t="array" ref="A5000">IF(INDEX(CUEs!$A:$A,INT((ROW()-1)/7)*57+MOD(ROW()-1,7)+50)&lt;&gt;"","set "&amp;INDEX(CUEs!$A:$A,INT((ROW()-1)/7)*57+MOD(ROW()-1,7)+50)&amp;"=/ s "&amp;INDEX(CUEs!$B:$B,INT((ROW()-1)/7)*57+MOD(ROW()-1,7)+50),"")</f>
        <v/>
      </c>
    </row>
    <row r="5001" spans="1:1" x14ac:dyDescent="0.25">
      <c r="A5001" t="str" cm="1">
        <f t="array" ref="A5001">IF(INDEX(CUEs!$A:$A,INT((ROW()-1)/7)*57+MOD(ROW()-1,7)+50)&lt;&gt;"","set "&amp;INDEX(CUEs!$A:$A,INT((ROW()-1)/7)*57+MOD(ROW()-1,7)+50)&amp;"=/ s "&amp;INDEX(CUEs!$B:$B,INT((ROW()-1)/7)*57+MOD(ROW()-1,7)+50),"")</f>
        <v/>
      </c>
    </row>
    <row r="5002" spans="1:1" x14ac:dyDescent="0.25">
      <c r="A5002" t="str" cm="1">
        <f t="array" ref="A5002">IF(INDEX(CUEs!$A:$A,INT((ROW()-1)/7)*57+MOD(ROW()-1,7)+50)&lt;&gt;"","set "&amp;INDEX(CUEs!$A:$A,INT((ROW()-1)/7)*57+MOD(ROW()-1,7)+50)&amp;"=/ s "&amp;INDEX(CUEs!$B:$B,INT((ROW()-1)/7)*57+MOD(ROW()-1,7)+50),"")</f>
        <v/>
      </c>
    </row>
    <row r="5003" spans="1:1" x14ac:dyDescent="0.25">
      <c r="A5003" t="str" cm="1">
        <f t="array" ref="A5003">IF(INDEX(CUEs!$A:$A,INT((ROW()-1)/7)*57+MOD(ROW()-1,7)+50)&lt;&gt;"","set "&amp;INDEX(CUEs!$A:$A,INT((ROW()-1)/7)*57+MOD(ROW()-1,7)+50)&amp;"=/ s "&amp;INDEX(CUEs!$B:$B,INT((ROW()-1)/7)*57+MOD(ROW()-1,7)+50),"")</f>
        <v/>
      </c>
    </row>
    <row r="5004" spans="1:1" x14ac:dyDescent="0.25">
      <c r="A5004" t="str" cm="1">
        <f t="array" ref="A5004">IF(INDEX(CUEs!$A:$A,INT((ROW()-1)/7)*57+MOD(ROW()-1,7)+50)&lt;&gt;"","set "&amp;INDEX(CUEs!$A:$A,INT((ROW()-1)/7)*57+MOD(ROW()-1,7)+50)&amp;"=/ s "&amp;INDEX(CUEs!$B:$B,INT((ROW()-1)/7)*57+MOD(ROW()-1,7)+50),"")</f>
        <v/>
      </c>
    </row>
    <row r="5005" spans="1:1" x14ac:dyDescent="0.25">
      <c r="A5005" t="str" cm="1">
        <f t="array" ref="A5005">IF(INDEX(CUEs!$A:$A,INT((ROW()-1)/7)*57+MOD(ROW()-1,7)+50)&lt;&gt;"","set "&amp;INDEX(CUEs!$A:$A,INT((ROW()-1)/7)*57+MOD(ROW()-1,7)+50)&amp;"=/ s "&amp;INDEX(CUEs!$B:$B,INT((ROW()-1)/7)*57+MOD(ROW()-1,7)+50),"")</f>
        <v/>
      </c>
    </row>
    <row r="5006" spans="1:1" x14ac:dyDescent="0.25">
      <c r="A5006" t="str" cm="1">
        <f t="array" ref="A5006">IF(INDEX(CUEs!$A:$A,INT((ROW()-1)/7)*57+MOD(ROW()-1,7)+50)&lt;&gt;"","set "&amp;INDEX(CUEs!$A:$A,INT((ROW()-1)/7)*57+MOD(ROW()-1,7)+50)&amp;"=/ s "&amp;INDEX(CUEs!$B:$B,INT((ROW()-1)/7)*57+MOD(ROW()-1,7)+50),"")</f>
        <v/>
      </c>
    </row>
    <row r="5007" spans="1:1" x14ac:dyDescent="0.25">
      <c r="A5007" t="str" cm="1">
        <f t="array" ref="A5007">IF(INDEX(CUEs!$A:$A,INT((ROW()-1)/7)*57+MOD(ROW()-1,7)+50)&lt;&gt;"","set "&amp;INDEX(CUEs!$A:$A,INT((ROW()-1)/7)*57+MOD(ROW()-1,7)+50)&amp;"=/ s "&amp;INDEX(CUEs!$B:$B,INT((ROW()-1)/7)*57+MOD(ROW()-1,7)+50),"")</f>
        <v/>
      </c>
    </row>
    <row r="5008" spans="1:1" x14ac:dyDescent="0.25">
      <c r="A5008" t="str" cm="1">
        <f t="array" ref="A5008">IF(INDEX(CUEs!$A:$A,INT((ROW()-1)/7)*57+MOD(ROW()-1,7)+50)&lt;&gt;"","set "&amp;INDEX(CUEs!$A:$A,INT((ROW()-1)/7)*57+MOD(ROW()-1,7)+50)&amp;"=/ s "&amp;INDEX(CUEs!$B:$B,INT((ROW()-1)/7)*57+MOD(ROW()-1,7)+50),"")</f>
        <v/>
      </c>
    </row>
    <row r="5009" spans="1:1" x14ac:dyDescent="0.25">
      <c r="A5009" t="str" cm="1">
        <f t="array" ref="A5009">IF(INDEX(CUEs!$A:$A,INT((ROW()-1)/7)*57+MOD(ROW()-1,7)+50)&lt;&gt;"","set "&amp;INDEX(CUEs!$A:$A,INT((ROW()-1)/7)*57+MOD(ROW()-1,7)+50)&amp;"=/ s "&amp;INDEX(CUEs!$B:$B,INT((ROW()-1)/7)*57+MOD(ROW()-1,7)+50),"")</f>
        <v/>
      </c>
    </row>
    <row r="5010" spans="1:1" x14ac:dyDescent="0.25">
      <c r="A5010" t="str" cm="1">
        <f t="array" ref="A5010">IF(INDEX(CUEs!$A:$A,INT((ROW()-1)/7)*57+MOD(ROW()-1,7)+50)&lt;&gt;"","set "&amp;INDEX(CUEs!$A:$A,INT((ROW()-1)/7)*57+MOD(ROW()-1,7)+50)&amp;"=/ s "&amp;INDEX(CUEs!$B:$B,INT((ROW()-1)/7)*57+MOD(ROW()-1,7)+50),"")</f>
        <v/>
      </c>
    </row>
    <row r="5011" spans="1:1" x14ac:dyDescent="0.25">
      <c r="A5011" t="str" cm="1">
        <f t="array" ref="A5011">IF(INDEX(CUEs!$A:$A,INT((ROW()-1)/7)*57+MOD(ROW()-1,7)+50)&lt;&gt;"","set "&amp;INDEX(CUEs!$A:$A,INT((ROW()-1)/7)*57+MOD(ROW()-1,7)+50)&amp;"=/ s "&amp;INDEX(CUEs!$B:$B,INT((ROW()-1)/7)*57+MOD(ROW()-1,7)+50),"")</f>
        <v/>
      </c>
    </row>
    <row r="5012" spans="1:1" x14ac:dyDescent="0.25">
      <c r="A5012" t="str" cm="1">
        <f t="array" ref="A5012">IF(INDEX(CUEs!$A:$A,INT((ROW()-1)/7)*57+MOD(ROW()-1,7)+50)&lt;&gt;"","set "&amp;INDEX(CUEs!$A:$A,INT((ROW()-1)/7)*57+MOD(ROW()-1,7)+50)&amp;"=/ s "&amp;INDEX(CUEs!$B:$B,INT((ROW()-1)/7)*57+MOD(ROW()-1,7)+50),"")</f>
        <v/>
      </c>
    </row>
    <row r="5013" spans="1:1" x14ac:dyDescent="0.25">
      <c r="A5013" t="str" cm="1">
        <f t="array" ref="A5013">IF(INDEX(CUEs!$A:$A,INT((ROW()-1)/7)*57+MOD(ROW()-1,7)+50)&lt;&gt;"","set "&amp;INDEX(CUEs!$A:$A,INT((ROW()-1)/7)*57+MOD(ROW()-1,7)+50)&amp;"=/ s "&amp;INDEX(CUEs!$B:$B,INT((ROW()-1)/7)*57+MOD(ROW()-1,7)+50),"")</f>
        <v/>
      </c>
    </row>
    <row r="5014" spans="1:1" x14ac:dyDescent="0.25">
      <c r="A5014" t="str" cm="1">
        <f t="array" ref="A5014">IF(INDEX(CUEs!$A:$A,INT((ROW()-1)/7)*57+MOD(ROW()-1,7)+50)&lt;&gt;"","set "&amp;INDEX(CUEs!$A:$A,INT((ROW()-1)/7)*57+MOD(ROW()-1,7)+50)&amp;"=/ s "&amp;INDEX(CUEs!$B:$B,INT((ROW()-1)/7)*57+MOD(ROW()-1,7)+50),"")</f>
        <v/>
      </c>
    </row>
    <row r="5015" spans="1:1" x14ac:dyDescent="0.25">
      <c r="A5015" t="str" cm="1">
        <f t="array" ref="A5015">IF(INDEX(CUEs!$A:$A,INT((ROW()-1)/7)*57+MOD(ROW()-1,7)+50)&lt;&gt;"","set "&amp;INDEX(CUEs!$A:$A,INT((ROW()-1)/7)*57+MOD(ROW()-1,7)+50)&amp;"=/ s "&amp;INDEX(CUEs!$B:$B,INT((ROW()-1)/7)*57+MOD(ROW()-1,7)+50),"")</f>
        <v/>
      </c>
    </row>
    <row r="5016" spans="1:1" x14ac:dyDescent="0.25">
      <c r="A5016" t="str" cm="1">
        <f t="array" ref="A5016">IF(INDEX(CUEs!$A:$A,INT((ROW()-1)/7)*57+MOD(ROW()-1,7)+50)&lt;&gt;"","set "&amp;INDEX(CUEs!$A:$A,INT((ROW()-1)/7)*57+MOD(ROW()-1,7)+50)&amp;"=/ s "&amp;INDEX(CUEs!$B:$B,INT((ROW()-1)/7)*57+MOD(ROW()-1,7)+50),"")</f>
        <v/>
      </c>
    </row>
    <row r="5017" spans="1:1" x14ac:dyDescent="0.25">
      <c r="A5017" t="str" cm="1">
        <f t="array" ref="A5017">IF(INDEX(CUEs!$A:$A,INT((ROW()-1)/7)*57+MOD(ROW()-1,7)+50)&lt;&gt;"","set "&amp;INDEX(CUEs!$A:$A,INT((ROW()-1)/7)*57+MOD(ROW()-1,7)+50)&amp;"=/ s "&amp;INDEX(CUEs!$B:$B,INT((ROW()-1)/7)*57+MOD(ROW()-1,7)+50),"")</f>
        <v/>
      </c>
    </row>
    <row r="5018" spans="1:1" x14ac:dyDescent="0.25">
      <c r="A5018" t="str" cm="1">
        <f t="array" ref="A5018">IF(INDEX(CUEs!$A:$A,INT((ROW()-1)/7)*57+MOD(ROW()-1,7)+50)&lt;&gt;"","set "&amp;INDEX(CUEs!$A:$A,INT((ROW()-1)/7)*57+MOD(ROW()-1,7)+50)&amp;"=/ s "&amp;INDEX(CUEs!$B:$B,INT((ROW()-1)/7)*57+MOD(ROW()-1,7)+50),"")</f>
        <v/>
      </c>
    </row>
    <row r="5019" spans="1:1" x14ac:dyDescent="0.25">
      <c r="A5019" t="str" cm="1">
        <f t="array" ref="A5019">IF(INDEX(CUEs!$A:$A,INT((ROW()-1)/7)*57+MOD(ROW()-1,7)+50)&lt;&gt;"","set "&amp;INDEX(CUEs!$A:$A,INT((ROW()-1)/7)*57+MOD(ROW()-1,7)+50)&amp;"=/ s "&amp;INDEX(CUEs!$B:$B,INT((ROW()-1)/7)*57+MOD(ROW()-1,7)+50),"")</f>
        <v/>
      </c>
    </row>
    <row r="5020" spans="1:1" x14ac:dyDescent="0.25">
      <c r="A5020" t="str" cm="1">
        <f t="array" ref="A5020">IF(INDEX(CUEs!$A:$A,INT((ROW()-1)/7)*57+MOD(ROW()-1,7)+50)&lt;&gt;"","set "&amp;INDEX(CUEs!$A:$A,INT((ROW()-1)/7)*57+MOD(ROW()-1,7)+50)&amp;"=/ s "&amp;INDEX(CUEs!$B:$B,INT((ROW()-1)/7)*57+MOD(ROW()-1,7)+50),"")</f>
        <v/>
      </c>
    </row>
    <row r="5021" spans="1:1" x14ac:dyDescent="0.25">
      <c r="A5021" t="str" cm="1">
        <f t="array" ref="A5021">IF(INDEX(CUEs!$A:$A,INT((ROW()-1)/7)*57+MOD(ROW()-1,7)+50)&lt;&gt;"","set "&amp;INDEX(CUEs!$A:$A,INT((ROW()-1)/7)*57+MOD(ROW()-1,7)+50)&amp;"=/ s "&amp;INDEX(CUEs!$B:$B,INT((ROW()-1)/7)*57+MOD(ROW()-1,7)+50),"")</f>
        <v/>
      </c>
    </row>
    <row r="5022" spans="1:1" x14ac:dyDescent="0.25">
      <c r="A5022" t="str" cm="1">
        <f t="array" ref="A5022">IF(INDEX(CUEs!$A:$A,INT((ROW()-1)/7)*57+MOD(ROW()-1,7)+50)&lt;&gt;"","set "&amp;INDEX(CUEs!$A:$A,INT((ROW()-1)/7)*57+MOD(ROW()-1,7)+50)&amp;"=/ s "&amp;INDEX(CUEs!$B:$B,INT((ROW()-1)/7)*57+MOD(ROW()-1,7)+50),"")</f>
        <v/>
      </c>
    </row>
    <row r="5023" spans="1:1" x14ac:dyDescent="0.25">
      <c r="A5023" t="str" cm="1">
        <f t="array" ref="A5023">IF(INDEX(CUEs!$A:$A,INT((ROW()-1)/7)*57+MOD(ROW()-1,7)+50)&lt;&gt;"","set "&amp;INDEX(CUEs!$A:$A,INT((ROW()-1)/7)*57+MOD(ROW()-1,7)+50)&amp;"=/ s "&amp;INDEX(CUEs!$B:$B,INT((ROW()-1)/7)*57+MOD(ROW()-1,7)+50),"")</f>
        <v/>
      </c>
    </row>
    <row r="5024" spans="1:1" x14ac:dyDescent="0.25">
      <c r="A5024" t="str" cm="1">
        <f t="array" ref="A5024">IF(INDEX(CUEs!$A:$A,INT((ROW()-1)/7)*57+MOD(ROW()-1,7)+50)&lt;&gt;"","set "&amp;INDEX(CUEs!$A:$A,INT((ROW()-1)/7)*57+MOD(ROW()-1,7)+50)&amp;"=/ s "&amp;INDEX(CUEs!$B:$B,INT((ROW()-1)/7)*57+MOD(ROW()-1,7)+50),"")</f>
        <v/>
      </c>
    </row>
    <row r="5025" spans="1:1" x14ac:dyDescent="0.25">
      <c r="A5025" t="str" cm="1">
        <f t="array" ref="A5025">IF(INDEX(CUEs!$A:$A,INT((ROW()-1)/7)*57+MOD(ROW()-1,7)+50)&lt;&gt;"","set "&amp;INDEX(CUEs!$A:$A,INT((ROW()-1)/7)*57+MOD(ROW()-1,7)+50)&amp;"=/ s "&amp;INDEX(CUEs!$B:$B,INT((ROW()-1)/7)*57+MOD(ROW()-1,7)+50),"")</f>
        <v/>
      </c>
    </row>
    <row r="5026" spans="1:1" x14ac:dyDescent="0.25">
      <c r="A5026" t="str" cm="1">
        <f t="array" ref="A5026">IF(INDEX(CUEs!$A:$A,INT((ROW()-1)/7)*57+MOD(ROW()-1,7)+50)&lt;&gt;"","set "&amp;INDEX(CUEs!$A:$A,INT((ROW()-1)/7)*57+MOD(ROW()-1,7)+50)&amp;"=/ s "&amp;INDEX(CUEs!$B:$B,INT((ROW()-1)/7)*57+MOD(ROW()-1,7)+50),"")</f>
        <v/>
      </c>
    </row>
    <row r="5027" spans="1:1" x14ac:dyDescent="0.25">
      <c r="A5027" t="str" cm="1">
        <f t="array" ref="A5027">IF(INDEX(CUEs!$A:$A,INT((ROW()-1)/7)*57+MOD(ROW()-1,7)+50)&lt;&gt;"","set "&amp;INDEX(CUEs!$A:$A,INT((ROW()-1)/7)*57+MOD(ROW()-1,7)+50)&amp;"=/ s "&amp;INDEX(CUEs!$B:$B,INT((ROW()-1)/7)*57+MOD(ROW()-1,7)+50),"")</f>
        <v/>
      </c>
    </row>
    <row r="5028" spans="1:1" x14ac:dyDescent="0.25">
      <c r="A5028" t="str" cm="1">
        <f t="array" ref="A5028">IF(INDEX(CUEs!$A:$A,INT((ROW()-1)/7)*57+MOD(ROW()-1,7)+50)&lt;&gt;"","set "&amp;INDEX(CUEs!$A:$A,INT((ROW()-1)/7)*57+MOD(ROW()-1,7)+50)&amp;"=/ s "&amp;INDEX(CUEs!$B:$B,INT((ROW()-1)/7)*57+MOD(ROW()-1,7)+50),"")</f>
        <v/>
      </c>
    </row>
    <row r="5029" spans="1:1" x14ac:dyDescent="0.25">
      <c r="A5029" t="str" cm="1">
        <f t="array" ref="A5029">IF(INDEX(CUEs!$A:$A,INT((ROW()-1)/7)*57+MOD(ROW()-1,7)+50)&lt;&gt;"","set "&amp;INDEX(CUEs!$A:$A,INT((ROW()-1)/7)*57+MOD(ROW()-1,7)+50)&amp;"=/ s "&amp;INDEX(CUEs!$B:$B,INT((ROW()-1)/7)*57+MOD(ROW()-1,7)+50),"")</f>
        <v/>
      </c>
    </row>
    <row r="5030" spans="1:1" x14ac:dyDescent="0.25">
      <c r="A5030" t="str" cm="1">
        <f t="array" ref="A5030">IF(INDEX(CUEs!$A:$A,INT((ROW()-1)/7)*57+MOD(ROW()-1,7)+50)&lt;&gt;"","set "&amp;INDEX(CUEs!$A:$A,INT((ROW()-1)/7)*57+MOD(ROW()-1,7)+50)&amp;"=/ s "&amp;INDEX(CUEs!$B:$B,INT((ROW()-1)/7)*57+MOD(ROW()-1,7)+50),"")</f>
        <v/>
      </c>
    </row>
    <row r="5031" spans="1:1" x14ac:dyDescent="0.25">
      <c r="A5031" t="str" cm="1">
        <f t="array" ref="A5031">IF(INDEX(CUEs!$A:$A,INT((ROW()-1)/7)*57+MOD(ROW()-1,7)+50)&lt;&gt;"","set "&amp;INDEX(CUEs!$A:$A,INT((ROW()-1)/7)*57+MOD(ROW()-1,7)+50)&amp;"=/ s "&amp;INDEX(CUEs!$B:$B,INT((ROW()-1)/7)*57+MOD(ROW()-1,7)+50),"")</f>
        <v/>
      </c>
    </row>
    <row r="5032" spans="1:1" x14ac:dyDescent="0.25">
      <c r="A5032" t="str" cm="1">
        <f t="array" ref="A5032">IF(INDEX(CUEs!$A:$A,INT((ROW()-1)/7)*57+MOD(ROW()-1,7)+50)&lt;&gt;"","set "&amp;INDEX(CUEs!$A:$A,INT((ROW()-1)/7)*57+MOD(ROW()-1,7)+50)&amp;"=/ s "&amp;INDEX(CUEs!$B:$B,INT((ROW()-1)/7)*57+MOD(ROW()-1,7)+50),"")</f>
        <v/>
      </c>
    </row>
    <row r="5033" spans="1:1" x14ac:dyDescent="0.25">
      <c r="A5033" t="str" cm="1">
        <f t="array" ref="A5033">IF(INDEX(CUEs!$A:$A,INT((ROW()-1)/7)*57+MOD(ROW()-1,7)+50)&lt;&gt;"","set "&amp;INDEX(CUEs!$A:$A,INT((ROW()-1)/7)*57+MOD(ROW()-1,7)+50)&amp;"=/ s "&amp;INDEX(CUEs!$B:$B,INT((ROW()-1)/7)*57+MOD(ROW()-1,7)+50),"")</f>
        <v/>
      </c>
    </row>
    <row r="5034" spans="1:1" x14ac:dyDescent="0.25">
      <c r="A5034" t="str" cm="1">
        <f t="array" ref="A5034">IF(INDEX(CUEs!$A:$A,INT((ROW()-1)/7)*57+MOD(ROW()-1,7)+50)&lt;&gt;"","set "&amp;INDEX(CUEs!$A:$A,INT((ROW()-1)/7)*57+MOD(ROW()-1,7)+50)&amp;"=/ s "&amp;INDEX(CUEs!$B:$B,INT((ROW()-1)/7)*57+MOD(ROW()-1,7)+50),"")</f>
        <v/>
      </c>
    </row>
    <row r="5035" spans="1:1" x14ac:dyDescent="0.25">
      <c r="A5035" t="str" cm="1">
        <f t="array" ref="A5035">IF(INDEX(CUEs!$A:$A,INT((ROW()-1)/7)*57+MOD(ROW()-1,7)+50)&lt;&gt;"","set "&amp;INDEX(CUEs!$A:$A,INT((ROW()-1)/7)*57+MOD(ROW()-1,7)+50)&amp;"=/ s "&amp;INDEX(CUEs!$B:$B,INT((ROW()-1)/7)*57+MOD(ROW()-1,7)+50),"")</f>
        <v/>
      </c>
    </row>
    <row r="5036" spans="1:1" x14ac:dyDescent="0.25">
      <c r="A5036" t="str" cm="1">
        <f t="array" ref="A5036">IF(INDEX(CUEs!$A:$A,INT((ROW()-1)/7)*57+MOD(ROW()-1,7)+50)&lt;&gt;"","set "&amp;INDEX(CUEs!$A:$A,INT((ROW()-1)/7)*57+MOD(ROW()-1,7)+50)&amp;"=/ s "&amp;INDEX(CUEs!$B:$B,INT((ROW()-1)/7)*57+MOD(ROW()-1,7)+50),"")</f>
        <v/>
      </c>
    </row>
    <row r="5037" spans="1:1" x14ac:dyDescent="0.25">
      <c r="A5037" t="str" cm="1">
        <f t="array" ref="A5037">IF(INDEX(CUEs!$A:$A,INT((ROW()-1)/7)*57+MOD(ROW()-1,7)+50)&lt;&gt;"","set "&amp;INDEX(CUEs!$A:$A,INT((ROW()-1)/7)*57+MOD(ROW()-1,7)+50)&amp;"=/ s "&amp;INDEX(CUEs!$B:$B,INT((ROW()-1)/7)*57+MOD(ROW()-1,7)+50),"")</f>
        <v/>
      </c>
    </row>
    <row r="5038" spans="1:1" x14ac:dyDescent="0.25">
      <c r="A5038" t="str" cm="1">
        <f t="array" ref="A5038">IF(INDEX(CUEs!$A:$A,INT((ROW()-1)/7)*57+MOD(ROW()-1,7)+50)&lt;&gt;"","set "&amp;INDEX(CUEs!$A:$A,INT((ROW()-1)/7)*57+MOD(ROW()-1,7)+50)&amp;"=/ s "&amp;INDEX(CUEs!$B:$B,INT((ROW()-1)/7)*57+MOD(ROW()-1,7)+50),"")</f>
        <v/>
      </c>
    </row>
    <row r="5039" spans="1:1" x14ac:dyDescent="0.25">
      <c r="A5039" t="str" cm="1">
        <f t="array" ref="A5039">IF(INDEX(CUEs!$A:$A,INT((ROW()-1)/7)*57+MOD(ROW()-1,7)+50)&lt;&gt;"","set "&amp;INDEX(CUEs!$A:$A,INT((ROW()-1)/7)*57+MOD(ROW()-1,7)+50)&amp;"=/ s "&amp;INDEX(CUEs!$B:$B,INT((ROW()-1)/7)*57+MOD(ROW()-1,7)+50),"")</f>
        <v/>
      </c>
    </row>
    <row r="5040" spans="1:1" x14ac:dyDescent="0.25">
      <c r="A5040" t="str" cm="1">
        <f t="array" ref="A5040">IF(INDEX(CUEs!$A:$A,INT((ROW()-1)/7)*57+MOD(ROW()-1,7)+50)&lt;&gt;"","set "&amp;INDEX(CUEs!$A:$A,INT((ROW()-1)/7)*57+MOD(ROW()-1,7)+50)&amp;"=/ s "&amp;INDEX(CUEs!$B:$B,INT((ROW()-1)/7)*57+MOD(ROW()-1,7)+50),"")</f>
        <v/>
      </c>
    </row>
    <row r="5041" spans="1:1" x14ac:dyDescent="0.25">
      <c r="A5041" t="str" cm="1">
        <f t="array" ref="A5041">IF(INDEX(CUEs!$A:$A,INT((ROW()-1)/7)*57+MOD(ROW()-1,7)+50)&lt;&gt;"","set "&amp;INDEX(CUEs!$A:$A,INT((ROW()-1)/7)*57+MOD(ROW()-1,7)+50)&amp;"=/ s "&amp;INDEX(CUEs!$B:$B,INT((ROW()-1)/7)*57+MOD(ROW()-1,7)+50),"")</f>
        <v/>
      </c>
    </row>
    <row r="5042" spans="1:1" x14ac:dyDescent="0.25">
      <c r="A5042" t="str" cm="1">
        <f t="array" ref="A5042">IF(INDEX(CUEs!$A:$A,INT((ROW()-1)/7)*57+MOD(ROW()-1,7)+50)&lt;&gt;"","set "&amp;INDEX(CUEs!$A:$A,INT((ROW()-1)/7)*57+MOD(ROW()-1,7)+50)&amp;"=/ s "&amp;INDEX(CUEs!$B:$B,INT((ROW()-1)/7)*57+MOD(ROW()-1,7)+50),"")</f>
        <v/>
      </c>
    </row>
    <row r="5043" spans="1:1" x14ac:dyDescent="0.25">
      <c r="A5043" t="str" cm="1">
        <f t="array" ref="A5043">IF(INDEX(CUEs!$A:$A,INT((ROW()-1)/7)*57+MOD(ROW()-1,7)+50)&lt;&gt;"","set "&amp;INDEX(CUEs!$A:$A,INT((ROW()-1)/7)*57+MOD(ROW()-1,7)+50)&amp;"=/ s "&amp;INDEX(CUEs!$B:$B,INT((ROW()-1)/7)*57+MOD(ROW()-1,7)+50),"")</f>
        <v/>
      </c>
    </row>
    <row r="5044" spans="1:1" x14ac:dyDescent="0.25">
      <c r="A5044" t="str" cm="1">
        <f t="array" ref="A5044">IF(INDEX(CUEs!$A:$A,INT((ROW()-1)/7)*57+MOD(ROW()-1,7)+50)&lt;&gt;"","set "&amp;INDEX(CUEs!$A:$A,INT((ROW()-1)/7)*57+MOD(ROW()-1,7)+50)&amp;"=/ s "&amp;INDEX(CUEs!$B:$B,INT((ROW()-1)/7)*57+MOD(ROW()-1,7)+50),"")</f>
        <v/>
      </c>
    </row>
    <row r="5045" spans="1:1" x14ac:dyDescent="0.25">
      <c r="A5045" t="str" cm="1">
        <f t="array" ref="A5045">IF(INDEX(CUEs!$A:$A,INT((ROW()-1)/7)*57+MOD(ROW()-1,7)+50)&lt;&gt;"","set "&amp;INDEX(CUEs!$A:$A,INT((ROW()-1)/7)*57+MOD(ROW()-1,7)+50)&amp;"=/ s "&amp;INDEX(CUEs!$B:$B,INT((ROW()-1)/7)*57+MOD(ROW()-1,7)+50),"")</f>
        <v/>
      </c>
    </row>
    <row r="5046" spans="1:1" x14ac:dyDescent="0.25">
      <c r="A5046" t="str" cm="1">
        <f t="array" ref="A5046">IF(INDEX(CUEs!$A:$A,INT((ROW()-1)/7)*57+MOD(ROW()-1,7)+50)&lt;&gt;"","set "&amp;INDEX(CUEs!$A:$A,INT((ROW()-1)/7)*57+MOD(ROW()-1,7)+50)&amp;"=/ s "&amp;INDEX(CUEs!$B:$B,INT((ROW()-1)/7)*57+MOD(ROW()-1,7)+50),"")</f>
        <v/>
      </c>
    </row>
    <row r="5047" spans="1:1" x14ac:dyDescent="0.25">
      <c r="A5047" t="str" cm="1">
        <f t="array" ref="A5047">IF(INDEX(CUEs!$A:$A,INT((ROW()-1)/7)*57+MOD(ROW()-1,7)+50)&lt;&gt;"","set "&amp;INDEX(CUEs!$A:$A,INT((ROW()-1)/7)*57+MOD(ROW()-1,7)+50)&amp;"=/ s "&amp;INDEX(CUEs!$B:$B,INT((ROW()-1)/7)*57+MOD(ROW()-1,7)+50),"")</f>
        <v/>
      </c>
    </row>
    <row r="5048" spans="1:1" x14ac:dyDescent="0.25">
      <c r="A5048" t="str" cm="1">
        <f t="array" ref="A5048">IF(INDEX(CUEs!$A:$A,INT((ROW()-1)/7)*57+MOD(ROW()-1,7)+50)&lt;&gt;"","set "&amp;INDEX(CUEs!$A:$A,INT((ROW()-1)/7)*57+MOD(ROW()-1,7)+50)&amp;"=/ s "&amp;INDEX(CUEs!$B:$B,INT((ROW()-1)/7)*57+MOD(ROW()-1,7)+50),"")</f>
        <v/>
      </c>
    </row>
    <row r="5049" spans="1:1" x14ac:dyDescent="0.25">
      <c r="A5049" t="str" cm="1">
        <f t="array" ref="A5049">IF(INDEX(CUEs!$A:$A,INT((ROW()-1)/7)*57+MOD(ROW()-1,7)+50)&lt;&gt;"","set "&amp;INDEX(CUEs!$A:$A,INT((ROW()-1)/7)*57+MOD(ROW()-1,7)+50)&amp;"=/ s "&amp;INDEX(CUEs!$B:$B,INT((ROW()-1)/7)*57+MOD(ROW()-1,7)+50),"")</f>
        <v/>
      </c>
    </row>
    <row r="5050" spans="1:1" x14ac:dyDescent="0.25">
      <c r="A5050" t="str" cm="1">
        <f t="array" ref="A5050">IF(INDEX(CUEs!$A:$A,INT((ROW()-1)/7)*57+MOD(ROW()-1,7)+50)&lt;&gt;"","set "&amp;INDEX(CUEs!$A:$A,INT((ROW()-1)/7)*57+MOD(ROW()-1,7)+50)&amp;"=/ s "&amp;INDEX(CUEs!$B:$B,INT((ROW()-1)/7)*57+MOD(ROW()-1,7)+50),"")</f>
        <v/>
      </c>
    </row>
    <row r="5051" spans="1:1" x14ac:dyDescent="0.25">
      <c r="A5051" t="str" cm="1">
        <f t="array" ref="A5051">IF(INDEX(CUEs!$A:$A,INT((ROW()-1)/7)*57+MOD(ROW()-1,7)+50)&lt;&gt;"","set "&amp;INDEX(CUEs!$A:$A,INT((ROW()-1)/7)*57+MOD(ROW()-1,7)+50)&amp;"=/ s "&amp;INDEX(CUEs!$B:$B,INT((ROW()-1)/7)*57+MOD(ROW()-1,7)+50),"")</f>
        <v/>
      </c>
    </row>
    <row r="5052" spans="1:1" x14ac:dyDescent="0.25">
      <c r="A5052" t="str" cm="1">
        <f t="array" ref="A5052">IF(INDEX(CUEs!$A:$A,INT((ROW()-1)/7)*57+MOD(ROW()-1,7)+50)&lt;&gt;"","set "&amp;INDEX(CUEs!$A:$A,INT((ROW()-1)/7)*57+MOD(ROW()-1,7)+50)&amp;"=/ s "&amp;INDEX(CUEs!$B:$B,INT((ROW()-1)/7)*57+MOD(ROW()-1,7)+50),"")</f>
        <v/>
      </c>
    </row>
    <row r="5053" spans="1:1" x14ac:dyDescent="0.25">
      <c r="A5053" t="str" cm="1">
        <f t="array" ref="A5053">IF(INDEX(CUEs!$A:$A,INT((ROW()-1)/7)*57+MOD(ROW()-1,7)+50)&lt;&gt;"","set "&amp;INDEX(CUEs!$A:$A,INT((ROW()-1)/7)*57+MOD(ROW()-1,7)+50)&amp;"=/ s "&amp;INDEX(CUEs!$B:$B,INT((ROW()-1)/7)*57+MOD(ROW()-1,7)+50),"")</f>
        <v/>
      </c>
    </row>
    <row r="5054" spans="1:1" x14ac:dyDescent="0.25">
      <c r="A5054" t="str" cm="1">
        <f t="array" ref="A5054">IF(INDEX(CUEs!$A:$A,INT((ROW()-1)/7)*57+MOD(ROW()-1,7)+50)&lt;&gt;"","set "&amp;INDEX(CUEs!$A:$A,INT((ROW()-1)/7)*57+MOD(ROW()-1,7)+50)&amp;"=/ s "&amp;INDEX(CUEs!$B:$B,INT((ROW()-1)/7)*57+MOD(ROW()-1,7)+50),"")</f>
        <v/>
      </c>
    </row>
    <row r="5055" spans="1:1" x14ac:dyDescent="0.25">
      <c r="A5055" t="str" cm="1">
        <f t="array" ref="A5055">IF(INDEX(CUEs!$A:$A,INT((ROW()-1)/7)*57+MOD(ROW()-1,7)+50)&lt;&gt;"","set "&amp;INDEX(CUEs!$A:$A,INT((ROW()-1)/7)*57+MOD(ROW()-1,7)+50)&amp;"=/ s "&amp;INDEX(CUEs!$B:$B,INT((ROW()-1)/7)*57+MOD(ROW()-1,7)+50),"")</f>
        <v/>
      </c>
    </row>
    <row r="5056" spans="1:1" x14ac:dyDescent="0.25">
      <c r="A5056" t="str" cm="1">
        <f t="array" ref="A5056">IF(INDEX(CUEs!$A:$A,INT((ROW()-1)/7)*57+MOD(ROW()-1,7)+50)&lt;&gt;"","set "&amp;INDEX(CUEs!$A:$A,INT((ROW()-1)/7)*57+MOD(ROW()-1,7)+50)&amp;"=/ s "&amp;INDEX(CUEs!$B:$B,INT((ROW()-1)/7)*57+MOD(ROW()-1,7)+50),"")</f>
        <v/>
      </c>
    </row>
    <row r="5057" spans="1:1" x14ac:dyDescent="0.25">
      <c r="A5057" t="str" cm="1">
        <f t="array" ref="A5057">IF(INDEX(CUEs!$A:$A,INT((ROW()-1)/7)*57+MOD(ROW()-1,7)+50)&lt;&gt;"","set "&amp;INDEX(CUEs!$A:$A,INT((ROW()-1)/7)*57+MOD(ROW()-1,7)+50)&amp;"=/ s "&amp;INDEX(CUEs!$B:$B,INT((ROW()-1)/7)*57+MOD(ROW()-1,7)+50),"")</f>
        <v/>
      </c>
    </row>
    <row r="5058" spans="1:1" x14ac:dyDescent="0.25">
      <c r="A5058" t="str" cm="1">
        <f t="array" ref="A5058">IF(INDEX(CUEs!$A:$A,INT((ROW()-1)/7)*57+MOD(ROW()-1,7)+50)&lt;&gt;"","set "&amp;INDEX(CUEs!$A:$A,INT((ROW()-1)/7)*57+MOD(ROW()-1,7)+50)&amp;"=/ s "&amp;INDEX(CUEs!$B:$B,INT((ROW()-1)/7)*57+MOD(ROW()-1,7)+50),"")</f>
        <v/>
      </c>
    </row>
    <row r="5059" spans="1:1" x14ac:dyDescent="0.25">
      <c r="A5059" t="str" cm="1">
        <f t="array" ref="A5059">IF(INDEX(CUEs!$A:$A,INT((ROW()-1)/7)*57+MOD(ROW()-1,7)+50)&lt;&gt;"","set "&amp;INDEX(CUEs!$A:$A,INT((ROW()-1)/7)*57+MOD(ROW()-1,7)+50)&amp;"=/ s "&amp;INDEX(CUEs!$B:$B,INT((ROW()-1)/7)*57+MOD(ROW()-1,7)+50),"")</f>
        <v/>
      </c>
    </row>
    <row r="5060" spans="1:1" x14ac:dyDescent="0.25">
      <c r="A5060" t="str" cm="1">
        <f t="array" ref="A5060">IF(INDEX(CUEs!$A:$A,INT((ROW()-1)/7)*57+MOD(ROW()-1,7)+50)&lt;&gt;"","set "&amp;INDEX(CUEs!$A:$A,INT((ROW()-1)/7)*57+MOD(ROW()-1,7)+50)&amp;"=/ s "&amp;INDEX(CUEs!$B:$B,INT((ROW()-1)/7)*57+MOD(ROW()-1,7)+50),"")</f>
        <v/>
      </c>
    </row>
    <row r="5061" spans="1:1" x14ac:dyDescent="0.25">
      <c r="A5061" t="str" cm="1">
        <f t="array" ref="A5061">IF(INDEX(CUEs!$A:$A,INT((ROW()-1)/7)*57+MOD(ROW()-1,7)+50)&lt;&gt;"","set "&amp;INDEX(CUEs!$A:$A,INT((ROW()-1)/7)*57+MOD(ROW()-1,7)+50)&amp;"=/ s "&amp;INDEX(CUEs!$B:$B,INT((ROW()-1)/7)*57+MOD(ROW()-1,7)+50),"")</f>
        <v/>
      </c>
    </row>
    <row r="5062" spans="1:1" x14ac:dyDescent="0.25">
      <c r="A5062" t="str" cm="1">
        <f t="array" ref="A5062">IF(INDEX(CUEs!$A:$A,INT((ROW()-1)/7)*57+MOD(ROW()-1,7)+50)&lt;&gt;"","set "&amp;INDEX(CUEs!$A:$A,INT((ROW()-1)/7)*57+MOD(ROW()-1,7)+50)&amp;"=/ s "&amp;INDEX(CUEs!$B:$B,INT((ROW()-1)/7)*57+MOD(ROW()-1,7)+50),"")</f>
        <v/>
      </c>
    </row>
    <row r="5063" spans="1:1" x14ac:dyDescent="0.25">
      <c r="A5063" t="str" cm="1">
        <f t="array" ref="A5063">IF(INDEX(CUEs!$A:$A,INT((ROW()-1)/7)*57+MOD(ROW()-1,7)+50)&lt;&gt;"","set "&amp;INDEX(CUEs!$A:$A,INT((ROW()-1)/7)*57+MOD(ROW()-1,7)+50)&amp;"=/ s "&amp;INDEX(CUEs!$B:$B,INT((ROW()-1)/7)*57+MOD(ROW()-1,7)+50),"")</f>
        <v/>
      </c>
    </row>
    <row r="5064" spans="1:1" x14ac:dyDescent="0.25">
      <c r="A5064" t="str" cm="1">
        <f t="array" ref="A5064">IF(INDEX(CUEs!$A:$A,INT((ROW()-1)/7)*57+MOD(ROW()-1,7)+50)&lt;&gt;"","set "&amp;INDEX(CUEs!$A:$A,INT((ROW()-1)/7)*57+MOD(ROW()-1,7)+50)&amp;"=/ s "&amp;INDEX(CUEs!$B:$B,INT((ROW()-1)/7)*57+MOD(ROW()-1,7)+50),"")</f>
        <v/>
      </c>
    </row>
    <row r="5065" spans="1:1" x14ac:dyDescent="0.25">
      <c r="A5065" t="str" cm="1">
        <f t="array" ref="A5065">IF(INDEX(CUEs!$A:$A,INT((ROW()-1)/7)*57+MOD(ROW()-1,7)+50)&lt;&gt;"","set "&amp;INDEX(CUEs!$A:$A,INT((ROW()-1)/7)*57+MOD(ROW()-1,7)+50)&amp;"=/ s "&amp;INDEX(CUEs!$B:$B,INT((ROW()-1)/7)*57+MOD(ROW()-1,7)+50),"")</f>
        <v/>
      </c>
    </row>
    <row r="5066" spans="1:1" x14ac:dyDescent="0.25">
      <c r="A5066" t="str" cm="1">
        <f t="array" ref="A5066">IF(INDEX(CUEs!$A:$A,INT((ROW()-1)/7)*57+MOD(ROW()-1,7)+50)&lt;&gt;"","set "&amp;INDEX(CUEs!$A:$A,INT((ROW()-1)/7)*57+MOD(ROW()-1,7)+50)&amp;"=/ s "&amp;INDEX(CUEs!$B:$B,INT((ROW()-1)/7)*57+MOD(ROW()-1,7)+50),"")</f>
        <v/>
      </c>
    </row>
    <row r="5067" spans="1:1" x14ac:dyDescent="0.25">
      <c r="A5067" t="str" cm="1">
        <f t="array" ref="A5067">IF(INDEX(CUEs!$A:$A,INT((ROW()-1)/7)*57+MOD(ROW()-1,7)+50)&lt;&gt;"","set "&amp;INDEX(CUEs!$A:$A,INT((ROW()-1)/7)*57+MOD(ROW()-1,7)+50)&amp;"=/ s "&amp;INDEX(CUEs!$B:$B,INT((ROW()-1)/7)*57+MOD(ROW()-1,7)+50),"")</f>
        <v/>
      </c>
    </row>
    <row r="5068" spans="1:1" x14ac:dyDescent="0.25">
      <c r="A5068" t="str" cm="1">
        <f t="array" ref="A5068">IF(INDEX(CUEs!$A:$A,INT((ROW()-1)/7)*57+MOD(ROW()-1,7)+50)&lt;&gt;"","set "&amp;INDEX(CUEs!$A:$A,INT((ROW()-1)/7)*57+MOD(ROW()-1,7)+50)&amp;"=/ s "&amp;INDEX(CUEs!$B:$B,INT((ROW()-1)/7)*57+MOD(ROW()-1,7)+50),"")</f>
        <v/>
      </c>
    </row>
    <row r="5069" spans="1:1" x14ac:dyDescent="0.25">
      <c r="A5069" t="str" cm="1">
        <f t="array" ref="A5069">IF(INDEX(CUEs!$A:$A,INT((ROW()-1)/7)*57+MOD(ROW()-1,7)+50)&lt;&gt;"","set "&amp;INDEX(CUEs!$A:$A,INT((ROW()-1)/7)*57+MOD(ROW()-1,7)+50)&amp;"=/ s "&amp;INDEX(CUEs!$B:$B,INT((ROW()-1)/7)*57+MOD(ROW()-1,7)+50),"")</f>
        <v/>
      </c>
    </row>
    <row r="5070" spans="1:1" x14ac:dyDescent="0.25">
      <c r="A5070" t="str" cm="1">
        <f t="array" ref="A5070">IF(INDEX(CUEs!$A:$A,INT((ROW()-1)/7)*57+MOD(ROW()-1,7)+50)&lt;&gt;"","set "&amp;INDEX(CUEs!$A:$A,INT((ROW()-1)/7)*57+MOD(ROW()-1,7)+50)&amp;"=/ s "&amp;INDEX(CUEs!$B:$B,INT((ROW()-1)/7)*57+MOD(ROW()-1,7)+50),"")</f>
        <v/>
      </c>
    </row>
    <row r="5071" spans="1:1" x14ac:dyDescent="0.25">
      <c r="A5071" t="str" cm="1">
        <f t="array" ref="A5071">IF(INDEX(CUEs!$A:$A,INT((ROW()-1)/7)*57+MOD(ROW()-1,7)+50)&lt;&gt;"","set "&amp;INDEX(CUEs!$A:$A,INT((ROW()-1)/7)*57+MOD(ROW()-1,7)+50)&amp;"=/ s "&amp;INDEX(CUEs!$B:$B,INT((ROW()-1)/7)*57+MOD(ROW()-1,7)+50),"")</f>
        <v/>
      </c>
    </row>
    <row r="5072" spans="1:1" x14ac:dyDescent="0.25">
      <c r="A5072" t="str" cm="1">
        <f t="array" ref="A5072">IF(INDEX(CUEs!$A:$A,INT((ROW()-1)/7)*57+MOD(ROW()-1,7)+50)&lt;&gt;"","set "&amp;INDEX(CUEs!$A:$A,INT((ROW()-1)/7)*57+MOD(ROW()-1,7)+50)&amp;"=/ s "&amp;INDEX(CUEs!$B:$B,INT((ROW()-1)/7)*57+MOD(ROW()-1,7)+50),"")</f>
        <v/>
      </c>
    </row>
    <row r="5073" spans="1:1" x14ac:dyDescent="0.25">
      <c r="A5073" t="str" cm="1">
        <f t="array" ref="A5073">IF(INDEX(CUEs!$A:$A,INT((ROW()-1)/7)*57+MOD(ROW()-1,7)+50)&lt;&gt;"","set "&amp;INDEX(CUEs!$A:$A,INT((ROW()-1)/7)*57+MOD(ROW()-1,7)+50)&amp;"=/ s "&amp;INDEX(CUEs!$B:$B,INT((ROW()-1)/7)*57+MOD(ROW()-1,7)+50),"")</f>
        <v/>
      </c>
    </row>
    <row r="5074" spans="1:1" x14ac:dyDescent="0.25">
      <c r="A5074" t="str" cm="1">
        <f t="array" ref="A5074">IF(INDEX(CUEs!$A:$A,INT((ROW()-1)/7)*57+MOD(ROW()-1,7)+50)&lt;&gt;"","set "&amp;INDEX(CUEs!$A:$A,INT((ROW()-1)/7)*57+MOD(ROW()-1,7)+50)&amp;"=/ s "&amp;INDEX(CUEs!$B:$B,INT((ROW()-1)/7)*57+MOD(ROW()-1,7)+50),"")</f>
        <v/>
      </c>
    </row>
    <row r="5075" spans="1:1" x14ac:dyDescent="0.25">
      <c r="A5075" t="str" cm="1">
        <f t="array" ref="A5075">IF(INDEX(CUEs!$A:$A,INT((ROW()-1)/7)*57+MOD(ROW()-1,7)+50)&lt;&gt;"","set "&amp;INDEX(CUEs!$A:$A,INT((ROW()-1)/7)*57+MOD(ROW()-1,7)+50)&amp;"=/ s "&amp;INDEX(CUEs!$B:$B,INT((ROW()-1)/7)*57+MOD(ROW()-1,7)+50),"")</f>
        <v/>
      </c>
    </row>
    <row r="5076" spans="1:1" x14ac:dyDescent="0.25">
      <c r="A5076" t="str" cm="1">
        <f t="array" ref="A5076">IF(INDEX(CUEs!$A:$A,INT((ROW()-1)/7)*57+MOD(ROW()-1,7)+50)&lt;&gt;"","set "&amp;INDEX(CUEs!$A:$A,INT((ROW()-1)/7)*57+MOD(ROW()-1,7)+50)&amp;"=/ s "&amp;INDEX(CUEs!$B:$B,INT((ROW()-1)/7)*57+MOD(ROW()-1,7)+50),"")</f>
        <v/>
      </c>
    </row>
    <row r="5077" spans="1:1" x14ac:dyDescent="0.25">
      <c r="A5077" t="str" cm="1">
        <f t="array" ref="A5077">IF(INDEX(CUEs!$A:$A,INT((ROW()-1)/7)*57+MOD(ROW()-1,7)+50)&lt;&gt;"","set "&amp;INDEX(CUEs!$A:$A,INT((ROW()-1)/7)*57+MOD(ROW()-1,7)+50)&amp;"=/ s "&amp;INDEX(CUEs!$B:$B,INT((ROW()-1)/7)*57+MOD(ROW()-1,7)+50),"")</f>
        <v/>
      </c>
    </row>
    <row r="5078" spans="1:1" x14ac:dyDescent="0.25">
      <c r="A5078" t="str" cm="1">
        <f t="array" ref="A5078">IF(INDEX(CUEs!$A:$A,INT((ROW()-1)/7)*57+MOD(ROW()-1,7)+50)&lt;&gt;"","set "&amp;INDEX(CUEs!$A:$A,INT((ROW()-1)/7)*57+MOD(ROW()-1,7)+50)&amp;"=/ s "&amp;INDEX(CUEs!$B:$B,INT((ROW()-1)/7)*57+MOD(ROW()-1,7)+50),"")</f>
        <v/>
      </c>
    </row>
    <row r="5079" spans="1:1" x14ac:dyDescent="0.25">
      <c r="A5079" t="str" cm="1">
        <f t="array" ref="A5079">IF(INDEX(CUEs!$A:$A,INT((ROW()-1)/7)*57+MOD(ROW()-1,7)+50)&lt;&gt;"","set "&amp;INDEX(CUEs!$A:$A,INT((ROW()-1)/7)*57+MOD(ROW()-1,7)+50)&amp;"=/ s "&amp;INDEX(CUEs!$B:$B,INT((ROW()-1)/7)*57+MOD(ROW()-1,7)+50),"")</f>
        <v/>
      </c>
    </row>
    <row r="5080" spans="1:1" x14ac:dyDescent="0.25">
      <c r="A5080" t="str" cm="1">
        <f t="array" ref="A5080">IF(INDEX(CUEs!$A:$A,INT((ROW()-1)/7)*57+MOD(ROW()-1,7)+50)&lt;&gt;"","set "&amp;INDEX(CUEs!$A:$A,INT((ROW()-1)/7)*57+MOD(ROW()-1,7)+50)&amp;"=/ s "&amp;INDEX(CUEs!$B:$B,INT((ROW()-1)/7)*57+MOD(ROW()-1,7)+50),"")</f>
        <v/>
      </c>
    </row>
    <row r="5081" spans="1:1" x14ac:dyDescent="0.25">
      <c r="A5081" t="str" cm="1">
        <f t="array" ref="A5081">IF(INDEX(CUEs!$A:$A,INT((ROW()-1)/7)*57+MOD(ROW()-1,7)+50)&lt;&gt;"","set "&amp;INDEX(CUEs!$A:$A,INT((ROW()-1)/7)*57+MOD(ROW()-1,7)+50)&amp;"=/ s "&amp;INDEX(CUEs!$B:$B,INT((ROW()-1)/7)*57+MOD(ROW()-1,7)+50),"")</f>
        <v/>
      </c>
    </row>
    <row r="5082" spans="1:1" x14ac:dyDescent="0.25">
      <c r="A5082" t="str" cm="1">
        <f t="array" ref="A5082">IF(INDEX(CUEs!$A:$A,INT((ROW()-1)/7)*57+MOD(ROW()-1,7)+50)&lt;&gt;"","set "&amp;INDEX(CUEs!$A:$A,INT((ROW()-1)/7)*57+MOD(ROW()-1,7)+50)&amp;"=/ s "&amp;INDEX(CUEs!$B:$B,INT((ROW()-1)/7)*57+MOD(ROW()-1,7)+50),"")</f>
        <v/>
      </c>
    </row>
    <row r="5083" spans="1:1" x14ac:dyDescent="0.25">
      <c r="A5083" t="str" cm="1">
        <f t="array" ref="A5083">IF(INDEX(CUEs!$A:$A,INT((ROW()-1)/7)*57+MOD(ROW()-1,7)+50)&lt;&gt;"","set "&amp;INDEX(CUEs!$A:$A,INT((ROW()-1)/7)*57+MOD(ROW()-1,7)+50)&amp;"=/ s "&amp;INDEX(CUEs!$B:$B,INT((ROW()-1)/7)*57+MOD(ROW()-1,7)+50),"")</f>
        <v/>
      </c>
    </row>
    <row r="5084" spans="1:1" x14ac:dyDescent="0.25">
      <c r="A5084" t="str" cm="1">
        <f t="array" ref="A5084">IF(INDEX(CUEs!$A:$A,INT((ROW()-1)/7)*57+MOD(ROW()-1,7)+50)&lt;&gt;"","set "&amp;INDEX(CUEs!$A:$A,INT((ROW()-1)/7)*57+MOD(ROW()-1,7)+50)&amp;"=/ s "&amp;INDEX(CUEs!$B:$B,INT((ROW()-1)/7)*57+MOD(ROW()-1,7)+50),"")</f>
        <v/>
      </c>
    </row>
    <row r="5085" spans="1:1" x14ac:dyDescent="0.25">
      <c r="A5085" t="str" cm="1">
        <f t="array" ref="A5085">IF(INDEX(CUEs!$A:$A,INT((ROW()-1)/7)*57+MOD(ROW()-1,7)+50)&lt;&gt;"","set "&amp;INDEX(CUEs!$A:$A,INT((ROW()-1)/7)*57+MOD(ROW()-1,7)+50)&amp;"=/ s "&amp;INDEX(CUEs!$B:$B,INT((ROW()-1)/7)*57+MOD(ROW()-1,7)+50),"")</f>
        <v/>
      </c>
    </row>
    <row r="5086" spans="1:1" x14ac:dyDescent="0.25">
      <c r="A5086" t="str" cm="1">
        <f t="array" ref="A5086">IF(INDEX(CUEs!$A:$A,INT((ROW()-1)/7)*57+MOD(ROW()-1,7)+50)&lt;&gt;"","set "&amp;INDEX(CUEs!$A:$A,INT((ROW()-1)/7)*57+MOD(ROW()-1,7)+50)&amp;"=/ s "&amp;INDEX(CUEs!$B:$B,INT((ROW()-1)/7)*57+MOD(ROW()-1,7)+50),"")</f>
        <v/>
      </c>
    </row>
    <row r="5087" spans="1:1" x14ac:dyDescent="0.25">
      <c r="A5087" t="str" cm="1">
        <f t="array" ref="A5087">IF(INDEX(CUEs!$A:$A,INT((ROW()-1)/7)*57+MOD(ROW()-1,7)+50)&lt;&gt;"","set "&amp;INDEX(CUEs!$A:$A,INT((ROW()-1)/7)*57+MOD(ROW()-1,7)+50)&amp;"=/ s "&amp;INDEX(CUEs!$B:$B,INT((ROW()-1)/7)*57+MOD(ROW()-1,7)+50),"")</f>
        <v/>
      </c>
    </row>
    <row r="5088" spans="1:1" x14ac:dyDescent="0.25">
      <c r="A5088" t="str" cm="1">
        <f t="array" ref="A5088">IF(INDEX(CUEs!$A:$A,INT((ROW()-1)/7)*57+MOD(ROW()-1,7)+50)&lt;&gt;"","set "&amp;INDEX(CUEs!$A:$A,INT((ROW()-1)/7)*57+MOD(ROW()-1,7)+50)&amp;"=/ s "&amp;INDEX(CUEs!$B:$B,INT((ROW()-1)/7)*57+MOD(ROW()-1,7)+50),"")</f>
        <v/>
      </c>
    </row>
    <row r="5089" spans="1:1" x14ac:dyDescent="0.25">
      <c r="A5089" t="str" cm="1">
        <f t="array" ref="A5089">IF(INDEX(CUEs!$A:$A,INT((ROW()-1)/7)*57+MOD(ROW()-1,7)+50)&lt;&gt;"","set "&amp;INDEX(CUEs!$A:$A,INT((ROW()-1)/7)*57+MOD(ROW()-1,7)+50)&amp;"=/ s "&amp;INDEX(CUEs!$B:$B,INT((ROW()-1)/7)*57+MOD(ROW()-1,7)+50),"")</f>
        <v/>
      </c>
    </row>
    <row r="5090" spans="1:1" x14ac:dyDescent="0.25">
      <c r="A5090" t="str" cm="1">
        <f t="array" ref="A5090">IF(INDEX(CUEs!$A:$A,INT((ROW()-1)/7)*57+MOD(ROW()-1,7)+50)&lt;&gt;"","set "&amp;INDEX(CUEs!$A:$A,INT((ROW()-1)/7)*57+MOD(ROW()-1,7)+50)&amp;"=/ s "&amp;INDEX(CUEs!$B:$B,INT((ROW()-1)/7)*57+MOD(ROW()-1,7)+50),"")</f>
        <v/>
      </c>
    </row>
    <row r="5091" spans="1:1" x14ac:dyDescent="0.25">
      <c r="A5091" t="str" cm="1">
        <f t="array" ref="A5091">IF(INDEX(CUEs!$A:$A,INT((ROW()-1)/7)*57+MOD(ROW()-1,7)+50)&lt;&gt;"","set "&amp;INDEX(CUEs!$A:$A,INT((ROW()-1)/7)*57+MOD(ROW()-1,7)+50)&amp;"=/ s "&amp;INDEX(CUEs!$B:$B,INT((ROW()-1)/7)*57+MOD(ROW()-1,7)+50),"")</f>
        <v/>
      </c>
    </row>
    <row r="5092" spans="1:1" x14ac:dyDescent="0.25">
      <c r="A5092" t="str" cm="1">
        <f t="array" ref="A5092">IF(INDEX(CUEs!$A:$A,INT((ROW()-1)/7)*57+MOD(ROW()-1,7)+50)&lt;&gt;"","set "&amp;INDEX(CUEs!$A:$A,INT((ROW()-1)/7)*57+MOD(ROW()-1,7)+50)&amp;"=/ s "&amp;INDEX(CUEs!$B:$B,INT((ROW()-1)/7)*57+MOD(ROW()-1,7)+50),"")</f>
        <v/>
      </c>
    </row>
    <row r="5093" spans="1:1" x14ac:dyDescent="0.25">
      <c r="A5093" t="str" cm="1">
        <f t="array" ref="A5093">IF(INDEX(CUEs!$A:$A,INT((ROW()-1)/7)*57+MOD(ROW()-1,7)+50)&lt;&gt;"","set "&amp;INDEX(CUEs!$A:$A,INT((ROW()-1)/7)*57+MOD(ROW()-1,7)+50)&amp;"=/ s "&amp;INDEX(CUEs!$B:$B,INT((ROW()-1)/7)*57+MOD(ROW()-1,7)+50),"")</f>
        <v/>
      </c>
    </row>
    <row r="5094" spans="1:1" x14ac:dyDescent="0.25">
      <c r="A5094" t="str" cm="1">
        <f t="array" ref="A5094">IF(INDEX(CUEs!$A:$A,INT((ROW()-1)/7)*57+MOD(ROW()-1,7)+50)&lt;&gt;"","set "&amp;INDEX(CUEs!$A:$A,INT((ROW()-1)/7)*57+MOD(ROW()-1,7)+50)&amp;"=/ s "&amp;INDEX(CUEs!$B:$B,INT((ROW()-1)/7)*57+MOD(ROW()-1,7)+50),"")</f>
        <v/>
      </c>
    </row>
    <row r="5095" spans="1:1" x14ac:dyDescent="0.25">
      <c r="A5095" t="str" cm="1">
        <f t="array" ref="A5095">IF(INDEX(CUEs!$A:$A,INT((ROW()-1)/7)*57+MOD(ROW()-1,7)+50)&lt;&gt;"","set "&amp;INDEX(CUEs!$A:$A,INT((ROW()-1)/7)*57+MOD(ROW()-1,7)+50)&amp;"=/ s "&amp;INDEX(CUEs!$B:$B,INT((ROW()-1)/7)*57+MOD(ROW()-1,7)+50),"")</f>
        <v/>
      </c>
    </row>
    <row r="5096" spans="1:1" x14ac:dyDescent="0.25">
      <c r="A5096" t="str" cm="1">
        <f t="array" ref="A5096">IF(INDEX(CUEs!$A:$A,INT((ROW()-1)/7)*57+MOD(ROW()-1,7)+50)&lt;&gt;"","set "&amp;INDEX(CUEs!$A:$A,INT((ROW()-1)/7)*57+MOD(ROW()-1,7)+50)&amp;"=/ s "&amp;INDEX(CUEs!$B:$B,INT((ROW()-1)/7)*57+MOD(ROW()-1,7)+50),"")</f>
        <v/>
      </c>
    </row>
    <row r="5097" spans="1:1" x14ac:dyDescent="0.25">
      <c r="A5097" t="str" cm="1">
        <f t="array" ref="A5097">IF(INDEX(CUEs!$A:$A,INT((ROW()-1)/7)*57+MOD(ROW()-1,7)+50)&lt;&gt;"","set "&amp;INDEX(CUEs!$A:$A,INT((ROW()-1)/7)*57+MOD(ROW()-1,7)+50)&amp;"=/ s "&amp;INDEX(CUEs!$B:$B,INT((ROW()-1)/7)*57+MOD(ROW()-1,7)+50),"")</f>
        <v/>
      </c>
    </row>
    <row r="5098" spans="1:1" x14ac:dyDescent="0.25">
      <c r="A5098" t="str" cm="1">
        <f t="array" ref="A5098">IF(INDEX(CUEs!$A:$A,INT((ROW()-1)/7)*57+MOD(ROW()-1,7)+50)&lt;&gt;"","set "&amp;INDEX(CUEs!$A:$A,INT((ROW()-1)/7)*57+MOD(ROW()-1,7)+50)&amp;"=/ s "&amp;INDEX(CUEs!$B:$B,INT((ROW()-1)/7)*57+MOD(ROW()-1,7)+50),"")</f>
        <v/>
      </c>
    </row>
    <row r="5099" spans="1:1" x14ac:dyDescent="0.25">
      <c r="A5099" t="str" cm="1">
        <f t="array" ref="A5099">IF(INDEX(CUEs!$A:$A,INT((ROW()-1)/7)*57+MOD(ROW()-1,7)+50)&lt;&gt;"","set "&amp;INDEX(CUEs!$A:$A,INT((ROW()-1)/7)*57+MOD(ROW()-1,7)+50)&amp;"=/ s "&amp;INDEX(CUEs!$B:$B,INT((ROW()-1)/7)*57+MOD(ROW()-1,7)+50),"")</f>
        <v/>
      </c>
    </row>
    <row r="5100" spans="1:1" x14ac:dyDescent="0.25">
      <c r="A5100" t="str" cm="1">
        <f t="array" ref="A5100">IF(INDEX(CUEs!$A:$A,INT((ROW()-1)/7)*57+MOD(ROW()-1,7)+50)&lt;&gt;"","set "&amp;INDEX(CUEs!$A:$A,INT((ROW()-1)/7)*57+MOD(ROW()-1,7)+50)&amp;"=/ s "&amp;INDEX(CUEs!$B:$B,INT((ROW()-1)/7)*57+MOD(ROW()-1,7)+50),"")</f>
        <v/>
      </c>
    </row>
    <row r="5101" spans="1:1" x14ac:dyDescent="0.25">
      <c r="A5101" t="str" cm="1">
        <f t="array" ref="A5101">IF(INDEX(CUEs!$A:$A,INT((ROW()-1)/7)*57+MOD(ROW()-1,7)+50)&lt;&gt;"","set "&amp;INDEX(CUEs!$A:$A,INT((ROW()-1)/7)*57+MOD(ROW()-1,7)+50)&amp;"=/ s "&amp;INDEX(CUEs!$B:$B,INT((ROW()-1)/7)*57+MOD(ROW()-1,7)+50),"")</f>
        <v/>
      </c>
    </row>
    <row r="5102" spans="1:1" x14ac:dyDescent="0.25">
      <c r="A5102" t="str" cm="1">
        <f t="array" ref="A5102">IF(INDEX(CUEs!$A:$A,INT((ROW()-1)/7)*57+MOD(ROW()-1,7)+50)&lt;&gt;"","set "&amp;INDEX(CUEs!$A:$A,INT((ROW()-1)/7)*57+MOD(ROW()-1,7)+50)&amp;"=/ s "&amp;INDEX(CUEs!$B:$B,INT((ROW()-1)/7)*57+MOD(ROW()-1,7)+50),"")</f>
        <v/>
      </c>
    </row>
    <row r="5103" spans="1:1" x14ac:dyDescent="0.25">
      <c r="A5103" t="str" cm="1">
        <f t="array" ref="A5103">IF(INDEX(CUEs!$A:$A,INT((ROW()-1)/7)*57+MOD(ROW()-1,7)+50)&lt;&gt;"","set "&amp;INDEX(CUEs!$A:$A,INT((ROW()-1)/7)*57+MOD(ROW()-1,7)+50)&amp;"=/ s "&amp;INDEX(CUEs!$B:$B,INT((ROW()-1)/7)*57+MOD(ROW()-1,7)+50),"")</f>
        <v/>
      </c>
    </row>
    <row r="5104" spans="1:1" x14ac:dyDescent="0.25">
      <c r="A5104" t="str" cm="1">
        <f t="array" ref="A5104">IF(INDEX(CUEs!$A:$A,INT((ROW()-1)/7)*57+MOD(ROW()-1,7)+50)&lt;&gt;"","set "&amp;INDEX(CUEs!$A:$A,INT((ROW()-1)/7)*57+MOD(ROW()-1,7)+50)&amp;"=/ s "&amp;INDEX(CUEs!$B:$B,INT((ROW()-1)/7)*57+MOD(ROW()-1,7)+50),"")</f>
        <v/>
      </c>
    </row>
    <row r="5105" spans="1:1" x14ac:dyDescent="0.25">
      <c r="A5105" t="str" cm="1">
        <f t="array" ref="A5105">IF(INDEX(CUEs!$A:$A,INT((ROW()-1)/7)*57+MOD(ROW()-1,7)+50)&lt;&gt;"","set "&amp;INDEX(CUEs!$A:$A,INT((ROW()-1)/7)*57+MOD(ROW()-1,7)+50)&amp;"=/ s "&amp;INDEX(CUEs!$B:$B,INT((ROW()-1)/7)*57+MOD(ROW()-1,7)+50),"")</f>
        <v/>
      </c>
    </row>
    <row r="5106" spans="1:1" x14ac:dyDescent="0.25">
      <c r="A5106" t="str" cm="1">
        <f t="array" ref="A5106">IF(INDEX(CUEs!$A:$A,INT((ROW()-1)/7)*57+MOD(ROW()-1,7)+50)&lt;&gt;"","set "&amp;INDEX(CUEs!$A:$A,INT((ROW()-1)/7)*57+MOD(ROW()-1,7)+50)&amp;"=/ s "&amp;INDEX(CUEs!$B:$B,INT((ROW()-1)/7)*57+MOD(ROW()-1,7)+50),"")</f>
        <v/>
      </c>
    </row>
    <row r="5107" spans="1:1" x14ac:dyDescent="0.25">
      <c r="A5107" t="str" cm="1">
        <f t="array" ref="A5107">IF(INDEX(CUEs!$A:$A,INT((ROW()-1)/7)*57+MOD(ROW()-1,7)+50)&lt;&gt;"","set "&amp;INDEX(CUEs!$A:$A,INT((ROW()-1)/7)*57+MOD(ROW()-1,7)+50)&amp;"=/ s "&amp;INDEX(CUEs!$B:$B,INT((ROW()-1)/7)*57+MOD(ROW()-1,7)+50),"")</f>
        <v/>
      </c>
    </row>
    <row r="5108" spans="1:1" x14ac:dyDescent="0.25">
      <c r="A5108" t="str" cm="1">
        <f t="array" ref="A5108">IF(INDEX(CUEs!$A:$A,INT((ROW()-1)/7)*57+MOD(ROW()-1,7)+50)&lt;&gt;"","set "&amp;INDEX(CUEs!$A:$A,INT((ROW()-1)/7)*57+MOD(ROW()-1,7)+50)&amp;"=/ s "&amp;INDEX(CUEs!$B:$B,INT((ROW()-1)/7)*57+MOD(ROW()-1,7)+50),"")</f>
        <v/>
      </c>
    </row>
    <row r="5109" spans="1:1" x14ac:dyDescent="0.25">
      <c r="A5109" t="str" cm="1">
        <f t="array" ref="A5109">IF(INDEX(CUEs!$A:$A,INT((ROW()-1)/7)*57+MOD(ROW()-1,7)+50)&lt;&gt;"","set "&amp;INDEX(CUEs!$A:$A,INT((ROW()-1)/7)*57+MOD(ROW()-1,7)+50)&amp;"=/ s "&amp;INDEX(CUEs!$B:$B,INT((ROW()-1)/7)*57+MOD(ROW()-1,7)+50),"")</f>
        <v/>
      </c>
    </row>
    <row r="5110" spans="1:1" x14ac:dyDescent="0.25">
      <c r="A5110" t="str" cm="1">
        <f t="array" ref="A5110">IF(INDEX(CUEs!$A:$A,INT((ROW()-1)/7)*57+MOD(ROW()-1,7)+50)&lt;&gt;"","set "&amp;INDEX(CUEs!$A:$A,INT((ROW()-1)/7)*57+MOD(ROW()-1,7)+50)&amp;"=/ s "&amp;INDEX(CUEs!$B:$B,INT((ROW()-1)/7)*57+MOD(ROW()-1,7)+50),"")</f>
        <v/>
      </c>
    </row>
    <row r="5111" spans="1:1" x14ac:dyDescent="0.25">
      <c r="A5111" t="str" cm="1">
        <f t="array" ref="A5111">IF(INDEX(CUEs!$A:$A,INT((ROW()-1)/7)*57+MOD(ROW()-1,7)+50)&lt;&gt;"","set "&amp;INDEX(CUEs!$A:$A,INT((ROW()-1)/7)*57+MOD(ROW()-1,7)+50)&amp;"=/ s "&amp;INDEX(CUEs!$B:$B,INT((ROW()-1)/7)*57+MOD(ROW()-1,7)+50),"")</f>
        <v/>
      </c>
    </row>
    <row r="5112" spans="1:1" x14ac:dyDescent="0.25">
      <c r="A5112" t="str" cm="1">
        <f t="array" ref="A5112">IF(INDEX(CUEs!$A:$A,INT((ROW()-1)/7)*57+MOD(ROW()-1,7)+50)&lt;&gt;"","set "&amp;INDEX(CUEs!$A:$A,INT((ROW()-1)/7)*57+MOD(ROW()-1,7)+50)&amp;"=/ s "&amp;INDEX(CUEs!$B:$B,INT((ROW()-1)/7)*57+MOD(ROW()-1,7)+50),"")</f>
        <v/>
      </c>
    </row>
    <row r="5113" spans="1:1" x14ac:dyDescent="0.25">
      <c r="A5113" t="str" cm="1">
        <f t="array" ref="A5113">IF(INDEX(CUEs!$A:$A,INT((ROW()-1)/7)*57+MOD(ROW()-1,7)+50)&lt;&gt;"","set "&amp;INDEX(CUEs!$A:$A,INT((ROW()-1)/7)*57+MOD(ROW()-1,7)+50)&amp;"=/ s "&amp;INDEX(CUEs!$B:$B,INT((ROW()-1)/7)*57+MOD(ROW()-1,7)+50),"")</f>
        <v/>
      </c>
    </row>
    <row r="5114" spans="1:1" x14ac:dyDescent="0.25">
      <c r="A5114" t="str" cm="1">
        <f t="array" ref="A5114">IF(INDEX(CUEs!$A:$A,INT((ROW()-1)/7)*57+MOD(ROW()-1,7)+50)&lt;&gt;"","set "&amp;INDEX(CUEs!$A:$A,INT((ROW()-1)/7)*57+MOD(ROW()-1,7)+50)&amp;"=/ s "&amp;INDEX(CUEs!$B:$B,INT((ROW()-1)/7)*57+MOD(ROW()-1,7)+50),"")</f>
        <v/>
      </c>
    </row>
    <row r="5115" spans="1:1" x14ac:dyDescent="0.25">
      <c r="A5115" t="str" cm="1">
        <f t="array" ref="A5115">IF(INDEX(CUEs!$A:$A,INT((ROW()-1)/7)*57+MOD(ROW()-1,7)+50)&lt;&gt;"","set "&amp;INDEX(CUEs!$A:$A,INT((ROW()-1)/7)*57+MOD(ROW()-1,7)+50)&amp;"=/ s "&amp;INDEX(CUEs!$B:$B,INT((ROW()-1)/7)*57+MOD(ROW()-1,7)+50),"")</f>
        <v/>
      </c>
    </row>
    <row r="5116" spans="1:1" x14ac:dyDescent="0.25">
      <c r="A5116" t="str" cm="1">
        <f t="array" ref="A5116">IF(INDEX(CUEs!$A:$A,INT((ROW()-1)/7)*57+MOD(ROW()-1,7)+50)&lt;&gt;"","set "&amp;INDEX(CUEs!$A:$A,INT((ROW()-1)/7)*57+MOD(ROW()-1,7)+50)&amp;"=/ s "&amp;INDEX(CUEs!$B:$B,INT((ROW()-1)/7)*57+MOD(ROW()-1,7)+50),"")</f>
        <v/>
      </c>
    </row>
    <row r="5117" spans="1:1" x14ac:dyDescent="0.25">
      <c r="A5117" t="str" cm="1">
        <f t="array" ref="A5117">IF(INDEX(CUEs!$A:$A,INT((ROW()-1)/7)*57+MOD(ROW()-1,7)+50)&lt;&gt;"","set "&amp;INDEX(CUEs!$A:$A,INT((ROW()-1)/7)*57+MOD(ROW()-1,7)+50)&amp;"=/ s "&amp;INDEX(CUEs!$B:$B,INT((ROW()-1)/7)*57+MOD(ROW()-1,7)+50),"")</f>
        <v/>
      </c>
    </row>
    <row r="5118" spans="1:1" x14ac:dyDescent="0.25">
      <c r="A5118" t="str" cm="1">
        <f t="array" ref="A5118">IF(INDEX(CUEs!$A:$A,INT((ROW()-1)/7)*57+MOD(ROW()-1,7)+50)&lt;&gt;"","set "&amp;INDEX(CUEs!$A:$A,INT((ROW()-1)/7)*57+MOD(ROW()-1,7)+50)&amp;"=/ s "&amp;INDEX(CUEs!$B:$B,INT((ROW()-1)/7)*57+MOD(ROW()-1,7)+50),"")</f>
        <v/>
      </c>
    </row>
    <row r="5119" spans="1:1" x14ac:dyDescent="0.25">
      <c r="A5119" t="str" cm="1">
        <f t="array" ref="A5119">IF(INDEX(CUEs!$A:$A,INT((ROW()-1)/7)*57+MOD(ROW()-1,7)+50)&lt;&gt;"","set "&amp;INDEX(CUEs!$A:$A,INT((ROW()-1)/7)*57+MOD(ROW()-1,7)+50)&amp;"=/ s "&amp;INDEX(CUEs!$B:$B,INT((ROW()-1)/7)*57+MOD(ROW()-1,7)+50),"")</f>
        <v/>
      </c>
    </row>
    <row r="5120" spans="1:1" x14ac:dyDescent="0.25">
      <c r="A5120" t="str" cm="1">
        <f t="array" ref="A5120">IF(INDEX(CUEs!$A:$A,INT((ROW()-1)/7)*57+MOD(ROW()-1,7)+50)&lt;&gt;"","set "&amp;INDEX(CUEs!$A:$A,INT((ROW()-1)/7)*57+MOD(ROW()-1,7)+50)&amp;"=/ s "&amp;INDEX(CUEs!$B:$B,INT((ROW()-1)/7)*57+MOD(ROW()-1,7)+50),"")</f>
        <v/>
      </c>
    </row>
    <row r="5121" spans="1:1" x14ac:dyDescent="0.25">
      <c r="A5121" t="str" cm="1">
        <f t="array" ref="A5121">IF(INDEX(CUEs!$A:$A,INT((ROW()-1)/7)*57+MOD(ROW()-1,7)+50)&lt;&gt;"","set "&amp;INDEX(CUEs!$A:$A,INT((ROW()-1)/7)*57+MOD(ROW()-1,7)+50)&amp;"=/ s "&amp;INDEX(CUEs!$B:$B,INT((ROW()-1)/7)*57+MOD(ROW()-1,7)+50),"")</f>
        <v/>
      </c>
    </row>
    <row r="5122" spans="1:1" x14ac:dyDescent="0.25">
      <c r="A5122" t="str" cm="1">
        <f t="array" ref="A5122">IF(INDEX(CUEs!$A:$A,INT((ROW()-1)/7)*57+MOD(ROW()-1,7)+50)&lt;&gt;"","set "&amp;INDEX(CUEs!$A:$A,INT((ROW()-1)/7)*57+MOD(ROW()-1,7)+50)&amp;"=/ s "&amp;INDEX(CUEs!$B:$B,INT((ROW()-1)/7)*57+MOD(ROW()-1,7)+50),"")</f>
        <v/>
      </c>
    </row>
    <row r="5123" spans="1:1" x14ac:dyDescent="0.25">
      <c r="A5123" t="str" cm="1">
        <f t="array" ref="A5123">IF(INDEX(CUEs!$A:$A,INT((ROW()-1)/7)*57+MOD(ROW()-1,7)+50)&lt;&gt;"","set "&amp;INDEX(CUEs!$A:$A,INT((ROW()-1)/7)*57+MOD(ROW()-1,7)+50)&amp;"=/ s "&amp;INDEX(CUEs!$B:$B,INT((ROW()-1)/7)*57+MOD(ROW()-1,7)+50),"")</f>
        <v/>
      </c>
    </row>
    <row r="5124" spans="1:1" x14ac:dyDescent="0.25">
      <c r="A5124" t="str" cm="1">
        <f t="array" ref="A5124">IF(INDEX(CUEs!$A:$A,INT((ROW()-1)/7)*57+MOD(ROW()-1,7)+50)&lt;&gt;"","set "&amp;INDEX(CUEs!$A:$A,INT((ROW()-1)/7)*57+MOD(ROW()-1,7)+50)&amp;"=/ s "&amp;INDEX(CUEs!$B:$B,INT((ROW()-1)/7)*57+MOD(ROW()-1,7)+50),"")</f>
        <v/>
      </c>
    </row>
    <row r="5125" spans="1:1" x14ac:dyDescent="0.25">
      <c r="A5125" t="str" cm="1">
        <f t="array" ref="A5125">IF(INDEX(CUEs!$A:$A,INT((ROW()-1)/7)*57+MOD(ROW()-1,7)+50)&lt;&gt;"","set "&amp;INDEX(CUEs!$A:$A,INT((ROW()-1)/7)*57+MOD(ROW()-1,7)+50)&amp;"=/ s "&amp;INDEX(CUEs!$B:$B,INT((ROW()-1)/7)*57+MOD(ROW()-1,7)+50),"")</f>
        <v/>
      </c>
    </row>
    <row r="5126" spans="1:1" x14ac:dyDescent="0.25">
      <c r="A5126" t="str" cm="1">
        <f t="array" ref="A5126">IF(INDEX(CUEs!$A:$A,INT((ROW()-1)/7)*57+MOD(ROW()-1,7)+50)&lt;&gt;"","set "&amp;INDEX(CUEs!$A:$A,INT((ROW()-1)/7)*57+MOD(ROW()-1,7)+50)&amp;"=/ s "&amp;INDEX(CUEs!$B:$B,INT((ROW()-1)/7)*57+MOD(ROW()-1,7)+50),"")</f>
        <v/>
      </c>
    </row>
    <row r="5127" spans="1:1" x14ac:dyDescent="0.25">
      <c r="A5127" t="str" cm="1">
        <f t="array" ref="A5127">IF(INDEX(CUEs!$A:$A,INT((ROW()-1)/7)*57+MOD(ROW()-1,7)+50)&lt;&gt;"","set "&amp;INDEX(CUEs!$A:$A,INT((ROW()-1)/7)*57+MOD(ROW()-1,7)+50)&amp;"=/ s "&amp;INDEX(CUEs!$B:$B,INT((ROW()-1)/7)*57+MOD(ROW()-1,7)+50),"")</f>
        <v/>
      </c>
    </row>
    <row r="5128" spans="1:1" x14ac:dyDescent="0.25">
      <c r="A5128" t="str" cm="1">
        <f t="array" ref="A5128">IF(INDEX(CUEs!$A:$A,INT((ROW()-1)/7)*57+MOD(ROW()-1,7)+50)&lt;&gt;"","set "&amp;INDEX(CUEs!$A:$A,INT((ROW()-1)/7)*57+MOD(ROW()-1,7)+50)&amp;"=/ s "&amp;INDEX(CUEs!$B:$B,INT((ROW()-1)/7)*57+MOD(ROW()-1,7)+50),"")</f>
        <v/>
      </c>
    </row>
    <row r="5129" spans="1:1" x14ac:dyDescent="0.25">
      <c r="A5129" t="str" cm="1">
        <f t="array" ref="A5129">IF(INDEX(CUEs!$A:$A,INT((ROW()-1)/7)*57+MOD(ROW()-1,7)+50)&lt;&gt;"","set "&amp;INDEX(CUEs!$A:$A,INT((ROW()-1)/7)*57+MOD(ROW()-1,7)+50)&amp;"=/ s "&amp;INDEX(CUEs!$B:$B,INT((ROW()-1)/7)*57+MOD(ROW()-1,7)+50),"")</f>
        <v/>
      </c>
    </row>
    <row r="5130" spans="1:1" x14ac:dyDescent="0.25">
      <c r="A5130" t="str" cm="1">
        <f t="array" ref="A5130">IF(INDEX(CUEs!$A:$A,INT((ROW()-1)/7)*57+MOD(ROW()-1,7)+50)&lt;&gt;"","set "&amp;INDEX(CUEs!$A:$A,INT((ROW()-1)/7)*57+MOD(ROW()-1,7)+50)&amp;"=/ s "&amp;INDEX(CUEs!$B:$B,INT((ROW()-1)/7)*57+MOD(ROW()-1,7)+50),"")</f>
        <v/>
      </c>
    </row>
    <row r="5131" spans="1:1" x14ac:dyDescent="0.25">
      <c r="A5131" t="str" cm="1">
        <f t="array" ref="A5131">IF(INDEX(CUEs!$A:$A,INT((ROW()-1)/7)*57+MOD(ROW()-1,7)+50)&lt;&gt;"","set "&amp;INDEX(CUEs!$A:$A,INT((ROW()-1)/7)*57+MOD(ROW()-1,7)+50)&amp;"=/ s "&amp;INDEX(CUEs!$B:$B,INT((ROW()-1)/7)*57+MOD(ROW()-1,7)+50),"")</f>
        <v/>
      </c>
    </row>
    <row r="5132" spans="1:1" x14ac:dyDescent="0.25">
      <c r="A5132" t="str" cm="1">
        <f t="array" ref="A5132">IF(INDEX(CUEs!$A:$A,INT((ROW()-1)/7)*57+MOD(ROW()-1,7)+50)&lt;&gt;"","set "&amp;INDEX(CUEs!$A:$A,INT((ROW()-1)/7)*57+MOD(ROW()-1,7)+50)&amp;"=/ s "&amp;INDEX(CUEs!$B:$B,INT((ROW()-1)/7)*57+MOD(ROW()-1,7)+50),"")</f>
        <v/>
      </c>
    </row>
    <row r="5133" spans="1:1" x14ac:dyDescent="0.25">
      <c r="A5133" t="str" cm="1">
        <f t="array" ref="A5133">IF(INDEX(CUEs!$A:$A,INT((ROW()-1)/7)*57+MOD(ROW()-1,7)+50)&lt;&gt;"","set "&amp;INDEX(CUEs!$A:$A,INT((ROW()-1)/7)*57+MOD(ROW()-1,7)+50)&amp;"=/ s "&amp;INDEX(CUEs!$B:$B,INT((ROW()-1)/7)*57+MOD(ROW()-1,7)+50),"")</f>
        <v/>
      </c>
    </row>
    <row r="5134" spans="1:1" x14ac:dyDescent="0.25">
      <c r="A5134" t="str" cm="1">
        <f t="array" ref="A5134">IF(INDEX(CUEs!$A:$A,INT((ROW()-1)/7)*57+MOD(ROW()-1,7)+50)&lt;&gt;"","set "&amp;INDEX(CUEs!$A:$A,INT((ROW()-1)/7)*57+MOD(ROW()-1,7)+50)&amp;"=/ s "&amp;INDEX(CUEs!$B:$B,INT((ROW()-1)/7)*57+MOD(ROW()-1,7)+50),"")</f>
        <v/>
      </c>
    </row>
    <row r="5135" spans="1:1" x14ac:dyDescent="0.25">
      <c r="A5135" t="str" cm="1">
        <f t="array" ref="A5135">IF(INDEX(CUEs!$A:$A,INT((ROW()-1)/7)*57+MOD(ROW()-1,7)+50)&lt;&gt;"","set "&amp;INDEX(CUEs!$A:$A,INT((ROW()-1)/7)*57+MOD(ROW()-1,7)+50)&amp;"=/ s "&amp;INDEX(CUEs!$B:$B,INT((ROW()-1)/7)*57+MOD(ROW()-1,7)+50),"")</f>
        <v/>
      </c>
    </row>
    <row r="5136" spans="1:1" x14ac:dyDescent="0.25">
      <c r="A5136" t="str" cm="1">
        <f t="array" ref="A5136">IF(INDEX(CUEs!$A:$A,INT((ROW()-1)/7)*57+MOD(ROW()-1,7)+50)&lt;&gt;"","set "&amp;INDEX(CUEs!$A:$A,INT((ROW()-1)/7)*57+MOD(ROW()-1,7)+50)&amp;"=/ s "&amp;INDEX(CUEs!$B:$B,INT((ROW()-1)/7)*57+MOD(ROW()-1,7)+50),"")</f>
        <v/>
      </c>
    </row>
    <row r="5137" spans="1:1" x14ac:dyDescent="0.25">
      <c r="A5137" t="str" cm="1">
        <f t="array" ref="A5137">IF(INDEX(CUEs!$A:$A,INT((ROW()-1)/7)*57+MOD(ROW()-1,7)+50)&lt;&gt;"","set "&amp;INDEX(CUEs!$A:$A,INT((ROW()-1)/7)*57+MOD(ROW()-1,7)+50)&amp;"=/ s "&amp;INDEX(CUEs!$B:$B,INT((ROW()-1)/7)*57+MOD(ROW()-1,7)+50),"")</f>
        <v/>
      </c>
    </row>
    <row r="5138" spans="1:1" x14ac:dyDescent="0.25">
      <c r="A5138" t="str" cm="1">
        <f t="array" ref="A5138">IF(INDEX(CUEs!$A:$A,INT((ROW()-1)/7)*57+MOD(ROW()-1,7)+50)&lt;&gt;"","set "&amp;INDEX(CUEs!$A:$A,INT((ROW()-1)/7)*57+MOD(ROW()-1,7)+50)&amp;"=/ s "&amp;INDEX(CUEs!$B:$B,INT((ROW()-1)/7)*57+MOD(ROW()-1,7)+50),"")</f>
        <v/>
      </c>
    </row>
    <row r="5139" spans="1:1" x14ac:dyDescent="0.25">
      <c r="A5139" t="str" cm="1">
        <f t="array" ref="A5139">IF(INDEX(CUEs!$A:$A,INT((ROW()-1)/7)*57+MOD(ROW()-1,7)+50)&lt;&gt;"","set "&amp;INDEX(CUEs!$A:$A,INT((ROW()-1)/7)*57+MOD(ROW()-1,7)+50)&amp;"=/ s "&amp;INDEX(CUEs!$B:$B,INT((ROW()-1)/7)*57+MOD(ROW()-1,7)+50),"")</f>
        <v/>
      </c>
    </row>
    <row r="5140" spans="1:1" x14ac:dyDescent="0.25">
      <c r="A5140" t="str" cm="1">
        <f t="array" ref="A5140">IF(INDEX(CUEs!$A:$A,INT((ROW()-1)/7)*57+MOD(ROW()-1,7)+50)&lt;&gt;"","set "&amp;INDEX(CUEs!$A:$A,INT((ROW()-1)/7)*57+MOD(ROW()-1,7)+50)&amp;"=/ s "&amp;INDEX(CUEs!$B:$B,INT((ROW()-1)/7)*57+MOD(ROW()-1,7)+50),"")</f>
        <v/>
      </c>
    </row>
    <row r="5141" spans="1:1" x14ac:dyDescent="0.25">
      <c r="A5141" t="str" cm="1">
        <f t="array" ref="A5141">IF(INDEX(CUEs!$A:$A,INT((ROW()-1)/7)*57+MOD(ROW()-1,7)+50)&lt;&gt;"","set "&amp;INDEX(CUEs!$A:$A,INT((ROW()-1)/7)*57+MOD(ROW()-1,7)+50)&amp;"=/ s "&amp;INDEX(CUEs!$B:$B,INT((ROW()-1)/7)*57+MOD(ROW()-1,7)+50),"")</f>
        <v/>
      </c>
    </row>
    <row r="5142" spans="1:1" x14ac:dyDescent="0.25">
      <c r="A5142" t="str" cm="1">
        <f t="array" ref="A5142">IF(INDEX(CUEs!$A:$A,INT((ROW()-1)/7)*57+MOD(ROW()-1,7)+50)&lt;&gt;"","set "&amp;INDEX(CUEs!$A:$A,INT((ROW()-1)/7)*57+MOD(ROW()-1,7)+50)&amp;"=/ s "&amp;INDEX(CUEs!$B:$B,INT((ROW()-1)/7)*57+MOD(ROW()-1,7)+50),"")</f>
        <v/>
      </c>
    </row>
    <row r="5143" spans="1:1" x14ac:dyDescent="0.25">
      <c r="A5143" t="str" cm="1">
        <f t="array" ref="A5143">IF(INDEX(CUEs!$A:$A,INT((ROW()-1)/7)*57+MOD(ROW()-1,7)+50)&lt;&gt;"","set "&amp;INDEX(CUEs!$A:$A,INT((ROW()-1)/7)*57+MOD(ROW()-1,7)+50)&amp;"=/ s "&amp;INDEX(CUEs!$B:$B,INT((ROW()-1)/7)*57+MOD(ROW()-1,7)+50),"")</f>
        <v/>
      </c>
    </row>
    <row r="5144" spans="1:1" x14ac:dyDescent="0.25">
      <c r="A5144" t="str" cm="1">
        <f t="array" ref="A5144">IF(INDEX(CUEs!$A:$A,INT((ROW()-1)/7)*57+MOD(ROW()-1,7)+50)&lt;&gt;"","set "&amp;INDEX(CUEs!$A:$A,INT((ROW()-1)/7)*57+MOD(ROW()-1,7)+50)&amp;"=/ s "&amp;INDEX(CUEs!$B:$B,INT((ROW()-1)/7)*57+MOD(ROW()-1,7)+50),"")</f>
        <v/>
      </c>
    </row>
    <row r="5145" spans="1:1" x14ac:dyDescent="0.25">
      <c r="A5145" t="str" cm="1">
        <f t="array" ref="A5145">IF(INDEX(CUEs!$A:$A,INT((ROW()-1)/7)*57+MOD(ROW()-1,7)+50)&lt;&gt;"","set "&amp;INDEX(CUEs!$A:$A,INT((ROW()-1)/7)*57+MOD(ROW()-1,7)+50)&amp;"=/ s "&amp;INDEX(CUEs!$B:$B,INT((ROW()-1)/7)*57+MOD(ROW()-1,7)+50),"")</f>
        <v/>
      </c>
    </row>
    <row r="5146" spans="1:1" x14ac:dyDescent="0.25">
      <c r="A5146" t="str" cm="1">
        <f t="array" ref="A5146">IF(INDEX(CUEs!$A:$A,INT((ROW()-1)/7)*57+MOD(ROW()-1,7)+50)&lt;&gt;"","set "&amp;INDEX(CUEs!$A:$A,INT((ROW()-1)/7)*57+MOD(ROW()-1,7)+50)&amp;"=/ s "&amp;INDEX(CUEs!$B:$B,INT((ROW()-1)/7)*57+MOD(ROW()-1,7)+50),"")</f>
        <v/>
      </c>
    </row>
    <row r="5147" spans="1:1" x14ac:dyDescent="0.25">
      <c r="A5147" t="str" cm="1">
        <f t="array" ref="A5147">IF(INDEX(CUEs!$A:$A,INT((ROW()-1)/7)*57+MOD(ROW()-1,7)+50)&lt;&gt;"","set "&amp;INDEX(CUEs!$A:$A,INT((ROW()-1)/7)*57+MOD(ROW()-1,7)+50)&amp;"=/ s "&amp;INDEX(CUEs!$B:$B,INT((ROW()-1)/7)*57+MOD(ROW()-1,7)+50),"")</f>
        <v/>
      </c>
    </row>
    <row r="5148" spans="1:1" x14ac:dyDescent="0.25">
      <c r="A5148" t="str" cm="1">
        <f t="array" ref="A5148">IF(INDEX(CUEs!$A:$A,INT((ROW()-1)/7)*57+MOD(ROW()-1,7)+50)&lt;&gt;"","set "&amp;INDEX(CUEs!$A:$A,INT((ROW()-1)/7)*57+MOD(ROW()-1,7)+50)&amp;"=/ s "&amp;INDEX(CUEs!$B:$B,INT((ROW()-1)/7)*57+MOD(ROW()-1,7)+50),"")</f>
        <v/>
      </c>
    </row>
    <row r="5149" spans="1:1" x14ac:dyDescent="0.25">
      <c r="A5149" t="str" cm="1">
        <f t="array" ref="A5149">IF(INDEX(CUEs!$A:$A,INT((ROW()-1)/7)*57+MOD(ROW()-1,7)+50)&lt;&gt;"","set "&amp;INDEX(CUEs!$A:$A,INT((ROW()-1)/7)*57+MOD(ROW()-1,7)+50)&amp;"=/ s "&amp;INDEX(CUEs!$B:$B,INT((ROW()-1)/7)*57+MOD(ROW()-1,7)+50),"")</f>
        <v/>
      </c>
    </row>
    <row r="5150" spans="1:1" x14ac:dyDescent="0.25">
      <c r="A5150" t="str" cm="1">
        <f t="array" ref="A5150">IF(INDEX(CUEs!$A:$A,INT((ROW()-1)/7)*57+MOD(ROW()-1,7)+50)&lt;&gt;"","set "&amp;INDEX(CUEs!$A:$A,INT((ROW()-1)/7)*57+MOD(ROW()-1,7)+50)&amp;"=/ s "&amp;INDEX(CUEs!$B:$B,INT((ROW()-1)/7)*57+MOD(ROW()-1,7)+50),"")</f>
        <v/>
      </c>
    </row>
    <row r="5151" spans="1:1" x14ac:dyDescent="0.25">
      <c r="A5151" t="str" cm="1">
        <f t="array" ref="A5151">IF(INDEX(CUEs!$A:$A,INT((ROW()-1)/7)*57+MOD(ROW()-1,7)+50)&lt;&gt;"","set "&amp;INDEX(CUEs!$A:$A,INT((ROW()-1)/7)*57+MOD(ROW()-1,7)+50)&amp;"=/ s "&amp;INDEX(CUEs!$B:$B,INT((ROW()-1)/7)*57+MOD(ROW()-1,7)+50),"")</f>
        <v/>
      </c>
    </row>
    <row r="5152" spans="1:1" x14ac:dyDescent="0.25">
      <c r="A5152" t="str" cm="1">
        <f t="array" ref="A5152">IF(INDEX(CUEs!$A:$A,INT((ROW()-1)/7)*57+MOD(ROW()-1,7)+50)&lt;&gt;"","set "&amp;INDEX(CUEs!$A:$A,INT((ROW()-1)/7)*57+MOD(ROW()-1,7)+50)&amp;"=/ s "&amp;INDEX(CUEs!$B:$B,INT((ROW()-1)/7)*57+MOD(ROW()-1,7)+50),"")</f>
        <v/>
      </c>
    </row>
    <row r="5153" spans="1:1" x14ac:dyDescent="0.25">
      <c r="A5153" t="str" cm="1">
        <f t="array" ref="A5153">IF(INDEX(CUEs!$A:$A,INT((ROW()-1)/7)*57+MOD(ROW()-1,7)+50)&lt;&gt;"","set "&amp;INDEX(CUEs!$A:$A,INT((ROW()-1)/7)*57+MOD(ROW()-1,7)+50)&amp;"=/ s "&amp;INDEX(CUEs!$B:$B,INT((ROW()-1)/7)*57+MOD(ROW()-1,7)+50),"")</f>
        <v/>
      </c>
    </row>
    <row r="5154" spans="1:1" x14ac:dyDescent="0.25">
      <c r="A5154" t="str" cm="1">
        <f t="array" ref="A5154">IF(INDEX(CUEs!$A:$A,INT((ROW()-1)/7)*57+MOD(ROW()-1,7)+50)&lt;&gt;"","set "&amp;INDEX(CUEs!$A:$A,INT((ROW()-1)/7)*57+MOD(ROW()-1,7)+50)&amp;"=/ s "&amp;INDEX(CUEs!$B:$B,INT((ROW()-1)/7)*57+MOD(ROW()-1,7)+50),"")</f>
        <v/>
      </c>
    </row>
    <row r="5155" spans="1:1" x14ac:dyDescent="0.25">
      <c r="A5155" t="str" cm="1">
        <f t="array" ref="A5155">IF(INDEX(CUEs!$A:$A,INT((ROW()-1)/7)*57+MOD(ROW()-1,7)+50)&lt;&gt;"","set "&amp;INDEX(CUEs!$A:$A,INT((ROW()-1)/7)*57+MOD(ROW()-1,7)+50)&amp;"=/ s "&amp;INDEX(CUEs!$B:$B,INT((ROW()-1)/7)*57+MOD(ROW()-1,7)+50),"")</f>
        <v/>
      </c>
    </row>
    <row r="5156" spans="1:1" x14ac:dyDescent="0.25">
      <c r="A5156" t="str" cm="1">
        <f t="array" ref="A5156">IF(INDEX(CUEs!$A:$A,INT((ROW()-1)/7)*57+MOD(ROW()-1,7)+50)&lt;&gt;"","set "&amp;INDEX(CUEs!$A:$A,INT((ROW()-1)/7)*57+MOD(ROW()-1,7)+50)&amp;"=/ s "&amp;INDEX(CUEs!$B:$B,INT((ROW()-1)/7)*57+MOD(ROW()-1,7)+50),"")</f>
        <v/>
      </c>
    </row>
    <row r="5157" spans="1:1" x14ac:dyDescent="0.25">
      <c r="A5157" t="str" cm="1">
        <f t="array" ref="A5157">IF(INDEX(CUEs!$A:$A,INT((ROW()-1)/7)*57+MOD(ROW()-1,7)+50)&lt;&gt;"","set "&amp;INDEX(CUEs!$A:$A,INT((ROW()-1)/7)*57+MOD(ROW()-1,7)+50)&amp;"=/ s "&amp;INDEX(CUEs!$B:$B,INT((ROW()-1)/7)*57+MOD(ROW()-1,7)+50),"")</f>
        <v/>
      </c>
    </row>
    <row r="5158" spans="1:1" x14ac:dyDescent="0.25">
      <c r="A5158" t="str" cm="1">
        <f t="array" ref="A5158">IF(INDEX(CUEs!$A:$A,INT((ROW()-1)/7)*57+MOD(ROW()-1,7)+50)&lt;&gt;"","set "&amp;INDEX(CUEs!$A:$A,INT((ROW()-1)/7)*57+MOD(ROW()-1,7)+50)&amp;"=/ s "&amp;INDEX(CUEs!$B:$B,INT((ROW()-1)/7)*57+MOD(ROW()-1,7)+50),"")</f>
        <v/>
      </c>
    </row>
    <row r="5159" spans="1:1" x14ac:dyDescent="0.25">
      <c r="A5159" t="str" cm="1">
        <f t="array" ref="A5159">IF(INDEX(CUEs!$A:$A,INT((ROW()-1)/7)*57+MOD(ROW()-1,7)+50)&lt;&gt;"","set "&amp;INDEX(CUEs!$A:$A,INT((ROW()-1)/7)*57+MOD(ROW()-1,7)+50)&amp;"=/ s "&amp;INDEX(CUEs!$B:$B,INT((ROW()-1)/7)*57+MOD(ROW()-1,7)+50),"")</f>
        <v/>
      </c>
    </row>
    <row r="5160" spans="1:1" x14ac:dyDescent="0.25">
      <c r="A5160" t="str" cm="1">
        <f t="array" ref="A5160">IF(INDEX(CUEs!$A:$A,INT((ROW()-1)/7)*57+MOD(ROW()-1,7)+50)&lt;&gt;"","set "&amp;INDEX(CUEs!$A:$A,INT((ROW()-1)/7)*57+MOD(ROW()-1,7)+50)&amp;"=/ s "&amp;INDEX(CUEs!$B:$B,INT((ROW()-1)/7)*57+MOD(ROW()-1,7)+50),"")</f>
        <v/>
      </c>
    </row>
    <row r="5161" spans="1:1" x14ac:dyDescent="0.25">
      <c r="A5161" t="str" cm="1">
        <f t="array" ref="A5161">IF(INDEX(CUEs!$A:$A,INT((ROW()-1)/7)*57+MOD(ROW()-1,7)+50)&lt;&gt;"","set "&amp;INDEX(CUEs!$A:$A,INT((ROW()-1)/7)*57+MOD(ROW()-1,7)+50)&amp;"=/ s "&amp;INDEX(CUEs!$B:$B,INT((ROW()-1)/7)*57+MOD(ROW()-1,7)+50),"")</f>
        <v/>
      </c>
    </row>
    <row r="5162" spans="1:1" x14ac:dyDescent="0.25">
      <c r="A5162" t="str" cm="1">
        <f t="array" ref="A5162">IF(INDEX(CUEs!$A:$A,INT((ROW()-1)/7)*57+MOD(ROW()-1,7)+50)&lt;&gt;"","set "&amp;INDEX(CUEs!$A:$A,INT((ROW()-1)/7)*57+MOD(ROW()-1,7)+50)&amp;"=/ s "&amp;INDEX(CUEs!$B:$B,INT((ROW()-1)/7)*57+MOD(ROW()-1,7)+50),"")</f>
        <v/>
      </c>
    </row>
    <row r="5163" spans="1:1" x14ac:dyDescent="0.25">
      <c r="A5163" t="str" cm="1">
        <f t="array" ref="A5163">IF(INDEX(CUEs!$A:$A,INT((ROW()-1)/7)*57+MOD(ROW()-1,7)+50)&lt;&gt;"","set "&amp;INDEX(CUEs!$A:$A,INT((ROW()-1)/7)*57+MOD(ROW()-1,7)+50)&amp;"=/ s "&amp;INDEX(CUEs!$B:$B,INT((ROW()-1)/7)*57+MOD(ROW()-1,7)+50),"")</f>
        <v/>
      </c>
    </row>
    <row r="5164" spans="1:1" x14ac:dyDescent="0.25">
      <c r="A5164" t="str" cm="1">
        <f t="array" ref="A5164">IF(INDEX(CUEs!$A:$A,INT((ROW()-1)/7)*57+MOD(ROW()-1,7)+50)&lt;&gt;"","set "&amp;INDEX(CUEs!$A:$A,INT((ROW()-1)/7)*57+MOD(ROW()-1,7)+50)&amp;"=/ s "&amp;INDEX(CUEs!$B:$B,INT((ROW()-1)/7)*57+MOD(ROW()-1,7)+50),"")</f>
        <v/>
      </c>
    </row>
    <row r="5165" spans="1:1" x14ac:dyDescent="0.25">
      <c r="A5165" t="str" cm="1">
        <f t="array" ref="A5165">IF(INDEX(CUEs!$A:$A,INT((ROW()-1)/7)*57+MOD(ROW()-1,7)+50)&lt;&gt;"","set "&amp;INDEX(CUEs!$A:$A,INT((ROW()-1)/7)*57+MOD(ROW()-1,7)+50)&amp;"=/ s "&amp;INDEX(CUEs!$B:$B,INT((ROW()-1)/7)*57+MOD(ROW()-1,7)+50),"")</f>
        <v/>
      </c>
    </row>
    <row r="5166" spans="1:1" x14ac:dyDescent="0.25">
      <c r="A5166" t="str" cm="1">
        <f t="array" ref="A5166">IF(INDEX(CUEs!$A:$A,INT((ROW()-1)/7)*57+MOD(ROW()-1,7)+50)&lt;&gt;"","set "&amp;INDEX(CUEs!$A:$A,INT((ROW()-1)/7)*57+MOD(ROW()-1,7)+50)&amp;"=/ s "&amp;INDEX(CUEs!$B:$B,INT((ROW()-1)/7)*57+MOD(ROW()-1,7)+50),"")</f>
        <v/>
      </c>
    </row>
    <row r="5167" spans="1:1" x14ac:dyDescent="0.25">
      <c r="A5167" t="str" cm="1">
        <f t="array" ref="A5167">IF(INDEX(CUEs!$A:$A,INT((ROW()-1)/7)*57+MOD(ROW()-1,7)+50)&lt;&gt;"","set "&amp;INDEX(CUEs!$A:$A,INT((ROW()-1)/7)*57+MOD(ROW()-1,7)+50)&amp;"=/ s "&amp;INDEX(CUEs!$B:$B,INT((ROW()-1)/7)*57+MOD(ROW()-1,7)+50),"")</f>
        <v/>
      </c>
    </row>
    <row r="5168" spans="1:1" x14ac:dyDescent="0.25">
      <c r="A5168" t="str" cm="1">
        <f t="array" ref="A5168">IF(INDEX(CUEs!$A:$A,INT((ROW()-1)/7)*57+MOD(ROW()-1,7)+50)&lt;&gt;"","set "&amp;INDEX(CUEs!$A:$A,INT((ROW()-1)/7)*57+MOD(ROW()-1,7)+50)&amp;"=/ s "&amp;INDEX(CUEs!$B:$B,INT((ROW()-1)/7)*57+MOD(ROW()-1,7)+50),"")</f>
        <v/>
      </c>
    </row>
    <row r="5169" spans="1:1" x14ac:dyDescent="0.25">
      <c r="A5169" t="str" cm="1">
        <f t="array" ref="A5169">IF(INDEX(CUEs!$A:$A,INT((ROW()-1)/7)*57+MOD(ROW()-1,7)+50)&lt;&gt;"","set "&amp;INDEX(CUEs!$A:$A,INT((ROW()-1)/7)*57+MOD(ROW()-1,7)+50)&amp;"=/ s "&amp;INDEX(CUEs!$B:$B,INT((ROW()-1)/7)*57+MOD(ROW()-1,7)+50),"")</f>
        <v/>
      </c>
    </row>
    <row r="5170" spans="1:1" x14ac:dyDescent="0.25">
      <c r="A5170" t="str" cm="1">
        <f t="array" ref="A5170">IF(INDEX(CUEs!$A:$A,INT((ROW()-1)/7)*57+MOD(ROW()-1,7)+50)&lt;&gt;"","set "&amp;INDEX(CUEs!$A:$A,INT((ROW()-1)/7)*57+MOD(ROW()-1,7)+50)&amp;"=/ s "&amp;INDEX(CUEs!$B:$B,INT((ROW()-1)/7)*57+MOD(ROW()-1,7)+50),"")</f>
        <v/>
      </c>
    </row>
    <row r="5171" spans="1:1" x14ac:dyDescent="0.25">
      <c r="A5171" t="str" cm="1">
        <f t="array" ref="A5171">IF(INDEX(CUEs!$A:$A,INT((ROW()-1)/7)*57+MOD(ROW()-1,7)+50)&lt;&gt;"","set "&amp;INDEX(CUEs!$A:$A,INT((ROW()-1)/7)*57+MOD(ROW()-1,7)+50)&amp;"=/ s "&amp;INDEX(CUEs!$B:$B,INT((ROW()-1)/7)*57+MOD(ROW()-1,7)+50),"")</f>
        <v/>
      </c>
    </row>
    <row r="5172" spans="1:1" x14ac:dyDescent="0.25">
      <c r="A5172" t="str" cm="1">
        <f t="array" ref="A5172">IF(INDEX(CUEs!$A:$A,INT((ROW()-1)/7)*57+MOD(ROW()-1,7)+50)&lt;&gt;"","set "&amp;INDEX(CUEs!$A:$A,INT((ROW()-1)/7)*57+MOD(ROW()-1,7)+50)&amp;"=/ s "&amp;INDEX(CUEs!$B:$B,INT((ROW()-1)/7)*57+MOD(ROW()-1,7)+50),"")</f>
        <v/>
      </c>
    </row>
    <row r="5173" spans="1:1" x14ac:dyDescent="0.25">
      <c r="A5173" t="str" cm="1">
        <f t="array" ref="A5173">IF(INDEX(CUEs!$A:$A,INT((ROW()-1)/7)*57+MOD(ROW()-1,7)+50)&lt;&gt;"","set "&amp;INDEX(CUEs!$A:$A,INT((ROW()-1)/7)*57+MOD(ROW()-1,7)+50)&amp;"=/ s "&amp;INDEX(CUEs!$B:$B,INT((ROW()-1)/7)*57+MOD(ROW()-1,7)+50),"")</f>
        <v/>
      </c>
    </row>
    <row r="5174" spans="1:1" x14ac:dyDescent="0.25">
      <c r="A5174" t="str" cm="1">
        <f t="array" ref="A5174">IF(INDEX(CUEs!$A:$A,INT((ROW()-1)/7)*57+MOD(ROW()-1,7)+50)&lt;&gt;"","set "&amp;INDEX(CUEs!$A:$A,INT((ROW()-1)/7)*57+MOD(ROW()-1,7)+50)&amp;"=/ s "&amp;INDEX(CUEs!$B:$B,INT((ROW()-1)/7)*57+MOD(ROW()-1,7)+50),"")</f>
        <v/>
      </c>
    </row>
    <row r="5175" spans="1:1" x14ac:dyDescent="0.25">
      <c r="A5175" t="str" cm="1">
        <f t="array" ref="A5175">IF(INDEX(CUEs!$A:$A,INT((ROW()-1)/7)*57+MOD(ROW()-1,7)+50)&lt;&gt;"","set "&amp;INDEX(CUEs!$A:$A,INT((ROW()-1)/7)*57+MOD(ROW()-1,7)+50)&amp;"=/ s "&amp;INDEX(CUEs!$B:$B,INT((ROW()-1)/7)*57+MOD(ROW()-1,7)+50),"")</f>
        <v/>
      </c>
    </row>
    <row r="5176" spans="1:1" x14ac:dyDescent="0.25">
      <c r="A5176" t="str" cm="1">
        <f t="array" ref="A5176">IF(INDEX(CUEs!$A:$A,INT((ROW()-1)/7)*57+MOD(ROW()-1,7)+50)&lt;&gt;"","set "&amp;INDEX(CUEs!$A:$A,INT((ROW()-1)/7)*57+MOD(ROW()-1,7)+50)&amp;"=/ s "&amp;INDEX(CUEs!$B:$B,INT((ROW()-1)/7)*57+MOD(ROW()-1,7)+50),"")</f>
        <v/>
      </c>
    </row>
    <row r="5177" spans="1:1" x14ac:dyDescent="0.25">
      <c r="A5177" t="str" cm="1">
        <f t="array" ref="A5177">IF(INDEX(CUEs!$A:$A,INT((ROW()-1)/7)*57+MOD(ROW()-1,7)+50)&lt;&gt;"","set "&amp;INDEX(CUEs!$A:$A,INT((ROW()-1)/7)*57+MOD(ROW()-1,7)+50)&amp;"=/ s "&amp;INDEX(CUEs!$B:$B,INT((ROW()-1)/7)*57+MOD(ROW()-1,7)+50),"")</f>
        <v/>
      </c>
    </row>
    <row r="5178" spans="1:1" x14ac:dyDescent="0.25">
      <c r="A5178" t="str" cm="1">
        <f t="array" ref="A5178">IF(INDEX(CUEs!$A:$A,INT((ROW()-1)/7)*57+MOD(ROW()-1,7)+50)&lt;&gt;"","set "&amp;INDEX(CUEs!$A:$A,INT((ROW()-1)/7)*57+MOD(ROW()-1,7)+50)&amp;"=/ s "&amp;INDEX(CUEs!$B:$B,INT((ROW()-1)/7)*57+MOD(ROW()-1,7)+50),"")</f>
        <v/>
      </c>
    </row>
    <row r="5179" spans="1:1" x14ac:dyDescent="0.25">
      <c r="A5179" t="str" cm="1">
        <f t="array" ref="A5179">IF(INDEX(CUEs!$A:$A,INT((ROW()-1)/7)*57+MOD(ROW()-1,7)+50)&lt;&gt;"","set "&amp;INDEX(CUEs!$A:$A,INT((ROW()-1)/7)*57+MOD(ROW()-1,7)+50)&amp;"=/ s "&amp;INDEX(CUEs!$B:$B,INT((ROW()-1)/7)*57+MOD(ROW()-1,7)+50),"")</f>
        <v/>
      </c>
    </row>
    <row r="5180" spans="1:1" x14ac:dyDescent="0.25">
      <c r="A5180" t="str" cm="1">
        <f t="array" ref="A5180">IF(INDEX(CUEs!$A:$A,INT((ROW()-1)/7)*57+MOD(ROW()-1,7)+50)&lt;&gt;"","set "&amp;INDEX(CUEs!$A:$A,INT((ROW()-1)/7)*57+MOD(ROW()-1,7)+50)&amp;"=/ s "&amp;INDEX(CUEs!$B:$B,INT((ROW()-1)/7)*57+MOD(ROW()-1,7)+50),"")</f>
        <v/>
      </c>
    </row>
    <row r="5181" spans="1:1" x14ac:dyDescent="0.25">
      <c r="A5181" t="str" cm="1">
        <f t="array" ref="A5181">IF(INDEX(CUEs!$A:$A,INT((ROW()-1)/7)*57+MOD(ROW()-1,7)+50)&lt;&gt;"","set "&amp;INDEX(CUEs!$A:$A,INT((ROW()-1)/7)*57+MOD(ROW()-1,7)+50)&amp;"=/ s "&amp;INDEX(CUEs!$B:$B,INT((ROW()-1)/7)*57+MOD(ROW()-1,7)+50),"")</f>
        <v/>
      </c>
    </row>
    <row r="5182" spans="1:1" x14ac:dyDescent="0.25">
      <c r="A5182" t="str" cm="1">
        <f t="array" ref="A5182">IF(INDEX(CUEs!$A:$A,INT((ROW()-1)/7)*57+MOD(ROW()-1,7)+50)&lt;&gt;"","set "&amp;INDEX(CUEs!$A:$A,INT((ROW()-1)/7)*57+MOD(ROW()-1,7)+50)&amp;"=/ s "&amp;INDEX(CUEs!$B:$B,INT((ROW()-1)/7)*57+MOD(ROW()-1,7)+50),"")</f>
        <v/>
      </c>
    </row>
    <row r="5183" spans="1:1" x14ac:dyDescent="0.25">
      <c r="A5183" t="str" cm="1">
        <f t="array" ref="A5183">IF(INDEX(CUEs!$A:$A,INT((ROW()-1)/7)*57+MOD(ROW()-1,7)+50)&lt;&gt;"","set "&amp;INDEX(CUEs!$A:$A,INT((ROW()-1)/7)*57+MOD(ROW()-1,7)+50)&amp;"=/ s "&amp;INDEX(CUEs!$B:$B,INT((ROW()-1)/7)*57+MOD(ROW()-1,7)+50),"")</f>
        <v/>
      </c>
    </row>
    <row r="5184" spans="1:1" x14ac:dyDescent="0.25">
      <c r="A5184" t="str" cm="1">
        <f t="array" ref="A5184">IF(INDEX(CUEs!$A:$A,INT((ROW()-1)/7)*57+MOD(ROW()-1,7)+50)&lt;&gt;"","set "&amp;INDEX(CUEs!$A:$A,INT((ROW()-1)/7)*57+MOD(ROW()-1,7)+50)&amp;"=/ s "&amp;INDEX(CUEs!$B:$B,INT((ROW()-1)/7)*57+MOD(ROW()-1,7)+50),"")</f>
        <v/>
      </c>
    </row>
    <row r="5185" spans="1:1" x14ac:dyDescent="0.25">
      <c r="A5185" t="str" cm="1">
        <f t="array" ref="A5185">IF(INDEX(CUEs!$A:$A,INT((ROW()-1)/7)*57+MOD(ROW()-1,7)+50)&lt;&gt;"","set "&amp;INDEX(CUEs!$A:$A,INT((ROW()-1)/7)*57+MOD(ROW()-1,7)+50)&amp;"=/ s "&amp;INDEX(CUEs!$B:$B,INT((ROW()-1)/7)*57+MOD(ROW()-1,7)+50),"")</f>
        <v/>
      </c>
    </row>
    <row r="5186" spans="1:1" x14ac:dyDescent="0.25">
      <c r="A5186" t="str" cm="1">
        <f t="array" ref="A5186">IF(INDEX(CUEs!$A:$A,INT((ROW()-1)/7)*57+MOD(ROW()-1,7)+50)&lt;&gt;"","set "&amp;INDEX(CUEs!$A:$A,INT((ROW()-1)/7)*57+MOD(ROW()-1,7)+50)&amp;"=/ s "&amp;INDEX(CUEs!$B:$B,INT((ROW()-1)/7)*57+MOD(ROW()-1,7)+50),"")</f>
        <v/>
      </c>
    </row>
    <row r="5187" spans="1:1" x14ac:dyDescent="0.25">
      <c r="A5187" t="str" cm="1">
        <f t="array" ref="A5187">IF(INDEX(CUEs!$A:$A,INT((ROW()-1)/7)*57+MOD(ROW()-1,7)+50)&lt;&gt;"","set "&amp;INDEX(CUEs!$A:$A,INT((ROW()-1)/7)*57+MOD(ROW()-1,7)+50)&amp;"=/ s "&amp;INDEX(CUEs!$B:$B,INT((ROW()-1)/7)*57+MOD(ROW()-1,7)+50),"")</f>
        <v/>
      </c>
    </row>
    <row r="5188" spans="1:1" x14ac:dyDescent="0.25">
      <c r="A5188" t="str" cm="1">
        <f t="array" ref="A5188">IF(INDEX(CUEs!$A:$A,INT((ROW()-1)/7)*57+MOD(ROW()-1,7)+50)&lt;&gt;"","set "&amp;INDEX(CUEs!$A:$A,INT((ROW()-1)/7)*57+MOD(ROW()-1,7)+50)&amp;"=/ s "&amp;INDEX(CUEs!$B:$B,INT((ROW()-1)/7)*57+MOD(ROW()-1,7)+50),"")</f>
        <v/>
      </c>
    </row>
    <row r="5189" spans="1:1" x14ac:dyDescent="0.25">
      <c r="A5189" t="str" cm="1">
        <f t="array" ref="A5189">IF(INDEX(CUEs!$A:$A,INT((ROW()-1)/7)*57+MOD(ROW()-1,7)+50)&lt;&gt;"","set "&amp;INDEX(CUEs!$A:$A,INT((ROW()-1)/7)*57+MOD(ROW()-1,7)+50)&amp;"=/ s "&amp;INDEX(CUEs!$B:$B,INT((ROW()-1)/7)*57+MOD(ROW()-1,7)+50),"")</f>
        <v/>
      </c>
    </row>
    <row r="5190" spans="1:1" x14ac:dyDescent="0.25">
      <c r="A5190" t="str" cm="1">
        <f t="array" ref="A5190">IF(INDEX(CUEs!$A:$A,INT((ROW()-1)/7)*57+MOD(ROW()-1,7)+50)&lt;&gt;"","set "&amp;INDEX(CUEs!$A:$A,INT((ROW()-1)/7)*57+MOD(ROW()-1,7)+50)&amp;"=/ s "&amp;INDEX(CUEs!$B:$B,INT((ROW()-1)/7)*57+MOD(ROW()-1,7)+50),"")</f>
        <v/>
      </c>
    </row>
    <row r="5191" spans="1:1" x14ac:dyDescent="0.25">
      <c r="A5191" t="str" cm="1">
        <f t="array" ref="A5191">IF(INDEX(CUEs!$A:$A,INT((ROW()-1)/7)*57+MOD(ROW()-1,7)+50)&lt;&gt;"","set "&amp;INDEX(CUEs!$A:$A,INT((ROW()-1)/7)*57+MOD(ROW()-1,7)+50)&amp;"=/ s "&amp;INDEX(CUEs!$B:$B,INT((ROW()-1)/7)*57+MOD(ROW()-1,7)+50),"")</f>
        <v/>
      </c>
    </row>
    <row r="5192" spans="1:1" x14ac:dyDescent="0.25">
      <c r="A5192" t="str" cm="1">
        <f t="array" ref="A5192">IF(INDEX(CUEs!$A:$A,INT((ROW()-1)/7)*57+MOD(ROW()-1,7)+50)&lt;&gt;"","set "&amp;INDEX(CUEs!$A:$A,INT((ROW()-1)/7)*57+MOD(ROW()-1,7)+50)&amp;"=/ s "&amp;INDEX(CUEs!$B:$B,INT((ROW()-1)/7)*57+MOD(ROW()-1,7)+50),"")</f>
        <v/>
      </c>
    </row>
    <row r="5193" spans="1:1" x14ac:dyDescent="0.25">
      <c r="A5193" t="str" cm="1">
        <f t="array" ref="A5193">IF(INDEX(CUEs!$A:$A,INT((ROW()-1)/7)*57+MOD(ROW()-1,7)+50)&lt;&gt;"","set "&amp;INDEX(CUEs!$A:$A,INT((ROW()-1)/7)*57+MOD(ROW()-1,7)+50)&amp;"=/ s "&amp;INDEX(CUEs!$B:$B,INT((ROW()-1)/7)*57+MOD(ROW()-1,7)+50),"")</f>
        <v/>
      </c>
    </row>
    <row r="5194" spans="1:1" x14ac:dyDescent="0.25">
      <c r="A5194" t="str" cm="1">
        <f t="array" ref="A5194">IF(INDEX(CUEs!$A:$A,INT((ROW()-1)/7)*57+MOD(ROW()-1,7)+50)&lt;&gt;"","set "&amp;INDEX(CUEs!$A:$A,INT((ROW()-1)/7)*57+MOD(ROW()-1,7)+50)&amp;"=/ s "&amp;INDEX(CUEs!$B:$B,INT((ROW()-1)/7)*57+MOD(ROW()-1,7)+50),"")</f>
        <v/>
      </c>
    </row>
    <row r="5195" spans="1:1" x14ac:dyDescent="0.25">
      <c r="A5195" t="str" cm="1">
        <f t="array" ref="A5195">IF(INDEX(CUEs!$A:$A,INT((ROW()-1)/7)*57+MOD(ROW()-1,7)+50)&lt;&gt;"","set "&amp;INDEX(CUEs!$A:$A,INT((ROW()-1)/7)*57+MOD(ROW()-1,7)+50)&amp;"=/ s "&amp;INDEX(CUEs!$B:$B,INT((ROW()-1)/7)*57+MOD(ROW()-1,7)+50),"")</f>
        <v/>
      </c>
    </row>
    <row r="5196" spans="1:1" x14ac:dyDescent="0.25">
      <c r="A5196" t="str" cm="1">
        <f t="array" ref="A5196">IF(INDEX(CUEs!$A:$A,INT((ROW()-1)/7)*57+MOD(ROW()-1,7)+50)&lt;&gt;"","set "&amp;INDEX(CUEs!$A:$A,INT((ROW()-1)/7)*57+MOD(ROW()-1,7)+50)&amp;"=/ s "&amp;INDEX(CUEs!$B:$B,INT((ROW()-1)/7)*57+MOD(ROW()-1,7)+50),"")</f>
        <v/>
      </c>
    </row>
    <row r="5197" spans="1:1" x14ac:dyDescent="0.25">
      <c r="A5197" t="str" cm="1">
        <f t="array" ref="A5197">IF(INDEX(CUEs!$A:$A,INT((ROW()-1)/7)*57+MOD(ROW()-1,7)+50)&lt;&gt;"","set "&amp;INDEX(CUEs!$A:$A,INT((ROW()-1)/7)*57+MOD(ROW()-1,7)+50)&amp;"=/ s "&amp;INDEX(CUEs!$B:$B,INT((ROW()-1)/7)*57+MOD(ROW()-1,7)+50),"")</f>
        <v/>
      </c>
    </row>
    <row r="5198" spans="1:1" x14ac:dyDescent="0.25">
      <c r="A5198" t="str" cm="1">
        <f t="array" ref="A5198">IF(INDEX(CUEs!$A:$A,INT((ROW()-1)/7)*57+MOD(ROW()-1,7)+50)&lt;&gt;"","set "&amp;INDEX(CUEs!$A:$A,INT((ROW()-1)/7)*57+MOD(ROW()-1,7)+50)&amp;"=/ s "&amp;INDEX(CUEs!$B:$B,INT((ROW()-1)/7)*57+MOD(ROW()-1,7)+50),"")</f>
        <v/>
      </c>
    </row>
    <row r="5199" spans="1:1" x14ac:dyDescent="0.25">
      <c r="A5199" t="str" cm="1">
        <f t="array" ref="A5199">IF(INDEX(CUEs!$A:$A,INT((ROW()-1)/7)*57+MOD(ROW()-1,7)+50)&lt;&gt;"","set "&amp;INDEX(CUEs!$A:$A,INT((ROW()-1)/7)*57+MOD(ROW()-1,7)+50)&amp;"=/ s "&amp;INDEX(CUEs!$B:$B,INT((ROW()-1)/7)*57+MOD(ROW()-1,7)+50),"")</f>
        <v/>
      </c>
    </row>
    <row r="5200" spans="1:1" x14ac:dyDescent="0.25">
      <c r="A5200" t="str" cm="1">
        <f t="array" ref="A5200">IF(INDEX(CUEs!$A:$A,INT((ROW()-1)/7)*57+MOD(ROW()-1,7)+50)&lt;&gt;"","set "&amp;INDEX(CUEs!$A:$A,INT((ROW()-1)/7)*57+MOD(ROW()-1,7)+50)&amp;"=/ s "&amp;INDEX(CUEs!$B:$B,INT((ROW()-1)/7)*57+MOD(ROW()-1,7)+50),"")</f>
        <v/>
      </c>
    </row>
    <row r="5201" spans="1:1" x14ac:dyDescent="0.25">
      <c r="A5201" t="str" cm="1">
        <f t="array" ref="A5201">IF(INDEX(CUEs!$A:$A,INT((ROW()-1)/7)*57+MOD(ROW()-1,7)+50)&lt;&gt;"","set "&amp;INDEX(CUEs!$A:$A,INT((ROW()-1)/7)*57+MOD(ROW()-1,7)+50)&amp;"=/ s "&amp;INDEX(CUEs!$B:$B,INT((ROW()-1)/7)*57+MOD(ROW()-1,7)+50),"")</f>
        <v/>
      </c>
    </row>
    <row r="5202" spans="1:1" x14ac:dyDescent="0.25">
      <c r="A5202" t="str" cm="1">
        <f t="array" ref="A5202">IF(INDEX(CUEs!$A:$A,INT((ROW()-1)/7)*57+MOD(ROW()-1,7)+50)&lt;&gt;"","set "&amp;INDEX(CUEs!$A:$A,INT((ROW()-1)/7)*57+MOD(ROW()-1,7)+50)&amp;"=/ s "&amp;INDEX(CUEs!$B:$B,INT((ROW()-1)/7)*57+MOD(ROW()-1,7)+50),"")</f>
        <v/>
      </c>
    </row>
    <row r="5203" spans="1:1" x14ac:dyDescent="0.25">
      <c r="A5203" t="str" cm="1">
        <f t="array" ref="A5203">IF(INDEX(CUEs!$A:$A,INT((ROW()-1)/7)*57+MOD(ROW()-1,7)+50)&lt;&gt;"","set "&amp;INDEX(CUEs!$A:$A,INT((ROW()-1)/7)*57+MOD(ROW()-1,7)+50)&amp;"=/ s "&amp;INDEX(CUEs!$B:$B,INT((ROW()-1)/7)*57+MOD(ROW()-1,7)+50),"")</f>
        <v/>
      </c>
    </row>
    <row r="5204" spans="1:1" x14ac:dyDescent="0.25">
      <c r="A5204" t="str" cm="1">
        <f t="array" ref="A5204">IF(INDEX(CUEs!$A:$A,INT((ROW()-1)/7)*57+MOD(ROW()-1,7)+50)&lt;&gt;"","set "&amp;INDEX(CUEs!$A:$A,INT((ROW()-1)/7)*57+MOD(ROW()-1,7)+50)&amp;"=/ s "&amp;INDEX(CUEs!$B:$B,INT((ROW()-1)/7)*57+MOD(ROW()-1,7)+50),"")</f>
        <v/>
      </c>
    </row>
    <row r="5205" spans="1:1" x14ac:dyDescent="0.25">
      <c r="A5205" t="str" cm="1">
        <f t="array" ref="A5205">IF(INDEX(CUEs!$A:$A,INT((ROW()-1)/7)*57+MOD(ROW()-1,7)+50)&lt;&gt;"","set "&amp;INDEX(CUEs!$A:$A,INT((ROW()-1)/7)*57+MOD(ROW()-1,7)+50)&amp;"=/ s "&amp;INDEX(CUEs!$B:$B,INT((ROW()-1)/7)*57+MOD(ROW()-1,7)+50),"")</f>
        <v/>
      </c>
    </row>
    <row r="5206" spans="1:1" x14ac:dyDescent="0.25">
      <c r="A5206" t="str" cm="1">
        <f t="array" ref="A5206">IF(INDEX(CUEs!$A:$A,INT((ROW()-1)/7)*57+MOD(ROW()-1,7)+50)&lt;&gt;"","set "&amp;INDEX(CUEs!$A:$A,INT((ROW()-1)/7)*57+MOD(ROW()-1,7)+50)&amp;"=/ s "&amp;INDEX(CUEs!$B:$B,INT((ROW()-1)/7)*57+MOD(ROW()-1,7)+50),"")</f>
        <v/>
      </c>
    </row>
    <row r="5207" spans="1:1" x14ac:dyDescent="0.25">
      <c r="A5207" t="str" cm="1">
        <f t="array" ref="A5207">IF(INDEX(CUEs!$A:$A,INT((ROW()-1)/7)*57+MOD(ROW()-1,7)+50)&lt;&gt;"","set "&amp;INDEX(CUEs!$A:$A,INT((ROW()-1)/7)*57+MOD(ROW()-1,7)+50)&amp;"=/ s "&amp;INDEX(CUEs!$B:$B,INT((ROW()-1)/7)*57+MOD(ROW()-1,7)+50),"")</f>
        <v/>
      </c>
    </row>
    <row r="5208" spans="1:1" x14ac:dyDescent="0.25">
      <c r="A5208" t="str" cm="1">
        <f t="array" ref="A5208">IF(INDEX(CUEs!$A:$A,INT((ROW()-1)/7)*57+MOD(ROW()-1,7)+50)&lt;&gt;"","set "&amp;INDEX(CUEs!$A:$A,INT((ROW()-1)/7)*57+MOD(ROW()-1,7)+50)&amp;"=/ s "&amp;INDEX(CUEs!$B:$B,INT((ROW()-1)/7)*57+MOD(ROW()-1,7)+50),"")</f>
        <v/>
      </c>
    </row>
    <row r="5209" spans="1:1" x14ac:dyDescent="0.25">
      <c r="A5209" t="str" cm="1">
        <f t="array" ref="A5209">IF(INDEX(CUEs!$A:$A,INT((ROW()-1)/7)*57+MOD(ROW()-1,7)+50)&lt;&gt;"","set "&amp;INDEX(CUEs!$A:$A,INT((ROW()-1)/7)*57+MOD(ROW()-1,7)+50)&amp;"=/ s "&amp;INDEX(CUEs!$B:$B,INT((ROW()-1)/7)*57+MOD(ROW()-1,7)+50),"")</f>
        <v/>
      </c>
    </row>
    <row r="5210" spans="1:1" x14ac:dyDescent="0.25">
      <c r="A5210" t="str" cm="1">
        <f t="array" ref="A5210">IF(INDEX(CUEs!$A:$A,INT((ROW()-1)/7)*57+MOD(ROW()-1,7)+50)&lt;&gt;"","set "&amp;INDEX(CUEs!$A:$A,INT((ROW()-1)/7)*57+MOD(ROW()-1,7)+50)&amp;"=/ s "&amp;INDEX(CUEs!$B:$B,INT((ROW()-1)/7)*57+MOD(ROW()-1,7)+50),"")</f>
        <v/>
      </c>
    </row>
    <row r="5211" spans="1:1" x14ac:dyDescent="0.25">
      <c r="A5211" t="str" cm="1">
        <f t="array" ref="A5211">IF(INDEX(CUEs!$A:$A,INT((ROW()-1)/7)*57+MOD(ROW()-1,7)+50)&lt;&gt;"","set "&amp;INDEX(CUEs!$A:$A,INT((ROW()-1)/7)*57+MOD(ROW()-1,7)+50)&amp;"=/ s "&amp;INDEX(CUEs!$B:$B,INT((ROW()-1)/7)*57+MOD(ROW()-1,7)+50),"")</f>
        <v/>
      </c>
    </row>
    <row r="5212" spans="1:1" x14ac:dyDescent="0.25">
      <c r="A5212" t="str" cm="1">
        <f t="array" ref="A5212">IF(INDEX(CUEs!$A:$A,INT((ROW()-1)/7)*57+MOD(ROW()-1,7)+50)&lt;&gt;"","set "&amp;INDEX(CUEs!$A:$A,INT((ROW()-1)/7)*57+MOD(ROW()-1,7)+50)&amp;"=/ s "&amp;INDEX(CUEs!$B:$B,INT((ROW()-1)/7)*57+MOD(ROW()-1,7)+50),"")</f>
        <v/>
      </c>
    </row>
    <row r="5213" spans="1:1" x14ac:dyDescent="0.25">
      <c r="A5213" t="str" cm="1">
        <f t="array" ref="A5213">IF(INDEX(CUEs!$A:$A,INT((ROW()-1)/7)*57+MOD(ROW()-1,7)+50)&lt;&gt;"","set "&amp;INDEX(CUEs!$A:$A,INT((ROW()-1)/7)*57+MOD(ROW()-1,7)+50)&amp;"=/ s "&amp;INDEX(CUEs!$B:$B,INT((ROW()-1)/7)*57+MOD(ROW()-1,7)+50),"")</f>
        <v/>
      </c>
    </row>
    <row r="5214" spans="1:1" x14ac:dyDescent="0.25">
      <c r="A5214" t="str" cm="1">
        <f t="array" ref="A5214">IF(INDEX(CUEs!$A:$A,INT((ROW()-1)/7)*57+MOD(ROW()-1,7)+50)&lt;&gt;"","set "&amp;INDEX(CUEs!$A:$A,INT((ROW()-1)/7)*57+MOD(ROW()-1,7)+50)&amp;"=/ s "&amp;INDEX(CUEs!$B:$B,INT((ROW()-1)/7)*57+MOD(ROW()-1,7)+50),"")</f>
        <v/>
      </c>
    </row>
    <row r="5215" spans="1:1" x14ac:dyDescent="0.25">
      <c r="A5215" t="str" cm="1">
        <f t="array" ref="A5215">IF(INDEX(CUEs!$A:$A,INT((ROW()-1)/7)*57+MOD(ROW()-1,7)+50)&lt;&gt;"","set "&amp;INDEX(CUEs!$A:$A,INT((ROW()-1)/7)*57+MOD(ROW()-1,7)+50)&amp;"=/ s "&amp;INDEX(CUEs!$B:$B,INT((ROW()-1)/7)*57+MOD(ROW()-1,7)+50),"")</f>
        <v/>
      </c>
    </row>
    <row r="5216" spans="1:1" x14ac:dyDescent="0.25">
      <c r="A5216" t="str" cm="1">
        <f t="array" ref="A5216">IF(INDEX(CUEs!$A:$A,INT((ROW()-1)/7)*57+MOD(ROW()-1,7)+50)&lt;&gt;"","set "&amp;INDEX(CUEs!$A:$A,INT((ROW()-1)/7)*57+MOD(ROW()-1,7)+50)&amp;"=/ s "&amp;INDEX(CUEs!$B:$B,INT((ROW()-1)/7)*57+MOD(ROW()-1,7)+50),"")</f>
        <v/>
      </c>
    </row>
    <row r="5217" spans="1:1" x14ac:dyDescent="0.25">
      <c r="A5217" t="str" cm="1">
        <f t="array" ref="A5217">IF(INDEX(CUEs!$A:$A,INT((ROW()-1)/7)*57+MOD(ROW()-1,7)+50)&lt;&gt;"","set "&amp;INDEX(CUEs!$A:$A,INT((ROW()-1)/7)*57+MOD(ROW()-1,7)+50)&amp;"=/ s "&amp;INDEX(CUEs!$B:$B,INT((ROW()-1)/7)*57+MOD(ROW()-1,7)+50),"")</f>
        <v/>
      </c>
    </row>
    <row r="5218" spans="1:1" x14ac:dyDescent="0.25">
      <c r="A5218" t="str" cm="1">
        <f t="array" ref="A5218">IF(INDEX(CUEs!$A:$A,INT((ROW()-1)/7)*57+MOD(ROW()-1,7)+50)&lt;&gt;"","set "&amp;INDEX(CUEs!$A:$A,INT((ROW()-1)/7)*57+MOD(ROW()-1,7)+50)&amp;"=/ s "&amp;INDEX(CUEs!$B:$B,INT((ROW()-1)/7)*57+MOD(ROW()-1,7)+50),"")</f>
        <v/>
      </c>
    </row>
    <row r="5219" spans="1:1" x14ac:dyDescent="0.25">
      <c r="A5219" t="str" cm="1">
        <f t="array" ref="A5219">IF(INDEX(CUEs!$A:$A,INT((ROW()-1)/7)*57+MOD(ROW()-1,7)+50)&lt;&gt;"","set "&amp;INDEX(CUEs!$A:$A,INT((ROW()-1)/7)*57+MOD(ROW()-1,7)+50)&amp;"=/ s "&amp;INDEX(CUEs!$B:$B,INT((ROW()-1)/7)*57+MOD(ROW()-1,7)+50),"")</f>
        <v/>
      </c>
    </row>
    <row r="5220" spans="1:1" x14ac:dyDescent="0.25">
      <c r="A5220" t="str" cm="1">
        <f t="array" ref="A5220">IF(INDEX(CUEs!$A:$A,INT((ROW()-1)/7)*57+MOD(ROW()-1,7)+50)&lt;&gt;"","set "&amp;INDEX(CUEs!$A:$A,INT((ROW()-1)/7)*57+MOD(ROW()-1,7)+50)&amp;"=/ s "&amp;INDEX(CUEs!$B:$B,INT((ROW()-1)/7)*57+MOD(ROW()-1,7)+50),"")</f>
        <v/>
      </c>
    </row>
    <row r="5221" spans="1:1" x14ac:dyDescent="0.25">
      <c r="A5221" t="str" cm="1">
        <f t="array" ref="A5221">IF(INDEX(CUEs!$A:$A,INT((ROW()-1)/7)*57+MOD(ROW()-1,7)+50)&lt;&gt;"","set "&amp;INDEX(CUEs!$A:$A,INT((ROW()-1)/7)*57+MOD(ROW()-1,7)+50)&amp;"=/ s "&amp;INDEX(CUEs!$B:$B,INT((ROW()-1)/7)*57+MOD(ROW()-1,7)+50),"")</f>
        <v/>
      </c>
    </row>
    <row r="5222" spans="1:1" x14ac:dyDescent="0.25">
      <c r="A5222" t="str" cm="1">
        <f t="array" ref="A5222">IF(INDEX(CUEs!$A:$A,INT((ROW()-1)/7)*57+MOD(ROW()-1,7)+50)&lt;&gt;"","set "&amp;INDEX(CUEs!$A:$A,INT((ROW()-1)/7)*57+MOD(ROW()-1,7)+50)&amp;"=/ s "&amp;INDEX(CUEs!$B:$B,INT((ROW()-1)/7)*57+MOD(ROW()-1,7)+50),"")</f>
        <v/>
      </c>
    </row>
    <row r="5223" spans="1:1" x14ac:dyDescent="0.25">
      <c r="A5223" t="str" cm="1">
        <f t="array" ref="A5223">IF(INDEX(CUEs!$A:$A,INT((ROW()-1)/7)*57+MOD(ROW()-1,7)+50)&lt;&gt;"","set "&amp;INDEX(CUEs!$A:$A,INT((ROW()-1)/7)*57+MOD(ROW()-1,7)+50)&amp;"=/ s "&amp;INDEX(CUEs!$B:$B,INT((ROW()-1)/7)*57+MOD(ROW()-1,7)+50),"")</f>
        <v/>
      </c>
    </row>
    <row r="5224" spans="1:1" x14ac:dyDescent="0.25">
      <c r="A5224" t="str" cm="1">
        <f t="array" ref="A5224">IF(INDEX(CUEs!$A:$A,INT((ROW()-1)/7)*57+MOD(ROW()-1,7)+50)&lt;&gt;"","set "&amp;INDEX(CUEs!$A:$A,INT((ROW()-1)/7)*57+MOD(ROW()-1,7)+50)&amp;"=/ s "&amp;INDEX(CUEs!$B:$B,INT((ROW()-1)/7)*57+MOD(ROW()-1,7)+50),"")</f>
        <v/>
      </c>
    </row>
    <row r="5225" spans="1:1" x14ac:dyDescent="0.25">
      <c r="A5225" t="str" cm="1">
        <f t="array" ref="A5225">IF(INDEX(CUEs!$A:$A,INT((ROW()-1)/7)*57+MOD(ROW()-1,7)+50)&lt;&gt;"","set "&amp;INDEX(CUEs!$A:$A,INT((ROW()-1)/7)*57+MOD(ROW()-1,7)+50)&amp;"=/ s "&amp;INDEX(CUEs!$B:$B,INT((ROW()-1)/7)*57+MOD(ROW()-1,7)+50),"")</f>
        <v/>
      </c>
    </row>
    <row r="5226" spans="1:1" x14ac:dyDescent="0.25">
      <c r="A5226" t="str" cm="1">
        <f t="array" ref="A5226">IF(INDEX(CUEs!$A:$A,INT((ROW()-1)/7)*57+MOD(ROW()-1,7)+50)&lt;&gt;"","set "&amp;INDEX(CUEs!$A:$A,INT((ROW()-1)/7)*57+MOD(ROW()-1,7)+50)&amp;"=/ s "&amp;INDEX(CUEs!$B:$B,INT((ROW()-1)/7)*57+MOD(ROW()-1,7)+50),"")</f>
        <v/>
      </c>
    </row>
    <row r="5227" spans="1:1" x14ac:dyDescent="0.25">
      <c r="A5227" t="str" cm="1">
        <f t="array" ref="A5227">IF(INDEX(CUEs!$A:$A,INT((ROW()-1)/7)*57+MOD(ROW()-1,7)+50)&lt;&gt;"","set "&amp;INDEX(CUEs!$A:$A,INT((ROW()-1)/7)*57+MOD(ROW()-1,7)+50)&amp;"=/ s "&amp;INDEX(CUEs!$B:$B,INT((ROW()-1)/7)*57+MOD(ROW()-1,7)+50),"")</f>
        <v/>
      </c>
    </row>
    <row r="5228" spans="1:1" x14ac:dyDescent="0.25">
      <c r="A5228" t="str" cm="1">
        <f t="array" ref="A5228">IF(INDEX(CUEs!$A:$A,INT((ROW()-1)/7)*57+MOD(ROW()-1,7)+50)&lt;&gt;"","set "&amp;INDEX(CUEs!$A:$A,INT((ROW()-1)/7)*57+MOD(ROW()-1,7)+50)&amp;"=/ s "&amp;INDEX(CUEs!$B:$B,INT((ROW()-1)/7)*57+MOD(ROW()-1,7)+50),"")</f>
        <v/>
      </c>
    </row>
    <row r="5229" spans="1:1" x14ac:dyDescent="0.25">
      <c r="A5229" t="str" cm="1">
        <f t="array" ref="A5229">IF(INDEX(CUEs!$A:$A,INT((ROW()-1)/7)*57+MOD(ROW()-1,7)+50)&lt;&gt;"","set "&amp;INDEX(CUEs!$A:$A,INT((ROW()-1)/7)*57+MOD(ROW()-1,7)+50)&amp;"=/ s "&amp;INDEX(CUEs!$B:$B,INT((ROW()-1)/7)*57+MOD(ROW()-1,7)+50),"")</f>
        <v/>
      </c>
    </row>
    <row r="5230" spans="1:1" x14ac:dyDescent="0.25">
      <c r="A5230" t="str" cm="1">
        <f t="array" ref="A5230">IF(INDEX(CUEs!$A:$A,INT((ROW()-1)/7)*57+MOD(ROW()-1,7)+50)&lt;&gt;"","set "&amp;INDEX(CUEs!$A:$A,INT((ROW()-1)/7)*57+MOD(ROW()-1,7)+50)&amp;"=/ s "&amp;INDEX(CUEs!$B:$B,INT((ROW()-1)/7)*57+MOD(ROW()-1,7)+50),"")</f>
        <v/>
      </c>
    </row>
    <row r="5231" spans="1:1" x14ac:dyDescent="0.25">
      <c r="A5231" t="str" cm="1">
        <f t="array" ref="A5231">IF(INDEX(CUEs!$A:$A,INT((ROW()-1)/7)*57+MOD(ROW()-1,7)+50)&lt;&gt;"","set "&amp;INDEX(CUEs!$A:$A,INT((ROW()-1)/7)*57+MOD(ROW()-1,7)+50)&amp;"=/ s "&amp;INDEX(CUEs!$B:$B,INT((ROW()-1)/7)*57+MOD(ROW()-1,7)+50),"")</f>
        <v/>
      </c>
    </row>
    <row r="5232" spans="1:1" x14ac:dyDescent="0.25">
      <c r="A5232" t="str" cm="1">
        <f t="array" ref="A5232">IF(INDEX(CUEs!$A:$A,INT((ROW()-1)/7)*57+MOD(ROW()-1,7)+50)&lt;&gt;"","set "&amp;INDEX(CUEs!$A:$A,INT((ROW()-1)/7)*57+MOD(ROW()-1,7)+50)&amp;"=/ s "&amp;INDEX(CUEs!$B:$B,INT((ROW()-1)/7)*57+MOD(ROW()-1,7)+50),"")</f>
        <v/>
      </c>
    </row>
    <row r="5233" spans="1:1" x14ac:dyDescent="0.25">
      <c r="A5233" t="str" cm="1">
        <f t="array" ref="A5233">IF(INDEX(CUEs!$A:$A,INT((ROW()-1)/7)*57+MOD(ROW()-1,7)+50)&lt;&gt;"","set "&amp;INDEX(CUEs!$A:$A,INT((ROW()-1)/7)*57+MOD(ROW()-1,7)+50)&amp;"=/ s "&amp;INDEX(CUEs!$B:$B,INT((ROW()-1)/7)*57+MOD(ROW()-1,7)+50),"")</f>
        <v/>
      </c>
    </row>
    <row r="5234" spans="1:1" x14ac:dyDescent="0.25">
      <c r="A5234" t="str" cm="1">
        <f t="array" ref="A5234">IF(INDEX(CUEs!$A:$A,INT((ROW()-1)/7)*57+MOD(ROW()-1,7)+50)&lt;&gt;"","set "&amp;INDEX(CUEs!$A:$A,INT((ROW()-1)/7)*57+MOD(ROW()-1,7)+50)&amp;"=/ s "&amp;INDEX(CUEs!$B:$B,INT((ROW()-1)/7)*57+MOD(ROW()-1,7)+50),"")</f>
        <v/>
      </c>
    </row>
    <row r="5235" spans="1:1" x14ac:dyDescent="0.25">
      <c r="A5235" t="str" cm="1">
        <f t="array" ref="A5235">IF(INDEX(CUEs!$A:$A,INT((ROW()-1)/7)*57+MOD(ROW()-1,7)+50)&lt;&gt;"","set "&amp;INDEX(CUEs!$A:$A,INT((ROW()-1)/7)*57+MOD(ROW()-1,7)+50)&amp;"=/ s "&amp;INDEX(CUEs!$B:$B,INT((ROW()-1)/7)*57+MOD(ROW()-1,7)+50),"")</f>
        <v/>
      </c>
    </row>
    <row r="5236" spans="1:1" x14ac:dyDescent="0.25">
      <c r="A5236" t="str" cm="1">
        <f t="array" ref="A5236">IF(INDEX(CUEs!$A:$A,INT((ROW()-1)/7)*57+MOD(ROW()-1,7)+50)&lt;&gt;"","set "&amp;INDEX(CUEs!$A:$A,INT((ROW()-1)/7)*57+MOD(ROW()-1,7)+50)&amp;"=/ s "&amp;INDEX(CUEs!$B:$B,INT((ROW()-1)/7)*57+MOD(ROW()-1,7)+50),"")</f>
        <v/>
      </c>
    </row>
    <row r="5237" spans="1:1" x14ac:dyDescent="0.25">
      <c r="A5237" t="str" cm="1">
        <f t="array" ref="A5237">IF(INDEX(CUEs!$A:$A,INT((ROW()-1)/7)*57+MOD(ROW()-1,7)+50)&lt;&gt;"","set "&amp;INDEX(CUEs!$A:$A,INT((ROW()-1)/7)*57+MOD(ROW()-1,7)+50)&amp;"=/ s "&amp;INDEX(CUEs!$B:$B,INT((ROW()-1)/7)*57+MOD(ROW()-1,7)+50),"")</f>
        <v/>
      </c>
    </row>
    <row r="5238" spans="1:1" x14ac:dyDescent="0.25">
      <c r="A5238" t="str" cm="1">
        <f t="array" ref="A5238">IF(INDEX(CUEs!$A:$A,INT((ROW()-1)/7)*57+MOD(ROW()-1,7)+50)&lt;&gt;"","set "&amp;INDEX(CUEs!$A:$A,INT((ROW()-1)/7)*57+MOD(ROW()-1,7)+50)&amp;"=/ s "&amp;INDEX(CUEs!$B:$B,INT((ROW()-1)/7)*57+MOD(ROW()-1,7)+50),"")</f>
        <v/>
      </c>
    </row>
    <row r="5239" spans="1:1" x14ac:dyDescent="0.25">
      <c r="A5239" t="str" cm="1">
        <f t="array" ref="A5239">IF(INDEX(CUEs!$A:$A,INT((ROW()-1)/7)*57+MOD(ROW()-1,7)+50)&lt;&gt;"","set "&amp;INDEX(CUEs!$A:$A,INT((ROW()-1)/7)*57+MOD(ROW()-1,7)+50)&amp;"=/ s "&amp;INDEX(CUEs!$B:$B,INT((ROW()-1)/7)*57+MOD(ROW()-1,7)+50),"")</f>
        <v/>
      </c>
    </row>
    <row r="5240" spans="1:1" x14ac:dyDescent="0.25">
      <c r="A5240" t="str" cm="1">
        <f t="array" ref="A5240">IF(INDEX(CUEs!$A:$A,INT((ROW()-1)/7)*57+MOD(ROW()-1,7)+50)&lt;&gt;"","set "&amp;INDEX(CUEs!$A:$A,INT((ROW()-1)/7)*57+MOD(ROW()-1,7)+50)&amp;"=/ s "&amp;INDEX(CUEs!$B:$B,INT((ROW()-1)/7)*57+MOD(ROW()-1,7)+50),"")</f>
        <v/>
      </c>
    </row>
    <row r="5241" spans="1:1" x14ac:dyDescent="0.25">
      <c r="A5241" t="str" cm="1">
        <f t="array" ref="A5241">IF(INDEX(CUEs!$A:$A,INT((ROW()-1)/7)*57+MOD(ROW()-1,7)+50)&lt;&gt;"","set "&amp;INDEX(CUEs!$A:$A,INT((ROW()-1)/7)*57+MOD(ROW()-1,7)+50)&amp;"=/ s "&amp;INDEX(CUEs!$B:$B,INT((ROW()-1)/7)*57+MOD(ROW()-1,7)+50),"")</f>
        <v/>
      </c>
    </row>
    <row r="5242" spans="1:1" x14ac:dyDescent="0.25">
      <c r="A5242" t="str" cm="1">
        <f t="array" ref="A5242">IF(INDEX(CUEs!$A:$A,INT((ROW()-1)/7)*57+MOD(ROW()-1,7)+50)&lt;&gt;"","set "&amp;INDEX(CUEs!$A:$A,INT((ROW()-1)/7)*57+MOD(ROW()-1,7)+50)&amp;"=/ s "&amp;INDEX(CUEs!$B:$B,INT((ROW()-1)/7)*57+MOD(ROW()-1,7)+50),"")</f>
        <v/>
      </c>
    </row>
    <row r="5243" spans="1:1" x14ac:dyDescent="0.25">
      <c r="A5243" t="str" cm="1">
        <f t="array" ref="A5243">IF(INDEX(CUEs!$A:$A,INT((ROW()-1)/7)*57+MOD(ROW()-1,7)+50)&lt;&gt;"","set "&amp;INDEX(CUEs!$A:$A,INT((ROW()-1)/7)*57+MOD(ROW()-1,7)+50)&amp;"=/ s "&amp;INDEX(CUEs!$B:$B,INT((ROW()-1)/7)*57+MOD(ROW()-1,7)+50),"")</f>
        <v/>
      </c>
    </row>
    <row r="5244" spans="1:1" x14ac:dyDescent="0.25">
      <c r="A5244" t="str" cm="1">
        <f t="array" ref="A5244">IF(INDEX(CUEs!$A:$A,INT((ROW()-1)/7)*57+MOD(ROW()-1,7)+50)&lt;&gt;"","set "&amp;INDEX(CUEs!$A:$A,INT((ROW()-1)/7)*57+MOD(ROW()-1,7)+50)&amp;"=/ s "&amp;INDEX(CUEs!$B:$B,INT((ROW()-1)/7)*57+MOD(ROW()-1,7)+50),"")</f>
        <v/>
      </c>
    </row>
    <row r="5245" spans="1:1" x14ac:dyDescent="0.25">
      <c r="A5245" t="str" cm="1">
        <f t="array" ref="A5245">IF(INDEX(CUEs!$A:$A,INT((ROW()-1)/7)*57+MOD(ROW()-1,7)+50)&lt;&gt;"","set "&amp;INDEX(CUEs!$A:$A,INT((ROW()-1)/7)*57+MOD(ROW()-1,7)+50)&amp;"=/ s "&amp;INDEX(CUEs!$B:$B,INT((ROW()-1)/7)*57+MOD(ROW()-1,7)+50),"")</f>
        <v/>
      </c>
    </row>
    <row r="5246" spans="1:1" x14ac:dyDescent="0.25">
      <c r="A5246" t="str" cm="1">
        <f t="array" ref="A5246">IF(INDEX(CUEs!$A:$A,INT((ROW()-1)/7)*57+MOD(ROW()-1,7)+50)&lt;&gt;"","set "&amp;INDEX(CUEs!$A:$A,INT((ROW()-1)/7)*57+MOD(ROW()-1,7)+50)&amp;"=/ s "&amp;INDEX(CUEs!$B:$B,INT((ROW()-1)/7)*57+MOD(ROW()-1,7)+50),"")</f>
        <v/>
      </c>
    </row>
    <row r="5247" spans="1:1" x14ac:dyDescent="0.25">
      <c r="A5247" t="str" cm="1">
        <f t="array" ref="A5247">IF(INDEX(CUEs!$A:$A,INT((ROW()-1)/7)*57+MOD(ROW()-1,7)+50)&lt;&gt;"","set "&amp;INDEX(CUEs!$A:$A,INT((ROW()-1)/7)*57+MOD(ROW()-1,7)+50)&amp;"=/ s "&amp;INDEX(CUEs!$B:$B,INT((ROW()-1)/7)*57+MOD(ROW()-1,7)+50),"")</f>
        <v/>
      </c>
    </row>
    <row r="5248" spans="1:1" x14ac:dyDescent="0.25">
      <c r="A5248" t="str" cm="1">
        <f t="array" ref="A5248">IF(INDEX(CUEs!$A:$A,INT((ROW()-1)/7)*57+MOD(ROW()-1,7)+50)&lt;&gt;"","set "&amp;INDEX(CUEs!$A:$A,INT((ROW()-1)/7)*57+MOD(ROW()-1,7)+50)&amp;"=/ s "&amp;INDEX(CUEs!$B:$B,INT((ROW()-1)/7)*57+MOD(ROW()-1,7)+50),"")</f>
        <v/>
      </c>
    </row>
    <row r="5249" spans="1:1" x14ac:dyDescent="0.25">
      <c r="A5249" t="str" cm="1">
        <f t="array" ref="A5249">IF(INDEX(CUEs!$A:$A,INT((ROW()-1)/7)*57+MOD(ROW()-1,7)+50)&lt;&gt;"","set "&amp;INDEX(CUEs!$A:$A,INT((ROW()-1)/7)*57+MOD(ROW()-1,7)+50)&amp;"=/ s "&amp;INDEX(CUEs!$B:$B,INT((ROW()-1)/7)*57+MOD(ROW()-1,7)+50),"")</f>
        <v/>
      </c>
    </row>
    <row r="5250" spans="1:1" x14ac:dyDescent="0.25">
      <c r="A5250" t="str" cm="1">
        <f t="array" ref="A5250">IF(INDEX(CUEs!$A:$A,INT((ROW()-1)/7)*57+MOD(ROW()-1,7)+50)&lt;&gt;"","set "&amp;INDEX(CUEs!$A:$A,INT((ROW()-1)/7)*57+MOD(ROW()-1,7)+50)&amp;"=/ s "&amp;INDEX(CUEs!$B:$B,INT((ROW()-1)/7)*57+MOD(ROW()-1,7)+50),"")</f>
        <v/>
      </c>
    </row>
    <row r="5251" spans="1:1" x14ac:dyDescent="0.25">
      <c r="A5251" t="str" cm="1">
        <f t="array" ref="A5251">IF(INDEX(CUEs!$A:$A,INT((ROW()-1)/7)*57+MOD(ROW()-1,7)+50)&lt;&gt;"","set "&amp;INDEX(CUEs!$A:$A,INT((ROW()-1)/7)*57+MOD(ROW()-1,7)+50)&amp;"=/ s "&amp;INDEX(CUEs!$B:$B,INT((ROW()-1)/7)*57+MOD(ROW()-1,7)+50),"")</f>
        <v/>
      </c>
    </row>
    <row r="5252" spans="1:1" x14ac:dyDescent="0.25">
      <c r="A5252" t="str" cm="1">
        <f t="array" ref="A5252">IF(INDEX(CUEs!$A:$A,INT((ROW()-1)/7)*57+MOD(ROW()-1,7)+50)&lt;&gt;"","set "&amp;INDEX(CUEs!$A:$A,INT((ROW()-1)/7)*57+MOD(ROW()-1,7)+50)&amp;"=/ s "&amp;INDEX(CUEs!$B:$B,INT((ROW()-1)/7)*57+MOD(ROW()-1,7)+50),"")</f>
        <v/>
      </c>
    </row>
    <row r="5253" spans="1:1" x14ac:dyDescent="0.25">
      <c r="A5253" t="str" cm="1">
        <f t="array" ref="A5253">IF(INDEX(CUEs!$A:$A,INT((ROW()-1)/7)*57+MOD(ROW()-1,7)+50)&lt;&gt;"","set "&amp;INDEX(CUEs!$A:$A,INT((ROW()-1)/7)*57+MOD(ROW()-1,7)+50)&amp;"=/ s "&amp;INDEX(CUEs!$B:$B,INT((ROW()-1)/7)*57+MOD(ROW()-1,7)+50),"")</f>
        <v/>
      </c>
    </row>
    <row r="5254" spans="1:1" x14ac:dyDescent="0.25">
      <c r="A5254" t="str" cm="1">
        <f t="array" ref="A5254">IF(INDEX(CUEs!$A:$A,INT((ROW()-1)/7)*57+MOD(ROW()-1,7)+50)&lt;&gt;"","set "&amp;INDEX(CUEs!$A:$A,INT((ROW()-1)/7)*57+MOD(ROW()-1,7)+50)&amp;"=/ s "&amp;INDEX(CUEs!$B:$B,INT((ROW()-1)/7)*57+MOD(ROW()-1,7)+50),"")</f>
        <v/>
      </c>
    </row>
    <row r="5255" spans="1:1" x14ac:dyDescent="0.25">
      <c r="A5255" t="str" cm="1">
        <f t="array" ref="A5255">IF(INDEX(CUEs!$A:$A,INT((ROW()-1)/7)*57+MOD(ROW()-1,7)+50)&lt;&gt;"","set "&amp;INDEX(CUEs!$A:$A,INT((ROW()-1)/7)*57+MOD(ROW()-1,7)+50)&amp;"=/ s "&amp;INDEX(CUEs!$B:$B,INT((ROW()-1)/7)*57+MOD(ROW()-1,7)+50),"")</f>
        <v/>
      </c>
    </row>
    <row r="5256" spans="1:1" x14ac:dyDescent="0.25">
      <c r="A5256" t="str" cm="1">
        <f t="array" ref="A5256">IF(INDEX(CUEs!$A:$A,INT((ROW()-1)/7)*57+MOD(ROW()-1,7)+50)&lt;&gt;"","set "&amp;INDEX(CUEs!$A:$A,INT((ROW()-1)/7)*57+MOD(ROW()-1,7)+50)&amp;"=/ s "&amp;INDEX(CUEs!$B:$B,INT((ROW()-1)/7)*57+MOD(ROW()-1,7)+50),"")</f>
        <v/>
      </c>
    </row>
    <row r="5257" spans="1:1" x14ac:dyDescent="0.25">
      <c r="A5257" t="str" cm="1">
        <f t="array" ref="A5257">IF(INDEX(CUEs!$A:$A,INT((ROW()-1)/7)*57+MOD(ROW()-1,7)+50)&lt;&gt;"","set "&amp;INDEX(CUEs!$A:$A,INT((ROW()-1)/7)*57+MOD(ROW()-1,7)+50)&amp;"=/ s "&amp;INDEX(CUEs!$B:$B,INT((ROW()-1)/7)*57+MOD(ROW()-1,7)+50),"")</f>
        <v/>
      </c>
    </row>
    <row r="5258" spans="1:1" x14ac:dyDescent="0.25">
      <c r="A5258" t="str" cm="1">
        <f t="array" ref="A5258">IF(INDEX(CUEs!$A:$A,INT((ROW()-1)/7)*57+MOD(ROW()-1,7)+50)&lt;&gt;"","set "&amp;INDEX(CUEs!$A:$A,INT((ROW()-1)/7)*57+MOD(ROW()-1,7)+50)&amp;"=/ s "&amp;INDEX(CUEs!$B:$B,INT((ROW()-1)/7)*57+MOD(ROW()-1,7)+50),"")</f>
        <v/>
      </c>
    </row>
    <row r="5259" spans="1:1" x14ac:dyDescent="0.25">
      <c r="A5259" t="str" cm="1">
        <f t="array" ref="A5259">IF(INDEX(CUEs!$A:$A,INT((ROW()-1)/7)*57+MOD(ROW()-1,7)+50)&lt;&gt;"","set "&amp;INDEX(CUEs!$A:$A,INT((ROW()-1)/7)*57+MOD(ROW()-1,7)+50)&amp;"=/ s "&amp;INDEX(CUEs!$B:$B,INT((ROW()-1)/7)*57+MOD(ROW()-1,7)+50),"")</f>
        <v/>
      </c>
    </row>
    <row r="5260" spans="1:1" x14ac:dyDescent="0.25">
      <c r="A5260" t="str" cm="1">
        <f t="array" ref="A5260">IF(INDEX(CUEs!$A:$A,INT((ROW()-1)/7)*57+MOD(ROW()-1,7)+50)&lt;&gt;"","set "&amp;INDEX(CUEs!$A:$A,INT((ROW()-1)/7)*57+MOD(ROW()-1,7)+50)&amp;"=/ s "&amp;INDEX(CUEs!$B:$B,INT((ROW()-1)/7)*57+MOD(ROW()-1,7)+50),"")</f>
        <v/>
      </c>
    </row>
    <row r="5261" spans="1:1" x14ac:dyDescent="0.25">
      <c r="A5261" t="str" cm="1">
        <f t="array" ref="A5261">IF(INDEX(CUEs!$A:$A,INT((ROW()-1)/7)*57+MOD(ROW()-1,7)+50)&lt;&gt;"","set "&amp;INDEX(CUEs!$A:$A,INT((ROW()-1)/7)*57+MOD(ROW()-1,7)+50)&amp;"=/ s "&amp;INDEX(CUEs!$B:$B,INT((ROW()-1)/7)*57+MOD(ROW()-1,7)+50),"")</f>
        <v/>
      </c>
    </row>
    <row r="5262" spans="1:1" x14ac:dyDescent="0.25">
      <c r="A5262" t="str" cm="1">
        <f t="array" ref="A5262">IF(INDEX(CUEs!$A:$A,INT((ROW()-1)/7)*57+MOD(ROW()-1,7)+50)&lt;&gt;"","set "&amp;INDEX(CUEs!$A:$A,INT((ROW()-1)/7)*57+MOD(ROW()-1,7)+50)&amp;"=/ s "&amp;INDEX(CUEs!$B:$B,INT((ROW()-1)/7)*57+MOD(ROW()-1,7)+50),"")</f>
        <v/>
      </c>
    </row>
    <row r="5263" spans="1:1" x14ac:dyDescent="0.25">
      <c r="A5263" t="str" cm="1">
        <f t="array" ref="A5263">IF(INDEX(CUEs!$A:$A,INT((ROW()-1)/7)*57+MOD(ROW()-1,7)+50)&lt;&gt;"","set "&amp;INDEX(CUEs!$A:$A,INT((ROW()-1)/7)*57+MOD(ROW()-1,7)+50)&amp;"=/ s "&amp;INDEX(CUEs!$B:$B,INT((ROW()-1)/7)*57+MOD(ROW()-1,7)+50),"")</f>
        <v/>
      </c>
    </row>
    <row r="5264" spans="1:1" x14ac:dyDescent="0.25">
      <c r="A5264" t="str" cm="1">
        <f t="array" ref="A5264">IF(INDEX(CUEs!$A:$A,INT((ROW()-1)/7)*57+MOD(ROW()-1,7)+50)&lt;&gt;"","set "&amp;INDEX(CUEs!$A:$A,INT((ROW()-1)/7)*57+MOD(ROW()-1,7)+50)&amp;"=/ s "&amp;INDEX(CUEs!$B:$B,INT((ROW()-1)/7)*57+MOD(ROW()-1,7)+50),"")</f>
        <v/>
      </c>
    </row>
    <row r="5265" spans="1:1" x14ac:dyDescent="0.25">
      <c r="A5265" t="str" cm="1">
        <f t="array" ref="A5265">IF(INDEX(CUEs!$A:$A,INT((ROW()-1)/7)*57+MOD(ROW()-1,7)+50)&lt;&gt;"","set "&amp;INDEX(CUEs!$A:$A,INT((ROW()-1)/7)*57+MOD(ROW()-1,7)+50)&amp;"=/ s "&amp;INDEX(CUEs!$B:$B,INT((ROW()-1)/7)*57+MOD(ROW()-1,7)+50),"")</f>
        <v/>
      </c>
    </row>
    <row r="5266" spans="1:1" x14ac:dyDescent="0.25">
      <c r="A5266" t="str" cm="1">
        <f t="array" ref="A5266">IF(INDEX(CUEs!$A:$A,INT((ROW()-1)/7)*57+MOD(ROW()-1,7)+50)&lt;&gt;"","set "&amp;INDEX(CUEs!$A:$A,INT((ROW()-1)/7)*57+MOD(ROW()-1,7)+50)&amp;"=/ s "&amp;INDEX(CUEs!$B:$B,INT((ROW()-1)/7)*57+MOD(ROW()-1,7)+50),"")</f>
        <v/>
      </c>
    </row>
    <row r="5267" spans="1:1" x14ac:dyDescent="0.25">
      <c r="A5267" t="str" cm="1">
        <f t="array" ref="A5267">IF(INDEX(CUEs!$A:$A,INT((ROW()-1)/7)*57+MOD(ROW()-1,7)+50)&lt;&gt;"","set "&amp;INDEX(CUEs!$A:$A,INT((ROW()-1)/7)*57+MOD(ROW()-1,7)+50)&amp;"=/ s "&amp;INDEX(CUEs!$B:$B,INT((ROW()-1)/7)*57+MOD(ROW()-1,7)+50),"")</f>
        <v/>
      </c>
    </row>
    <row r="5268" spans="1:1" x14ac:dyDescent="0.25">
      <c r="A5268" t="str" cm="1">
        <f t="array" ref="A5268">IF(INDEX(CUEs!$A:$A,INT((ROW()-1)/7)*57+MOD(ROW()-1,7)+50)&lt;&gt;"","set "&amp;INDEX(CUEs!$A:$A,INT((ROW()-1)/7)*57+MOD(ROW()-1,7)+50)&amp;"=/ s "&amp;INDEX(CUEs!$B:$B,INT((ROW()-1)/7)*57+MOD(ROW()-1,7)+50),"")</f>
        <v/>
      </c>
    </row>
    <row r="5269" spans="1:1" x14ac:dyDescent="0.25">
      <c r="A5269" t="str" cm="1">
        <f t="array" ref="A5269">IF(INDEX(CUEs!$A:$A,INT((ROW()-1)/7)*57+MOD(ROW()-1,7)+50)&lt;&gt;"","set "&amp;INDEX(CUEs!$A:$A,INT((ROW()-1)/7)*57+MOD(ROW()-1,7)+50)&amp;"=/ s "&amp;INDEX(CUEs!$B:$B,INT((ROW()-1)/7)*57+MOD(ROW()-1,7)+50),"")</f>
        <v/>
      </c>
    </row>
    <row r="5270" spans="1:1" x14ac:dyDescent="0.25">
      <c r="A5270" t="str" cm="1">
        <f t="array" ref="A5270">IF(INDEX(CUEs!$A:$A,INT((ROW()-1)/7)*57+MOD(ROW()-1,7)+50)&lt;&gt;"","set "&amp;INDEX(CUEs!$A:$A,INT((ROW()-1)/7)*57+MOD(ROW()-1,7)+50)&amp;"=/ s "&amp;INDEX(CUEs!$B:$B,INT((ROW()-1)/7)*57+MOD(ROW()-1,7)+50),"")</f>
        <v/>
      </c>
    </row>
    <row r="5271" spans="1:1" x14ac:dyDescent="0.25">
      <c r="A5271" t="str" cm="1">
        <f t="array" ref="A5271">IF(INDEX(CUEs!$A:$A,INT((ROW()-1)/7)*57+MOD(ROW()-1,7)+50)&lt;&gt;"","set "&amp;INDEX(CUEs!$A:$A,INT((ROW()-1)/7)*57+MOD(ROW()-1,7)+50)&amp;"=/ s "&amp;INDEX(CUEs!$B:$B,INT((ROW()-1)/7)*57+MOD(ROW()-1,7)+50),"")</f>
        <v/>
      </c>
    </row>
    <row r="5272" spans="1:1" x14ac:dyDescent="0.25">
      <c r="A5272" t="str" cm="1">
        <f t="array" ref="A5272">IF(INDEX(CUEs!$A:$A,INT((ROW()-1)/7)*57+MOD(ROW()-1,7)+50)&lt;&gt;"","set "&amp;INDEX(CUEs!$A:$A,INT((ROW()-1)/7)*57+MOD(ROW()-1,7)+50)&amp;"=/ s "&amp;INDEX(CUEs!$B:$B,INT((ROW()-1)/7)*57+MOD(ROW()-1,7)+50),"")</f>
        <v/>
      </c>
    </row>
    <row r="5273" spans="1:1" x14ac:dyDescent="0.25">
      <c r="A5273" t="str" cm="1">
        <f t="array" ref="A5273">IF(INDEX(CUEs!$A:$A,INT((ROW()-1)/7)*57+MOD(ROW()-1,7)+50)&lt;&gt;"","set "&amp;INDEX(CUEs!$A:$A,INT((ROW()-1)/7)*57+MOD(ROW()-1,7)+50)&amp;"=/ s "&amp;INDEX(CUEs!$B:$B,INT((ROW()-1)/7)*57+MOD(ROW()-1,7)+50),"")</f>
        <v/>
      </c>
    </row>
    <row r="5274" spans="1:1" x14ac:dyDescent="0.25">
      <c r="A5274" t="str" cm="1">
        <f t="array" ref="A5274">IF(INDEX(CUEs!$A:$A,INT((ROW()-1)/7)*57+MOD(ROW()-1,7)+50)&lt;&gt;"","set "&amp;INDEX(CUEs!$A:$A,INT((ROW()-1)/7)*57+MOD(ROW()-1,7)+50)&amp;"=/ s "&amp;INDEX(CUEs!$B:$B,INT((ROW()-1)/7)*57+MOD(ROW()-1,7)+50),"")</f>
        <v/>
      </c>
    </row>
    <row r="5275" spans="1:1" x14ac:dyDescent="0.25">
      <c r="A5275" t="str" cm="1">
        <f t="array" ref="A5275">IF(INDEX(CUEs!$A:$A,INT((ROW()-1)/7)*57+MOD(ROW()-1,7)+50)&lt;&gt;"","set "&amp;INDEX(CUEs!$A:$A,INT((ROW()-1)/7)*57+MOD(ROW()-1,7)+50)&amp;"=/ s "&amp;INDEX(CUEs!$B:$B,INT((ROW()-1)/7)*57+MOD(ROW()-1,7)+50),"")</f>
        <v/>
      </c>
    </row>
    <row r="5276" spans="1:1" x14ac:dyDescent="0.25">
      <c r="A5276" t="str" cm="1">
        <f t="array" ref="A5276">IF(INDEX(CUEs!$A:$A,INT((ROW()-1)/7)*57+MOD(ROW()-1,7)+50)&lt;&gt;"","set "&amp;INDEX(CUEs!$A:$A,INT((ROW()-1)/7)*57+MOD(ROW()-1,7)+50)&amp;"=/ s "&amp;INDEX(CUEs!$B:$B,INT((ROW()-1)/7)*57+MOD(ROW()-1,7)+50),"")</f>
        <v/>
      </c>
    </row>
    <row r="5277" spans="1:1" x14ac:dyDescent="0.25">
      <c r="A5277" t="str" cm="1">
        <f t="array" ref="A5277">IF(INDEX(CUEs!$A:$A,INT((ROW()-1)/7)*57+MOD(ROW()-1,7)+50)&lt;&gt;"","set "&amp;INDEX(CUEs!$A:$A,INT((ROW()-1)/7)*57+MOD(ROW()-1,7)+50)&amp;"=/ s "&amp;INDEX(CUEs!$B:$B,INT((ROW()-1)/7)*57+MOD(ROW()-1,7)+50),"")</f>
        <v/>
      </c>
    </row>
    <row r="5278" spans="1:1" x14ac:dyDescent="0.25">
      <c r="A5278" t="str" cm="1">
        <f t="array" ref="A5278">IF(INDEX(CUEs!$A:$A,INT((ROW()-1)/7)*57+MOD(ROW()-1,7)+50)&lt;&gt;"","set "&amp;INDEX(CUEs!$A:$A,INT((ROW()-1)/7)*57+MOD(ROW()-1,7)+50)&amp;"=/ s "&amp;INDEX(CUEs!$B:$B,INT((ROW()-1)/7)*57+MOD(ROW()-1,7)+50),"")</f>
        <v/>
      </c>
    </row>
    <row r="5279" spans="1:1" x14ac:dyDescent="0.25">
      <c r="A5279" t="str" cm="1">
        <f t="array" ref="A5279">IF(INDEX(CUEs!$A:$A,INT((ROW()-1)/7)*57+MOD(ROW()-1,7)+50)&lt;&gt;"","set "&amp;INDEX(CUEs!$A:$A,INT((ROW()-1)/7)*57+MOD(ROW()-1,7)+50)&amp;"=/ s "&amp;INDEX(CUEs!$B:$B,INT((ROW()-1)/7)*57+MOD(ROW()-1,7)+50),"")</f>
        <v/>
      </c>
    </row>
    <row r="5280" spans="1:1" x14ac:dyDescent="0.25">
      <c r="A5280" t="str" cm="1">
        <f t="array" ref="A5280">IF(INDEX(CUEs!$A:$A,INT((ROW()-1)/7)*57+MOD(ROW()-1,7)+50)&lt;&gt;"","set "&amp;INDEX(CUEs!$A:$A,INT((ROW()-1)/7)*57+MOD(ROW()-1,7)+50)&amp;"=/ s "&amp;INDEX(CUEs!$B:$B,INT((ROW()-1)/7)*57+MOD(ROW()-1,7)+50),"")</f>
        <v/>
      </c>
    </row>
    <row r="5281" spans="1:1" x14ac:dyDescent="0.25">
      <c r="A5281" t="str" cm="1">
        <f t="array" ref="A5281">IF(INDEX(CUEs!$A:$A,INT((ROW()-1)/7)*57+MOD(ROW()-1,7)+50)&lt;&gt;"","set "&amp;INDEX(CUEs!$A:$A,INT((ROW()-1)/7)*57+MOD(ROW()-1,7)+50)&amp;"=/ s "&amp;INDEX(CUEs!$B:$B,INT((ROW()-1)/7)*57+MOD(ROW()-1,7)+50),"")</f>
        <v/>
      </c>
    </row>
    <row r="5282" spans="1:1" x14ac:dyDescent="0.25">
      <c r="A5282" t="str" cm="1">
        <f t="array" ref="A5282">IF(INDEX(CUEs!$A:$A,INT((ROW()-1)/7)*57+MOD(ROW()-1,7)+50)&lt;&gt;"","set "&amp;INDEX(CUEs!$A:$A,INT((ROW()-1)/7)*57+MOD(ROW()-1,7)+50)&amp;"=/ s "&amp;INDEX(CUEs!$B:$B,INT((ROW()-1)/7)*57+MOD(ROW()-1,7)+50),"")</f>
        <v/>
      </c>
    </row>
    <row r="5283" spans="1:1" x14ac:dyDescent="0.25">
      <c r="A5283" t="str" cm="1">
        <f t="array" ref="A5283">IF(INDEX(CUEs!$A:$A,INT((ROW()-1)/7)*57+MOD(ROW()-1,7)+50)&lt;&gt;"","set "&amp;INDEX(CUEs!$A:$A,INT((ROW()-1)/7)*57+MOD(ROW()-1,7)+50)&amp;"=/ s "&amp;INDEX(CUEs!$B:$B,INT((ROW()-1)/7)*57+MOD(ROW()-1,7)+50),"")</f>
        <v/>
      </c>
    </row>
    <row r="5284" spans="1:1" x14ac:dyDescent="0.25">
      <c r="A5284" t="str" cm="1">
        <f t="array" ref="A5284">IF(INDEX(CUEs!$A:$A,INT((ROW()-1)/7)*57+MOD(ROW()-1,7)+50)&lt;&gt;"","set "&amp;INDEX(CUEs!$A:$A,INT((ROW()-1)/7)*57+MOD(ROW()-1,7)+50)&amp;"=/ s "&amp;INDEX(CUEs!$B:$B,INT((ROW()-1)/7)*57+MOD(ROW()-1,7)+50),"")</f>
        <v/>
      </c>
    </row>
    <row r="5285" spans="1:1" x14ac:dyDescent="0.25">
      <c r="A5285" t="str" cm="1">
        <f t="array" ref="A5285">IF(INDEX(CUEs!$A:$A,INT((ROW()-1)/7)*57+MOD(ROW()-1,7)+50)&lt;&gt;"","set "&amp;INDEX(CUEs!$A:$A,INT((ROW()-1)/7)*57+MOD(ROW()-1,7)+50)&amp;"=/ s "&amp;INDEX(CUEs!$B:$B,INT((ROW()-1)/7)*57+MOD(ROW()-1,7)+50),"")</f>
        <v/>
      </c>
    </row>
    <row r="5286" spans="1:1" x14ac:dyDescent="0.25">
      <c r="A5286" t="str" cm="1">
        <f t="array" ref="A5286">IF(INDEX(CUEs!$A:$A,INT((ROW()-1)/7)*57+MOD(ROW()-1,7)+50)&lt;&gt;"","set "&amp;INDEX(CUEs!$A:$A,INT((ROW()-1)/7)*57+MOD(ROW()-1,7)+50)&amp;"=/ s "&amp;INDEX(CUEs!$B:$B,INT((ROW()-1)/7)*57+MOD(ROW()-1,7)+50),"")</f>
        <v/>
      </c>
    </row>
    <row r="5287" spans="1:1" x14ac:dyDescent="0.25">
      <c r="A5287" t="str" cm="1">
        <f t="array" ref="A5287">IF(INDEX(CUEs!$A:$A,INT((ROW()-1)/7)*57+MOD(ROW()-1,7)+50)&lt;&gt;"","set "&amp;INDEX(CUEs!$A:$A,INT((ROW()-1)/7)*57+MOD(ROW()-1,7)+50)&amp;"=/ s "&amp;INDEX(CUEs!$B:$B,INT((ROW()-1)/7)*57+MOD(ROW()-1,7)+50),"")</f>
        <v/>
      </c>
    </row>
    <row r="5288" spans="1:1" x14ac:dyDescent="0.25">
      <c r="A5288" t="str" cm="1">
        <f t="array" ref="A5288">IF(INDEX(CUEs!$A:$A,INT((ROW()-1)/7)*57+MOD(ROW()-1,7)+50)&lt;&gt;"","set "&amp;INDEX(CUEs!$A:$A,INT((ROW()-1)/7)*57+MOD(ROW()-1,7)+50)&amp;"=/ s "&amp;INDEX(CUEs!$B:$B,INT((ROW()-1)/7)*57+MOD(ROW()-1,7)+50),"")</f>
        <v/>
      </c>
    </row>
    <row r="5289" spans="1:1" x14ac:dyDescent="0.25">
      <c r="A5289" t="str" cm="1">
        <f t="array" ref="A5289">IF(INDEX(CUEs!$A:$A,INT((ROW()-1)/7)*57+MOD(ROW()-1,7)+50)&lt;&gt;"","set "&amp;INDEX(CUEs!$A:$A,INT((ROW()-1)/7)*57+MOD(ROW()-1,7)+50)&amp;"=/ s "&amp;INDEX(CUEs!$B:$B,INT((ROW()-1)/7)*57+MOD(ROW()-1,7)+50),"")</f>
        <v/>
      </c>
    </row>
    <row r="5290" spans="1:1" x14ac:dyDescent="0.25">
      <c r="A5290" t="str" cm="1">
        <f t="array" ref="A5290">IF(INDEX(CUEs!$A:$A,INT((ROW()-1)/7)*57+MOD(ROW()-1,7)+50)&lt;&gt;"","set "&amp;INDEX(CUEs!$A:$A,INT((ROW()-1)/7)*57+MOD(ROW()-1,7)+50)&amp;"=/ s "&amp;INDEX(CUEs!$B:$B,INT((ROW()-1)/7)*57+MOD(ROW()-1,7)+50),"")</f>
        <v/>
      </c>
    </row>
    <row r="5291" spans="1:1" x14ac:dyDescent="0.25">
      <c r="A5291" t="str" cm="1">
        <f t="array" ref="A5291">IF(INDEX(CUEs!$A:$A,INT((ROW()-1)/7)*57+MOD(ROW()-1,7)+50)&lt;&gt;"","set "&amp;INDEX(CUEs!$A:$A,INT((ROW()-1)/7)*57+MOD(ROW()-1,7)+50)&amp;"=/ s "&amp;INDEX(CUEs!$B:$B,INT((ROW()-1)/7)*57+MOD(ROW()-1,7)+50),"")</f>
        <v/>
      </c>
    </row>
    <row r="5292" spans="1:1" x14ac:dyDescent="0.25">
      <c r="A5292" t="str" cm="1">
        <f t="array" ref="A5292">IF(INDEX(CUEs!$A:$A,INT((ROW()-1)/7)*57+MOD(ROW()-1,7)+50)&lt;&gt;"","set "&amp;INDEX(CUEs!$A:$A,INT((ROW()-1)/7)*57+MOD(ROW()-1,7)+50)&amp;"=/ s "&amp;INDEX(CUEs!$B:$B,INT((ROW()-1)/7)*57+MOD(ROW()-1,7)+50),"")</f>
        <v/>
      </c>
    </row>
    <row r="5293" spans="1:1" x14ac:dyDescent="0.25">
      <c r="A5293" t="str" cm="1">
        <f t="array" ref="A5293">IF(INDEX(CUEs!$A:$A,INT((ROW()-1)/7)*57+MOD(ROW()-1,7)+50)&lt;&gt;"","set "&amp;INDEX(CUEs!$A:$A,INT((ROW()-1)/7)*57+MOD(ROW()-1,7)+50)&amp;"=/ s "&amp;INDEX(CUEs!$B:$B,INT((ROW()-1)/7)*57+MOD(ROW()-1,7)+50),"")</f>
        <v/>
      </c>
    </row>
    <row r="5294" spans="1:1" x14ac:dyDescent="0.25">
      <c r="A5294" t="str" cm="1">
        <f t="array" ref="A5294">IF(INDEX(CUEs!$A:$A,INT((ROW()-1)/7)*57+MOD(ROW()-1,7)+50)&lt;&gt;"","set "&amp;INDEX(CUEs!$A:$A,INT((ROW()-1)/7)*57+MOD(ROW()-1,7)+50)&amp;"=/ s "&amp;INDEX(CUEs!$B:$B,INT((ROW()-1)/7)*57+MOD(ROW()-1,7)+50),"")</f>
        <v/>
      </c>
    </row>
    <row r="5295" spans="1:1" x14ac:dyDescent="0.25">
      <c r="A5295" t="str" cm="1">
        <f t="array" ref="A5295">IF(INDEX(CUEs!$A:$A,INT((ROW()-1)/7)*57+MOD(ROW()-1,7)+50)&lt;&gt;"","set "&amp;INDEX(CUEs!$A:$A,INT((ROW()-1)/7)*57+MOD(ROW()-1,7)+50)&amp;"=/ s "&amp;INDEX(CUEs!$B:$B,INT((ROW()-1)/7)*57+MOD(ROW()-1,7)+50),"")</f>
        <v/>
      </c>
    </row>
    <row r="5296" spans="1:1" x14ac:dyDescent="0.25">
      <c r="A5296" t="str" cm="1">
        <f t="array" ref="A5296">IF(INDEX(CUEs!$A:$A,INT((ROW()-1)/7)*57+MOD(ROW()-1,7)+50)&lt;&gt;"","set "&amp;INDEX(CUEs!$A:$A,INT((ROW()-1)/7)*57+MOD(ROW()-1,7)+50)&amp;"=/ s "&amp;INDEX(CUEs!$B:$B,INT((ROW()-1)/7)*57+MOD(ROW()-1,7)+50),"")</f>
        <v/>
      </c>
    </row>
    <row r="5297" spans="1:1" x14ac:dyDescent="0.25">
      <c r="A5297" t="str" cm="1">
        <f t="array" ref="A5297">IF(INDEX(CUEs!$A:$A,INT((ROW()-1)/7)*57+MOD(ROW()-1,7)+50)&lt;&gt;"","set "&amp;INDEX(CUEs!$A:$A,INT((ROW()-1)/7)*57+MOD(ROW()-1,7)+50)&amp;"=/ s "&amp;INDEX(CUEs!$B:$B,INT((ROW()-1)/7)*57+MOD(ROW()-1,7)+50),"")</f>
        <v/>
      </c>
    </row>
    <row r="5298" spans="1:1" x14ac:dyDescent="0.25">
      <c r="A5298" t="str" cm="1">
        <f t="array" ref="A5298">IF(INDEX(CUEs!$A:$A,INT((ROW()-1)/7)*57+MOD(ROW()-1,7)+50)&lt;&gt;"","set "&amp;INDEX(CUEs!$A:$A,INT((ROW()-1)/7)*57+MOD(ROW()-1,7)+50)&amp;"=/ s "&amp;INDEX(CUEs!$B:$B,INT((ROW()-1)/7)*57+MOD(ROW()-1,7)+50),"")</f>
        <v/>
      </c>
    </row>
    <row r="5299" spans="1:1" x14ac:dyDescent="0.25">
      <c r="A5299" t="str" cm="1">
        <f t="array" ref="A5299">IF(INDEX(CUEs!$A:$A,INT((ROW()-1)/7)*57+MOD(ROW()-1,7)+50)&lt;&gt;"","set "&amp;INDEX(CUEs!$A:$A,INT((ROW()-1)/7)*57+MOD(ROW()-1,7)+50)&amp;"=/ s "&amp;INDEX(CUEs!$B:$B,INT((ROW()-1)/7)*57+MOD(ROW()-1,7)+50),"")</f>
        <v/>
      </c>
    </row>
    <row r="5300" spans="1:1" x14ac:dyDescent="0.25">
      <c r="A5300" t="str" cm="1">
        <f t="array" ref="A5300">IF(INDEX(CUEs!$A:$A,INT((ROW()-1)/7)*57+MOD(ROW()-1,7)+50)&lt;&gt;"","set "&amp;INDEX(CUEs!$A:$A,INT((ROW()-1)/7)*57+MOD(ROW()-1,7)+50)&amp;"=/ s "&amp;INDEX(CUEs!$B:$B,INT((ROW()-1)/7)*57+MOD(ROW()-1,7)+50),"")</f>
        <v/>
      </c>
    </row>
    <row r="5301" spans="1:1" x14ac:dyDescent="0.25">
      <c r="A5301" t="str" cm="1">
        <f t="array" ref="A5301">IF(INDEX(CUEs!$A:$A,INT((ROW()-1)/7)*57+MOD(ROW()-1,7)+50)&lt;&gt;"","set "&amp;INDEX(CUEs!$A:$A,INT((ROW()-1)/7)*57+MOD(ROW()-1,7)+50)&amp;"=/ s "&amp;INDEX(CUEs!$B:$B,INT((ROW()-1)/7)*57+MOD(ROW()-1,7)+50),"")</f>
        <v/>
      </c>
    </row>
    <row r="5302" spans="1:1" x14ac:dyDescent="0.25">
      <c r="A5302" t="str" cm="1">
        <f t="array" ref="A5302">IF(INDEX(CUEs!$A:$A,INT((ROW()-1)/7)*57+MOD(ROW()-1,7)+50)&lt;&gt;"","set "&amp;INDEX(CUEs!$A:$A,INT((ROW()-1)/7)*57+MOD(ROW()-1,7)+50)&amp;"=/ s "&amp;INDEX(CUEs!$B:$B,INT((ROW()-1)/7)*57+MOD(ROW()-1,7)+50),"")</f>
        <v/>
      </c>
    </row>
    <row r="5303" spans="1:1" x14ac:dyDescent="0.25">
      <c r="A5303" t="str" cm="1">
        <f t="array" ref="A5303">IF(INDEX(CUEs!$A:$A,INT((ROW()-1)/7)*57+MOD(ROW()-1,7)+50)&lt;&gt;"","set "&amp;INDEX(CUEs!$A:$A,INT((ROW()-1)/7)*57+MOD(ROW()-1,7)+50)&amp;"=/ s "&amp;INDEX(CUEs!$B:$B,INT((ROW()-1)/7)*57+MOD(ROW()-1,7)+50),"")</f>
        <v/>
      </c>
    </row>
    <row r="5304" spans="1:1" x14ac:dyDescent="0.25">
      <c r="A5304" t="str" cm="1">
        <f t="array" ref="A5304">IF(INDEX(CUEs!$A:$A,INT((ROW()-1)/7)*57+MOD(ROW()-1,7)+50)&lt;&gt;"","set "&amp;INDEX(CUEs!$A:$A,INT((ROW()-1)/7)*57+MOD(ROW()-1,7)+50)&amp;"=/ s "&amp;INDEX(CUEs!$B:$B,INT((ROW()-1)/7)*57+MOD(ROW()-1,7)+50),"")</f>
        <v/>
      </c>
    </row>
    <row r="5305" spans="1:1" x14ac:dyDescent="0.25">
      <c r="A5305" t="str" cm="1">
        <f t="array" ref="A5305">IF(INDEX(CUEs!$A:$A,INT((ROW()-1)/7)*57+MOD(ROW()-1,7)+50)&lt;&gt;"","set "&amp;INDEX(CUEs!$A:$A,INT((ROW()-1)/7)*57+MOD(ROW()-1,7)+50)&amp;"=/ s "&amp;INDEX(CUEs!$B:$B,INT((ROW()-1)/7)*57+MOD(ROW()-1,7)+50),"")</f>
        <v/>
      </c>
    </row>
    <row r="5306" spans="1:1" x14ac:dyDescent="0.25">
      <c r="A5306" t="str" cm="1">
        <f t="array" ref="A5306">IF(INDEX(CUEs!$A:$A,INT((ROW()-1)/7)*57+MOD(ROW()-1,7)+50)&lt;&gt;"","set "&amp;INDEX(CUEs!$A:$A,INT((ROW()-1)/7)*57+MOD(ROW()-1,7)+50)&amp;"=/ s "&amp;INDEX(CUEs!$B:$B,INT((ROW()-1)/7)*57+MOD(ROW()-1,7)+50),"")</f>
        <v/>
      </c>
    </row>
    <row r="5307" spans="1:1" x14ac:dyDescent="0.25">
      <c r="A5307" t="str" cm="1">
        <f t="array" ref="A5307">IF(INDEX(CUEs!$A:$A,INT((ROW()-1)/7)*57+MOD(ROW()-1,7)+50)&lt;&gt;"","set "&amp;INDEX(CUEs!$A:$A,INT((ROW()-1)/7)*57+MOD(ROW()-1,7)+50)&amp;"=/ s "&amp;INDEX(CUEs!$B:$B,INT((ROW()-1)/7)*57+MOD(ROW()-1,7)+50),"")</f>
        <v/>
      </c>
    </row>
    <row r="5308" spans="1:1" x14ac:dyDescent="0.25">
      <c r="A5308" t="str" cm="1">
        <f t="array" ref="A5308">IF(INDEX(CUEs!$A:$A,INT((ROW()-1)/7)*57+MOD(ROW()-1,7)+50)&lt;&gt;"","set "&amp;INDEX(CUEs!$A:$A,INT((ROW()-1)/7)*57+MOD(ROW()-1,7)+50)&amp;"=/ s "&amp;INDEX(CUEs!$B:$B,INT((ROW()-1)/7)*57+MOD(ROW()-1,7)+50),"")</f>
        <v/>
      </c>
    </row>
    <row r="5309" spans="1:1" x14ac:dyDescent="0.25">
      <c r="A5309" t="str" cm="1">
        <f t="array" ref="A5309">IF(INDEX(CUEs!$A:$A,INT((ROW()-1)/7)*57+MOD(ROW()-1,7)+50)&lt;&gt;"","set "&amp;INDEX(CUEs!$A:$A,INT((ROW()-1)/7)*57+MOD(ROW()-1,7)+50)&amp;"=/ s "&amp;INDEX(CUEs!$B:$B,INT((ROW()-1)/7)*57+MOD(ROW()-1,7)+50),"")</f>
        <v/>
      </c>
    </row>
    <row r="5310" spans="1:1" x14ac:dyDescent="0.25">
      <c r="A5310" t="str" cm="1">
        <f t="array" ref="A5310">IF(INDEX(CUEs!$A:$A,INT((ROW()-1)/7)*57+MOD(ROW()-1,7)+50)&lt;&gt;"","set "&amp;INDEX(CUEs!$A:$A,INT((ROW()-1)/7)*57+MOD(ROW()-1,7)+50)&amp;"=/ s "&amp;INDEX(CUEs!$B:$B,INT((ROW()-1)/7)*57+MOD(ROW()-1,7)+50),"")</f>
        <v/>
      </c>
    </row>
    <row r="5311" spans="1:1" x14ac:dyDescent="0.25">
      <c r="A5311" t="str" cm="1">
        <f t="array" ref="A5311">IF(INDEX(CUEs!$A:$A,INT((ROW()-1)/7)*57+MOD(ROW()-1,7)+50)&lt;&gt;"","set "&amp;INDEX(CUEs!$A:$A,INT((ROW()-1)/7)*57+MOD(ROW()-1,7)+50)&amp;"=/ s "&amp;INDEX(CUEs!$B:$B,INT((ROW()-1)/7)*57+MOD(ROW()-1,7)+50),"")</f>
        <v/>
      </c>
    </row>
    <row r="5312" spans="1:1" x14ac:dyDescent="0.25">
      <c r="A5312" t="str" cm="1">
        <f t="array" ref="A5312">IF(INDEX(CUEs!$A:$A,INT((ROW()-1)/7)*57+MOD(ROW()-1,7)+50)&lt;&gt;"","set "&amp;INDEX(CUEs!$A:$A,INT((ROW()-1)/7)*57+MOD(ROW()-1,7)+50)&amp;"=/ s "&amp;INDEX(CUEs!$B:$B,INT((ROW()-1)/7)*57+MOD(ROW()-1,7)+50),"")</f>
        <v/>
      </c>
    </row>
    <row r="5313" spans="1:1" x14ac:dyDescent="0.25">
      <c r="A5313" t="str" cm="1">
        <f t="array" ref="A5313">IF(INDEX(CUEs!$A:$A,INT((ROW()-1)/7)*57+MOD(ROW()-1,7)+50)&lt;&gt;"","set "&amp;INDEX(CUEs!$A:$A,INT((ROW()-1)/7)*57+MOD(ROW()-1,7)+50)&amp;"=/ s "&amp;INDEX(CUEs!$B:$B,INT((ROW()-1)/7)*57+MOD(ROW()-1,7)+50),"")</f>
        <v/>
      </c>
    </row>
    <row r="5314" spans="1:1" x14ac:dyDescent="0.25">
      <c r="A5314" t="str" cm="1">
        <f t="array" ref="A5314">IF(INDEX(CUEs!$A:$A,INT((ROW()-1)/7)*57+MOD(ROW()-1,7)+50)&lt;&gt;"","set "&amp;INDEX(CUEs!$A:$A,INT((ROW()-1)/7)*57+MOD(ROW()-1,7)+50)&amp;"=/ s "&amp;INDEX(CUEs!$B:$B,INT((ROW()-1)/7)*57+MOD(ROW()-1,7)+50),"")</f>
        <v/>
      </c>
    </row>
    <row r="5315" spans="1:1" x14ac:dyDescent="0.25">
      <c r="A5315" t="str" cm="1">
        <f t="array" ref="A5315">IF(INDEX(CUEs!$A:$A,INT((ROW()-1)/7)*57+MOD(ROW()-1,7)+50)&lt;&gt;"","set "&amp;INDEX(CUEs!$A:$A,INT((ROW()-1)/7)*57+MOD(ROW()-1,7)+50)&amp;"=/ s "&amp;INDEX(CUEs!$B:$B,INT((ROW()-1)/7)*57+MOD(ROW()-1,7)+50),"")</f>
        <v/>
      </c>
    </row>
    <row r="5316" spans="1:1" x14ac:dyDescent="0.25">
      <c r="A5316" t="str" cm="1">
        <f t="array" ref="A5316">IF(INDEX(CUEs!$A:$A,INT((ROW()-1)/7)*57+MOD(ROW()-1,7)+50)&lt;&gt;"","set "&amp;INDEX(CUEs!$A:$A,INT((ROW()-1)/7)*57+MOD(ROW()-1,7)+50)&amp;"=/ s "&amp;INDEX(CUEs!$B:$B,INT((ROW()-1)/7)*57+MOD(ROW()-1,7)+50),"")</f>
        <v/>
      </c>
    </row>
    <row r="5317" spans="1:1" x14ac:dyDescent="0.25">
      <c r="A5317" t="str" cm="1">
        <f t="array" ref="A5317">IF(INDEX(CUEs!$A:$A,INT((ROW()-1)/7)*57+MOD(ROW()-1,7)+50)&lt;&gt;"","set "&amp;INDEX(CUEs!$A:$A,INT((ROW()-1)/7)*57+MOD(ROW()-1,7)+50)&amp;"=/ s "&amp;INDEX(CUEs!$B:$B,INT((ROW()-1)/7)*57+MOD(ROW()-1,7)+50),"")</f>
        <v/>
      </c>
    </row>
    <row r="5318" spans="1:1" x14ac:dyDescent="0.25">
      <c r="A5318" t="str" cm="1">
        <f t="array" ref="A5318">IF(INDEX(CUEs!$A:$A,INT((ROW()-1)/7)*57+MOD(ROW()-1,7)+50)&lt;&gt;"","set "&amp;INDEX(CUEs!$A:$A,INT((ROW()-1)/7)*57+MOD(ROW()-1,7)+50)&amp;"=/ s "&amp;INDEX(CUEs!$B:$B,INT((ROW()-1)/7)*57+MOD(ROW()-1,7)+50),"")</f>
        <v/>
      </c>
    </row>
    <row r="5319" spans="1:1" x14ac:dyDescent="0.25">
      <c r="A5319" t="str" cm="1">
        <f t="array" ref="A5319">IF(INDEX(CUEs!$A:$A,INT((ROW()-1)/7)*57+MOD(ROW()-1,7)+50)&lt;&gt;"","set "&amp;INDEX(CUEs!$A:$A,INT((ROW()-1)/7)*57+MOD(ROW()-1,7)+50)&amp;"=/ s "&amp;INDEX(CUEs!$B:$B,INT((ROW()-1)/7)*57+MOD(ROW()-1,7)+50),"")</f>
        <v/>
      </c>
    </row>
    <row r="5320" spans="1:1" x14ac:dyDescent="0.25">
      <c r="A5320" t="str" cm="1">
        <f t="array" ref="A5320">IF(INDEX(CUEs!$A:$A,INT((ROW()-1)/7)*57+MOD(ROW()-1,7)+50)&lt;&gt;"","set "&amp;INDEX(CUEs!$A:$A,INT((ROW()-1)/7)*57+MOD(ROW()-1,7)+50)&amp;"=/ s "&amp;INDEX(CUEs!$B:$B,INT((ROW()-1)/7)*57+MOD(ROW()-1,7)+50),"")</f>
        <v/>
      </c>
    </row>
    <row r="5321" spans="1:1" x14ac:dyDescent="0.25">
      <c r="A5321" t="str" cm="1">
        <f t="array" ref="A5321">IF(INDEX(CUEs!$A:$A,INT((ROW()-1)/7)*57+MOD(ROW()-1,7)+50)&lt;&gt;"","set "&amp;INDEX(CUEs!$A:$A,INT((ROW()-1)/7)*57+MOD(ROW()-1,7)+50)&amp;"=/ s "&amp;INDEX(CUEs!$B:$B,INT((ROW()-1)/7)*57+MOD(ROW()-1,7)+50),"")</f>
        <v/>
      </c>
    </row>
    <row r="5322" spans="1:1" x14ac:dyDescent="0.25">
      <c r="A5322" t="str" cm="1">
        <f t="array" ref="A5322">IF(INDEX(CUEs!$A:$A,INT((ROW()-1)/7)*57+MOD(ROW()-1,7)+50)&lt;&gt;"","set "&amp;INDEX(CUEs!$A:$A,INT((ROW()-1)/7)*57+MOD(ROW()-1,7)+50)&amp;"=/ s "&amp;INDEX(CUEs!$B:$B,INT((ROW()-1)/7)*57+MOD(ROW()-1,7)+50),"")</f>
        <v/>
      </c>
    </row>
    <row r="5323" spans="1:1" x14ac:dyDescent="0.25">
      <c r="A5323" t="str" cm="1">
        <f t="array" ref="A5323">IF(INDEX(CUEs!$A:$A,INT((ROW()-1)/7)*57+MOD(ROW()-1,7)+50)&lt;&gt;"","set "&amp;INDEX(CUEs!$A:$A,INT((ROW()-1)/7)*57+MOD(ROW()-1,7)+50)&amp;"=/ s "&amp;INDEX(CUEs!$B:$B,INT((ROW()-1)/7)*57+MOD(ROW()-1,7)+50),"")</f>
        <v/>
      </c>
    </row>
    <row r="5324" spans="1:1" x14ac:dyDescent="0.25">
      <c r="A5324" t="str" cm="1">
        <f t="array" ref="A5324">IF(INDEX(CUEs!$A:$A,INT((ROW()-1)/7)*57+MOD(ROW()-1,7)+50)&lt;&gt;"","set "&amp;INDEX(CUEs!$A:$A,INT((ROW()-1)/7)*57+MOD(ROW()-1,7)+50)&amp;"=/ s "&amp;INDEX(CUEs!$B:$B,INT((ROW()-1)/7)*57+MOD(ROW()-1,7)+50),"")</f>
        <v/>
      </c>
    </row>
    <row r="5325" spans="1:1" x14ac:dyDescent="0.25">
      <c r="A5325" t="str" cm="1">
        <f t="array" ref="A5325">IF(INDEX(CUEs!$A:$A,INT((ROW()-1)/7)*57+MOD(ROW()-1,7)+50)&lt;&gt;"","set "&amp;INDEX(CUEs!$A:$A,INT((ROW()-1)/7)*57+MOD(ROW()-1,7)+50)&amp;"=/ s "&amp;INDEX(CUEs!$B:$B,INT((ROW()-1)/7)*57+MOD(ROW()-1,7)+50),"")</f>
        <v/>
      </c>
    </row>
    <row r="5326" spans="1:1" x14ac:dyDescent="0.25">
      <c r="A5326" t="str" cm="1">
        <f t="array" ref="A5326">IF(INDEX(CUEs!$A:$A,INT((ROW()-1)/7)*57+MOD(ROW()-1,7)+50)&lt;&gt;"","set "&amp;INDEX(CUEs!$A:$A,INT((ROW()-1)/7)*57+MOD(ROW()-1,7)+50)&amp;"=/ s "&amp;INDEX(CUEs!$B:$B,INT((ROW()-1)/7)*57+MOD(ROW()-1,7)+50),"")</f>
        <v/>
      </c>
    </row>
    <row r="5327" spans="1:1" x14ac:dyDescent="0.25">
      <c r="A5327" t="str" cm="1">
        <f t="array" ref="A5327">IF(INDEX(CUEs!$A:$A,INT((ROW()-1)/7)*57+MOD(ROW()-1,7)+50)&lt;&gt;"","set "&amp;INDEX(CUEs!$A:$A,INT((ROW()-1)/7)*57+MOD(ROW()-1,7)+50)&amp;"=/ s "&amp;INDEX(CUEs!$B:$B,INT((ROW()-1)/7)*57+MOD(ROW()-1,7)+50),"")</f>
        <v/>
      </c>
    </row>
    <row r="5328" spans="1:1" x14ac:dyDescent="0.25">
      <c r="A5328" t="str" cm="1">
        <f t="array" ref="A5328">IF(INDEX(CUEs!$A:$A,INT((ROW()-1)/7)*57+MOD(ROW()-1,7)+50)&lt;&gt;"","set "&amp;INDEX(CUEs!$A:$A,INT((ROW()-1)/7)*57+MOD(ROW()-1,7)+50)&amp;"=/ s "&amp;INDEX(CUEs!$B:$B,INT((ROW()-1)/7)*57+MOD(ROW()-1,7)+50),"")</f>
        <v/>
      </c>
    </row>
    <row r="5329" spans="1:1" x14ac:dyDescent="0.25">
      <c r="A5329" t="str" cm="1">
        <f t="array" ref="A5329">IF(INDEX(CUEs!$A:$A,INT((ROW()-1)/7)*57+MOD(ROW()-1,7)+50)&lt;&gt;"","set "&amp;INDEX(CUEs!$A:$A,INT((ROW()-1)/7)*57+MOD(ROW()-1,7)+50)&amp;"=/ s "&amp;INDEX(CUEs!$B:$B,INT((ROW()-1)/7)*57+MOD(ROW()-1,7)+50),"")</f>
        <v/>
      </c>
    </row>
    <row r="5330" spans="1:1" x14ac:dyDescent="0.25">
      <c r="A5330" t="str" cm="1">
        <f t="array" ref="A5330">IF(INDEX(CUEs!$A:$A,INT((ROW()-1)/7)*57+MOD(ROW()-1,7)+50)&lt;&gt;"","set "&amp;INDEX(CUEs!$A:$A,INT((ROW()-1)/7)*57+MOD(ROW()-1,7)+50)&amp;"=/ s "&amp;INDEX(CUEs!$B:$B,INT((ROW()-1)/7)*57+MOD(ROW()-1,7)+50),"")</f>
        <v/>
      </c>
    </row>
    <row r="5331" spans="1:1" x14ac:dyDescent="0.25">
      <c r="A5331" t="str" cm="1">
        <f t="array" ref="A5331">IF(INDEX(CUEs!$A:$A,INT((ROW()-1)/7)*57+MOD(ROW()-1,7)+50)&lt;&gt;"","set "&amp;INDEX(CUEs!$A:$A,INT((ROW()-1)/7)*57+MOD(ROW()-1,7)+50)&amp;"=/ s "&amp;INDEX(CUEs!$B:$B,INT((ROW()-1)/7)*57+MOD(ROW()-1,7)+50),"")</f>
        <v/>
      </c>
    </row>
    <row r="5332" spans="1:1" x14ac:dyDescent="0.25">
      <c r="A5332" t="str" cm="1">
        <f t="array" ref="A5332">IF(INDEX(CUEs!$A:$A,INT((ROW()-1)/7)*57+MOD(ROW()-1,7)+50)&lt;&gt;"","set "&amp;INDEX(CUEs!$A:$A,INT((ROW()-1)/7)*57+MOD(ROW()-1,7)+50)&amp;"=/ s "&amp;INDEX(CUEs!$B:$B,INT((ROW()-1)/7)*57+MOD(ROW()-1,7)+50),"")</f>
        <v/>
      </c>
    </row>
    <row r="5333" spans="1:1" x14ac:dyDescent="0.25">
      <c r="A5333" t="str" cm="1">
        <f t="array" ref="A5333">IF(INDEX(CUEs!$A:$A,INT((ROW()-1)/7)*57+MOD(ROW()-1,7)+50)&lt;&gt;"","set "&amp;INDEX(CUEs!$A:$A,INT((ROW()-1)/7)*57+MOD(ROW()-1,7)+50)&amp;"=/ s "&amp;INDEX(CUEs!$B:$B,INT((ROW()-1)/7)*57+MOD(ROW()-1,7)+50),"")</f>
        <v/>
      </c>
    </row>
    <row r="5334" spans="1:1" x14ac:dyDescent="0.25">
      <c r="A5334" t="str" cm="1">
        <f t="array" ref="A5334">IF(INDEX(CUEs!$A:$A,INT((ROW()-1)/7)*57+MOD(ROW()-1,7)+50)&lt;&gt;"","set "&amp;INDEX(CUEs!$A:$A,INT((ROW()-1)/7)*57+MOD(ROW()-1,7)+50)&amp;"=/ s "&amp;INDEX(CUEs!$B:$B,INT((ROW()-1)/7)*57+MOD(ROW()-1,7)+50),"")</f>
        <v/>
      </c>
    </row>
    <row r="5335" spans="1:1" x14ac:dyDescent="0.25">
      <c r="A5335" t="str" cm="1">
        <f t="array" ref="A5335">IF(INDEX(CUEs!$A:$A,INT((ROW()-1)/7)*57+MOD(ROW()-1,7)+50)&lt;&gt;"","set "&amp;INDEX(CUEs!$A:$A,INT((ROW()-1)/7)*57+MOD(ROW()-1,7)+50)&amp;"=/ s "&amp;INDEX(CUEs!$B:$B,INT((ROW()-1)/7)*57+MOD(ROW()-1,7)+50),"")</f>
        <v/>
      </c>
    </row>
    <row r="5336" spans="1:1" x14ac:dyDescent="0.25">
      <c r="A5336" t="str" cm="1">
        <f t="array" ref="A5336">IF(INDEX(CUEs!$A:$A,INT((ROW()-1)/7)*57+MOD(ROW()-1,7)+50)&lt;&gt;"","set "&amp;INDEX(CUEs!$A:$A,INT((ROW()-1)/7)*57+MOD(ROW()-1,7)+50)&amp;"=/ s "&amp;INDEX(CUEs!$B:$B,INT((ROW()-1)/7)*57+MOD(ROW()-1,7)+50),"")</f>
        <v/>
      </c>
    </row>
    <row r="5337" spans="1:1" x14ac:dyDescent="0.25">
      <c r="A5337" t="str" cm="1">
        <f t="array" ref="A5337">IF(INDEX(CUEs!$A:$A,INT((ROW()-1)/7)*57+MOD(ROW()-1,7)+50)&lt;&gt;"","set "&amp;INDEX(CUEs!$A:$A,INT((ROW()-1)/7)*57+MOD(ROW()-1,7)+50)&amp;"=/ s "&amp;INDEX(CUEs!$B:$B,INT((ROW()-1)/7)*57+MOD(ROW()-1,7)+50),"")</f>
        <v/>
      </c>
    </row>
    <row r="5338" spans="1:1" x14ac:dyDescent="0.25">
      <c r="A5338" t="str" cm="1">
        <f t="array" ref="A5338">IF(INDEX(CUEs!$A:$A,INT((ROW()-1)/7)*57+MOD(ROW()-1,7)+50)&lt;&gt;"","set "&amp;INDEX(CUEs!$A:$A,INT((ROW()-1)/7)*57+MOD(ROW()-1,7)+50)&amp;"=/ s "&amp;INDEX(CUEs!$B:$B,INT((ROW()-1)/7)*57+MOD(ROW()-1,7)+50),"")</f>
        <v/>
      </c>
    </row>
    <row r="5339" spans="1:1" x14ac:dyDescent="0.25">
      <c r="A5339" t="str" cm="1">
        <f t="array" ref="A5339">IF(INDEX(CUEs!$A:$A,INT((ROW()-1)/7)*57+MOD(ROW()-1,7)+50)&lt;&gt;"","set "&amp;INDEX(CUEs!$A:$A,INT((ROW()-1)/7)*57+MOD(ROW()-1,7)+50)&amp;"=/ s "&amp;INDEX(CUEs!$B:$B,INT((ROW()-1)/7)*57+MOD(ROW()-1,7)+50),"")</f>
        <v/>
      </c>
    </row>
    <row r="5340" spans="1:1" x14ac:dyDescent="0.25">
      <c r="A5340" t="str" cm="1">
        <f t="array" ref="A5340">IF(INDEX(CUEs!$A:$A,INT((ROW()-1)/7)*57+MOD(ROW()-1,7)+50)&lt;&gt;"","set "&amp;INDEX(CUEs!$A:$A,INT((ROW()-1)/7)*57+MOD(ROW()-1,7)+50)&amp;"=/ s "&amp;INDEX(CUEs!$B:$B,INT((ROW()-1)/7)*57+MOD(ROW()-1,7)+50),"")</f>
        <v/>
      </c>
    </row>
    <row r="5341" spans="1:1" x14ac:dyDescent="0.25">
      <c r="A5341" t="str" cm="1">
        <f t="array" ref="A5341">IF(INDEX(CUEs!$A:$A,INT((ROW()-1)/7)*57+MOD(ROW()-1,7)+50)&lt;&gt;"","set "&amp;INDEX(CUEs!$A:$A,INT((ROW()-1)/7)*57+MOD(ROW()-1,7)+50)&amp;"=/ s "&amp;INDEX(CUEs!$B:$B,INT((ROW()-1)/7)*57+MOD(ROW()-1,7)+50),"")</f>
        <v/>
      </c>
    </row>
    <row r="5342" spans="1:1" x14ac:dyDescent="0.25">
      <c r="A5342" t="str" cm="1">
        <f t="array" ref="A5342">IF(INDEX(CUEs!$A:$A,INT((ROW()-1)/7)*57+MOD(ROW()-1,7)+50)&lt;&gt;"","set "&amp;INDEX(CUEs!$A:$A,INT((ROW()-1)/7)*57+MOD(ROW()-1,7)+50)&amp;"=/ s "&amp;INDEX(CUEs!$B:$B,INT((ROW()-1)/7)*57+MOD(ROW()-1,7)+50),"")</f>
        <v/>
      </c>
    </row>
    <row r="5343" spans="1:1" x14ac:dyDescent="0.25">
      <c r="A5343" t="str" cm="1">
        <f t="array" ref="A5343">IF(INDEX(CUEs!$A:$A,INT((ROW()-1)/7)*57+MOD(ROW()-1,7)+50)&lt;&gt;"","set "&amp;INDEX(CUEs!$A:$A,INT((ROW()-1)/7)*57+MOD(ROW()-1,7)+50)&amp;"=/ s "&amp;INDEX(CUEs!$B:$B,INT((ROW()-1)/7)*57+MOD(ROW()-1,7)+50),"")</f>
        <v/>
      </c>
    </row>
    <row r="5344" spans="1:1" x14ac:dyDescent="0.25">
      <c r="A5344" t="str" cm="1">
        <f t="array" ref="A5344">IF(INDEX(CUEs!$A:$A,INT((ROW()-1)/7)*57+MOD(ROW()-1,7)+50)&lt;&gt;"","set "&amp;INDEX(CUEs!$A:$A,INT((ROW()-1)/7)*57+MOD(ROW()-1,7)+50)&amp;"=/ s "&amp;INDEX(CUEs!$B:$B,INT((ROW()-1)/7)*57+MOD(ROW()-1,7)+50),"")</f>
        <v/>
      </c>
    </row>
    <row r="5345" spans="1:1" x14ac:dyDescent="0.25">
      <c r="A5345" t="str" cm="1">
        <f t="array" ref="A5345">IF(INDEX(CUEs!$A:$A,INT((ROW()-1)/7)*57+MOD(ROW()-1,7)+50)&lt;&gt;"","set "&amp;INDEX(CUEs!$A:$A,INT((ROW()-1)/7)*57+MOD(ROW()-1,7)+50)&amp;"=/ s "&amp;INDEX(CUEs!$B:$B,INT((ROW()-1)/7)*57+MOD(ROW()-1,7)+50),"")</f>
        <v/>
      </c>
    </row>
    <row r="5346" spans="1:1" x14ac:dyDescent="0.25">
      <c r="A5346" t="str" cm="1">
        <f t="array" ref="A5346">IF(INDEX(CUEs!$A:$A,INT((ROW()-1)/7)*57+MOD(ROW()-1,7)+50)&lt;&gt;"","set "&amp;INDEX(CUEs!$A:$A,INT((ROW()-1)/7)*57+MOD(ROW()-1,7)+50)&amp;"=/ s "&amp;INDEX(CUEs!$B:$B,INT((ROW()-1)/7)*57+MOD(ROW()-1,7)+50),"")</f>
        <v/>
      </c>
    </row>
    <row r="5347" spans="1:1" x14ac:dyDescent="0.25">
      <c r="A5347" t="str" cm="1">
        <f t="array" ref="A5347">IF(INDEX(CUEs!$A:$A,INT((ROW()-1)/7)*57+MOD(ROW()-1,7)+50)&lt;&gt;"","set "&amp;INDEX(CUEs!$A:$A,INT((ROW()-1)/7)*57+MOD(ROW()-1,7)+50)&amp;"=/ s "&amp;INDEX(CUEs!$B:$B,INT((ROW()-1)/7)*57+MOD(ROW()-1,7)+50),"")</f>
        <v/>
      </c>
    </row>
    <row r="5348" spans="1:1" x14ac:dyDescent="0.25">
      <c r="A5348" t="str" cm="1">
        <f t="array" ref="A5348">IF(INDEX(CUEs!$A:$A,INT((ROW()-1)/7)*57+MOD(ROW()-1,7)+50)&lt;&gt;"","set "&amp;INDEX(CUEs!$A:$A,INT((ROW()-1)/7)*57+MOD(ROW()-1,7)+50)&amp;"=/ s "&amp;INDEX(CUEs!$B:$B,INT((ROW()-1)/7)*57+MOD(ROW()-1,7)+50),"")</f>
        <v/>
      </c>
    </row>
    <row r="5349" spans="1:1" x14ac:dyDescent="0.25">
      <c r="A5349" t="str" cm="1">
        <f t="array" ref="A5349">IF(INDEX(CUEs!$A:$A,INT((ROW()-1)/7)*57+MOD(ROW()-1,7)+50)&lt;&gt;"","set "&amp;INDEX(CUEs!$A:$A,INT((ROW()-1)/7)*57+MOD(ROW()-1,7)+50)&amp;"=/ s "&amp;INDEX(CUEs!$B:$B,INT((ROW()-1)/7)*57+MOD(ROW()-1,7)+50),"")</f>
        <v/>
      </c>
    </row>
    <row r="5350" spans="1:1" x14ac:dyDescent="0.25">
      <c r="A5350" t="str" cm="1">
        <f t="array" ref="A5350">IF(INDEX(CUEs!$A:$A,INT((ROW()-1)/7)*57+MOD(ROW()-1,7)+50)&lt;&gt;"","set "&amp;INDEX(CUEs!$A:$A,INT((ROW()-1)/7)*57+MOD(ROW()-1,7)+50)&amp;"=/ s "&amp;INDEX(CUEs!$B:$B,INT((ROW()-1)/7)*57+MOD(ROW()-1,7)+50),"")</f>
        <v/>
      </c>
    </row>
    <row r="5351" spans="1:1" x14ac:dyDescent="0.25">
      <c r="A5351" t="str" cm="1">
        <f t="array" ref="A5351">IF(INDEX(CUEs!$A:$A,INT((ROW()-1)/7)*57+MOD(ROW()-1,7)+50)&lt;&gt;"","set "&amp;INDEX(CUEs!$A:$A,INT((ROW()-1)/7)*57+MOD(ROW()-1,7)+50)&amp;"=/ s "&amp;INDEX(CUEs!$B:$B,INT((ROW()-1)/7)*57+MOD(ROW()-1,7)+50),"")</f>
        <v/>
      </c>
    </row>
    <row r="5352" spans="1:1" x14ac:dyDescent="0.25">
      <c r="A5352" t="str" cm="1">
        <f t="array" ref="A5352">IF(INDEX(CUEs!$A:$A,INT((ROW()-1)/7)*57+MOD(ROW()-1,7)+50)&lt;&gt;"","set "&amp;INDEX(CUEs!$A:$A,INT((ROW()-1)/7)*57+MOD(ROW()-1,7)+50)&amp;"=/ s "&amp;INDEX(CUEs!$B:$B,INT((ROW()-1)/7)*57+MOD(ROW()-1,7)+50),"")</f>
        <v/>
      </c>
    </row>
    <row r="5353" spans="1:1" x14ac:dyDescent="0.25">
      <c r="A5353" t="str" cm="1">
        <f t="array" ref="A5353">IF(INDEX(CUEs!$A:$A,INT((ROW()-1)/7)*57+MOD(ROW()-1,7)+50)&lt;&gt;"","set "&amp;INDEX(CUEs!$A:$A,INT((ROW()-1)/7)*57+MOD(ROW()-1,7)+50)&amp;"=/ s "&amp;INDEX(CUEs!$B:$B,INT((ROW()-1)/7)*57+MOD(ROW()-1,7)+50),"")</f>
        <v/>
      </c>
    </row>
    <row r="5354" spans="1:1" x14ac:dyDescent="0.25">
      <c r="A5354" t="str" cm="1">
        <f t="array" ref="A5354">IF(INDEX(CUEs!$A:$A,INT((ROW()-1)/7)*57+MOD(ROW()-1,7)+50)&lt;&gt;"","set "&amp;INDEX(CUEs!$A:$A,INT((ROW()-1)/7)*57+MOD(ROW()-1,7)+50)&amp;"=/ s "&amp;INDEX(CUEs!$B:$B,INT((ROW()-1)/7)*57+MOD(ROW()-1,7)+50),"")</f>
        <v/>
      </c>
    </row>
    <row r="5355" spans="1:1" x14ac:dyDescent="0.25">
      <c r="A5355" t="str" cm="1">
        <f t="array" ref="A5355">IF(INDEX(CUEs!$A:$A,INT((ROW()-1)/7)*57+MOD(ROW()-1,7)+50)&lt;&gt;"","set "&amp;INDEX(CUEs!$A:$A,INT((ROW()-1)/7)*57+MOD(ROW()-1,7)+50)&amp;"=/ s "&amp;INDEX(CUEs!$B:$B,INT((ROW()-1)/7)*57+MOD(ROW()-1,7)+50),"")</f>
        <v/>
      </c>
    </row>
    <row r="5356" spans="1:1" x14ac:dyDescent="0.25">
      <c r="A5356" t="str" cm="1">
        <f t="array" ref="A5356">IF(INDEX(CUEs!$A:$A,INT((ROW()-1)/7)*57+MOD(ROW()-1,7)+50)&lt;&gt;"","set "&amp;INDEX(CUEs!$A:$A,INT((ROW()-1)/7)*57+MOD(ROW()-1,7)+50)&amp;"=/ s "&amp;INDEX(CUEs!$B:$B,INT((ROW()-1)/7)*57+MOD(ROW()-1,7)+50),"")</f>
        <v/>
      </c>
    </row>
    <row r="5357" spans="1:1" x14ac:dyDescent="0.25">
      <c r="A5357" t="str" cm="1">
        <f t="array" ref="A5357">IF(INDEX(CUEs!$A:$A,INT((ROW()-1)/7)*57+MOD(ROW()-1,7)+50)&lt;&gt;"","set "&amp;INDEX(CUEs!$A:$A,INT((ROW()-1)/7)*57+MOD(ROW()-1,7)+50)&amp;"=/ s "&amp;INDEX(CUEs!$B:$B,INT((ROW()-1)/7)*57+MOD(ROW()-1,7)+50),"")</f>
        <v/>
      </c>
    </row>
    <row r="5358" spans="1:1" x14ac:dyDescent="0.25">
      <c r="A5358" t="str" cm="1">
        <f t="array" ref="A5358">IF(INDEX(CUEs!$A:$A,INT((ROW()-1)/7)*57+MOD(ROW()-1,7)+50)&lt;&gt;"","set "&amp;INDEX(CUEs!$A:$A,INT((ROW()-1)/7)*57+MOD(ROW()-1,7)+50)&amp;"=/ s "&amp;INDEX(CUEs!$B:$B,INT((ROW()-1)/7)*57+MOD(ROW()-1,7)+50),"")</f>
        <v/>
      </c>
    </row>
    <row r="5359" spans="1:1" x14ac:dyDescent="0.25">
      <c r="A5359" t="str" cm="1">
        <f t="array" ref="A5359">IF(INDEX(CUEs!$A:$A,INT((ROW()-1)/7)*57+MOD(ROW()-1,7)+50)&lt;&gt;"","set "&amp;INDEX(CUEs!$A:$A,INT((ROW()-1)/7)*57+MOD(ROW()-1,7)+50)&amp;"=/ s "&amp;INDEX(CUEs!$B:$B,INT((ROW()-1)/7)*57+MOD(ROW()-1,7)+50),"")</f>
        <v/>
      </c>
    </row>
    <row r="5360" spans="1:1" x14ac:dyDescent="0.25">
      <c r="A5360" t="str" cm="1">
        <f t="array" ref="A5360">IF(INDEX(CUEs!$A:$A,INT((ROW()-1)/7)*57+MOD(ROW()-1,7)+50)&lt;&gt;"","set "&amp;INDEX(CUEs!$A:$A,INT((ROW()-1)/7)*57+MOD(ROW()-1,7)+50)&amp;"=/ s "&amp;INDEX(CUEs!$B:$B,INT((ROW()-1)/7)*57+MOD(ROW()-1,7)+50),"")</f>
        <v/>
      </c>
    </row>
    <row r="5361" spans="1:1" x14ac:dyDescent="0.25">
      <c r="A5361" t="str" cm="1">
        <f t="array" ref="A5361">IF(INDEX(CUEs!$A:$A,INT((ROW()-1)/7)*57+MOD(ROW()-1,7)+50)&lt;&gt;"","set "&amp;INDEX(CUEs!$A:$A,INT((ROW()-1)/7)*57+MOD(ROW()-1,7)+50)&amp;"=/ s "&amp;INDEX(CUEs!$B:$B,INT((ROW()-1)/7)*57+MOD(ROW()-1,7)+50),"")</f>
        <v/>
      </c>
    </row>
    <row r="5362" spans="1:1" x14ac:dyDescent="0.25">
      <c r="A5362" t="str" cm="1">
        <f t="array" ref="A5362">IF(INDEX(CUEs!$A:$A,INT((ROW()-1)/7)*57+MOD(ROW()-1,7)+50)&lt;&gt;"","set "&amp;INDEX(CUEs!$A:$A,INT((ROW()-1)/7)*57+MOD(ROW()-1,7)+50)&amp;"=/ s "&amp;INDEX(CUEs!$B:$B,INT((ROW()-1)/7)*57+MOD(ROW()-1,7)+50),"")</f>
        <v/>
      </c>
    </row>
    <row r="5363" spans="1:1" x14ac:dyDescent="0.25">
      <c r="A5363" t="str" cm="1">
        <f t="array" ref="A5363">IF(INDEX(CUEs!$A:$A,INT((ROW()-1)/7)*57+MOD(ROW()-1,7)+50)&lt;&gt;"","set "&amp;INDEX(CUEs!$A:$A,INT((ROW()-1)/7)*57+MOD(ROW()-1,7)+50)&amp;"=/ s "&amp;INDEX(CUEs!$B:$B,INT((ROW()-1)/7)*57+MOD(ROW()-1,7)+50),"")</f>
        <v/>
      </c>
    </row>
    <row r="5364" spans="1:1" x14ac:dyDescent="0.25">
      <c r="A5364" t="str" cm="1">
        <f t="array" ref="A5364">IF(INDEX(CUEs!$A:$A,INT((ROW()-1)/7)*57+MOD(ROW()-1,7)+50)&lt;&gt;"","set "&amp;INDEX(CUEs!$A:$A,INT((ROW()-1)/7)*57+MOD(ROW()-1,7)+50)&amp;"=/ s "&amp;INDEX(CUEs!$B:$B,INT((ROW()-1)/7)*57+MOD(ROW()-1,7)+50),"")</f>
        <v/>
      </c>
    </row>
    <row r="5365" spans="1:1" x14ac:dyDescent="0.25">
      <c r="A5365" t="str" cm="1">
        <f t="array" ref="A5365">IF(INDEX(CUEs!$A:$A,INT((ROW()-1)/7)*57+MOD(ROW()-1,7)+50)&lt;&gt;"","set "&amp;INDEX(CUEs!$A:$A,INT((ROW()-1)/7)*57+MOD(ROW()-1,7)+50)&amp;"=/ s "&amp;INDEX(CUEs!$B:$B,INT((ROW()-1)/7)*57+MOD(ROW()-1,7)+50),"")</f>
        <v/>
      </c>
    </row>
    <row r="5366" spans="1:1" x14ac:dyDescent="0.25">
      <c r="A5366" t="str" cm="1">
        <f t="array" ref="A5366">IF(INDEX(CUEs!$A:$A,INT((ROW()-1)/7)*57+MOD(ROW()-1,7)+50)&lt;&gt;"","set "&amp;INDEX(CUEs!$A:$A,INT((ROW()-1)/7)*57+MOD(ROW()-1,7)+50)&amp;"=/ s "&amp;INDEX(CUEs!$B:$B,INT((ROW()-1)/7)*57+MOD(ROW()-1,7)+50),"")</f>
        <v/>
      </c>
    </row>
    <row r="5367" spans="1:1" x14ac:dyDescent="0.25">
      <c r="A5367" t="str" cm="1">
        <f t="array" ref="A5367">IF(INDEX(CUEs!$A:$A,INT((ROW()-1)/7)*57+MOD(ROW()-1,7)+50)&lt;&gt;"","set "&amp;INDEX(CUEs!$A:$A,INT((ROW()-1)/7)*57+MOD(ROW()-1,7)+50)&amp;"=/ s "&amp;INDEX(CUEs!$B:$B,INT((ROW()-1)/7)*57+MOD(ROW()-1,7)+50),"")</f>
        <v/>
      </c>
    </row>
    <row r="5368" spans="1:1" x14ac:dyDescent="0.25">
      <c r="A5368" t="str" cm="1">
        <f t="array" ref="A5368">IF(INDEX(CUEs!$A:$A,INT((ROW()-1)/7)*57+MOD(ROW()-1,7)+50)&lt;&gt;"","set "&amp;INDEX(CUEs!$A:$A,INT((ROW()-1)/7)*57+MOD(ROW()-1,7)+50)&amp;"=/ s "&amp;INDEX(CUEs!$B:$B,INT((ROW()-1)/7)*57+MOD(ROW()-1,7)+50),"")</f>
        <v/>
      </c>
    </row>
    <row r="5369" spans="1:1" x14ac:dyDescent="0.25">
      <c r="A5369" t="str" cm="1">
        <f t="array" ref="A5369">IF(INDEX(CUEs!$A:$A,INT((ROW()-1)/7)*57+MOD(ROW()-1,7)+50)&lt;&gt;"","set "&amp;INDEX(CUEs!$A:$A,INT((ROW()-1)/7)*57+MOD(ROW()-1,7)+50)&amp;"=/ s "&amp;INDEX(CUEs!$B:$B,INT((ROW()-1)/7)*57+MOD(ROW()-1,7)+50),"")</f>
        <v/>
      </c>
    </row>
    <row r="5370" spans="1:1" x14ac:dyDescent="0.25">
      <c r="A5370" t="str" cm="1">
        <f t="array" ref="A5370">IF(INDEX(CUEs!$A:$A,INT((ROW()-1)/7)*57+MOD(ROW()-1,7)+50)&lt;&gt;"","set "&amp;INDEX(CUEs!$A:$A,INT((ROW()-1)/7)*57+MOD(ROW()-1,7)+50)&amp;"=/ s "&amp;INDEX(CUEs!$B:$B,INT((ROW()-1)/7)*57+MOD(ROW()-1,7)+50),"")</f>
        <v/>
      </c>
    </row>
    <row r="5371" spans="1:1" x14ac:dyDescent="0.25">
      <c r="A5371" t="str" cm="1">
        <f t="array" ref="A5371">IF(INDEX(CUEs!$A:$A,INT((ROW()-1)/7)*57+MOD(ROW()-1,7)+50)&lt;&gt;"","set "&amp;INDEX(CUEs!$A:$A,INT((ROW()-1)/7)*57+MOD(ROW()-1,7)+50)&amp;"=/ s "&amp;INDEX(CUEs!$B:$B,INT((ROW()-1)/7)*57+MOD(ROW()-1,7)+50),"")</f>
        <v/>
      </c>
    </row>
    <row r="5372" spans="1:1" x14ac:dyDescent="0.25">
      <c r="A5372" t="str" cm="1">
        <f t="array" ref="A5372">IF(INDEX(CUEs!$A:$A,INT((ROW()-1)/7)*57+MOD(ROW()-1,7)+50)&lt;&gt;"","set "&amp;INDEX(CUEs!$A:$A,INT((ROW()-1)/7)*57+MOD(ROW()-1,7)+50)&amp;"=/ s "&amp;INDEX(CUEs!$B:$B,INT((ROW()-1)/7)*57+MOD(ROW()-1,7)+50),"")</f>
        <v/>
      </c>
    </row>
    <row r="5373" spans="1:1" x14ac:dyDescent="0.25">
      <c r="A5373" t="str" cm="1">
        <f t="array" ref="A5373">IF(INDEX(CUEs!$A:$A,INT((ROW()-1)/7)*57+MOD(ROW()-1,7)+50)&lt;&gt;"","set "&amp;INDEX(CUEs!$A:$A,INT((ROW()-1)/7)*57+MOD(ROW()-1,7)+50)&amp;"=/ s "&amp;INDEX(CUEs!$B:$B,INT((ROW()-1)/7)*57+MOD(ROW()-1,7)+50),"")</f>
        <v/>
      </c>
    </row>
    <row r="5374" spans="1:1" x14ac:dyDescent="0.25">
      <c r="A5374" t="str" cm="1">
        <f t="array" ref="A5374">IF(INDEX(CUEs!$A:$A,INT((ROW()-1)/7)*57+MOD(ROW()-1,7)+50)&lt;&gt;"","set "&amp;INDEX(CUEs!$A:$A,INT((ROW()-1)/7)*57+MOD(ROW()-1,7)+50)&amp;"=/ s "&amp;INDEX(CUEs!$B:$B,INT((ROW()-1)/7)*57+MOD(ROW()-1,7)+50),"")</f>
        <v/>
      </c>
    </row>
    <row r="5375" spans="1:1" x14ac:dyDescent="0.25">
      <c r="A5375" t="str" cm="1">
        <f t="array" ref="A5375">IF(INDEX(CUEs!$A:$A,INT((ROW()-1)/7)*57+MOD(ROW()-1,7)+50)&lt;&gt;"","set "&amp;INDEX(CUEs!$A:$A,INT((ROW()-1)/7)*57+MOD(ROW()-1,7)+50)&amp;"=/ s "&amp;INDEX(CUEs!$B:$B,INT((ROW()-1)/7)*57+MOD(ROW()-1,7)+50),"")</f>
        <v/>
      </c>
    </row>
    <row r="5376" spans="1:1" x14ac:dyDescent="0.25">
      <c r="A5376" t="str" cm="1">
        <f t="array" ref="A5376">IF(INDEX(CUEs!$A:$A,INT((ROW()-1)/7)*57+MOD(ROW()-1,7)+50)&lt;&gt;"","set "&amp;INDEX(CUEs!$A:$A,INT((ROW()-1)/7)*57+MOD(ROW()-1,7)+50)&amp;"=/ s "&amp;INDEX(CUEs!$B:$B,INT((ROW()-1)/7)*57+MOD(ROW()-1,7)+50),"")</f>
        <v/>
      </c>
    </row>
    <row r="5377" spans="1:1" x14ac:dyDescent="0.25">
      <c r="A5377" t="str" cm="1">
        <f t="array" ref="A5377">IF(INDEX(CUEs!$A:$A,INT((ROW()-1)/7)*57+MOD(ROW()-1,7)+50)&lt;&gt;"","set "&amp;INDEX(CUEs!$A:$A,INT((ROW()-1)/7)*57+MOD(ROW()-1,7)+50)&amp;"=/ s "&amp;INDEX(CUEs!$B:$B,INT((ROW()-1)/7)*57+MOD(ROW()-1,7)+50),"")</f>
        <v/>
      </c>
    </row>
    <row r="5378" spans="1:1" x14ac:dyDescent="0.25">
      <c r="A5378" t="str" cm="1">
        <f t="array" ref="A5378">IF(INDEX(CUEs!$A:$A,INT((ROW()-1)/7)*57+MOD(ROW()-1,7)+50)&lt;&gt;"","set "&amp;INDEX(CUEs!$A:$A,INT((ROW()-1)/7)*57+MOD(ROW()-1,7)+50)&amp;"=/ s "&amp;INDEX(CUEs!$B:$B,INT((ROW()-1)/7)*57+MOD(ROW()-1,7)+50),"")</f>
        <v/>
      </c>
    </row>
    <row r="5379" spans="1:1" x14ac:dyDescent="0.25">
      <c r="A5379" t="str" cm="1">
        <f t="array" ref="A5379">IF(INDEX(CUEs!$A:$A,INT((ROW()-1)/7)*57+MOD(ROW()-1,7)+50)&lt;&gt;"","set "&amp;INDEX(CUEs!$A:$A,INT((ROW()-1)/7)*57+MOD(ROW()-1,7)+50)&amp;"=/ s "&amp;INDEX(CUEs!$B:$B,INT((ROW()-1)/7)*57+MOD(ROW()-1,7)+50),"")</f>
        <v/>
      </c>
    </row>
    <row r="5380" spans="1:1" x14ac:dyDescent="0.25">
      <c r="A5380" t="str" cm="1">
        <f t="array" ref="A5380">IF(INDEX(CUEs!$A:$A,INT((ROW()-1)/7)*57+MOD(ROW()-1,7)+50)&lt;&gt;"","set "&amp;INDEX(CUEs!$A:$A,INT((ROW()-1)/7)*57+MOD(ROW()-1,7)+50)&amp;"=/ s "&amp;INDEX(CUEs!$B:$B,INT((ROW()-1)/7)*57+MOD(ROW()-1,7)+50),"")</f>
        <v/>
      </c>
    </row>
    <row r="5381" spans="1:1" x14ac:dyDescent="0.25">
      <c r="A5381" t="str" cm="1">
        <f t="array" ref="A5381">IF(INDEX(CUEs!$A:$A,INT((ROW()-1)/7)*57+MOD(ROW()-1,7)+50)&lt;&gt;"","set "&amp;INDEX(CUEs!$A:$A,INT((ROW()-1)/7)*57+MOD(ROW()-1,7)+50)&amp;"=/ s "&amp;INDEX(CUEs!$B:$B,INT((ROW()-1)/7)*57+MOD(ROW()-1,7)+50),"")</f>
        <v/>
      </c>
    </row>
    <row r="5382" spans="1:1" x14ac:dyDescent="0.25">
      <c r="A5382" t="str" cm="1">
        <f t="array" ref="A5382">IF(INDEX(CUEs!$A:$A,INT((ROW()-1)/7)*57+MOD(ROW()-1,7)+50)&lt;&gt;"","set "&amp;INDEX(CUEs!$A:$A,INT((ROW()-1)/7)*57+MOD(ROW()-1,7)+50)&amp;"=/ s "&amp;INDEX(CUEs!$B:$B,INT((ROW()-1)/7)*57+MOD(ROW()-1,7)+50),"")</f>
        <v/>
      </c>
    </row>
    <row r="5383" spans="1:1" x14ac:dyDescent="0.25">
      <c r="A5383" t="str" cm="1">
        <f t="array" ref="A5383">IF(INDEX(CUEs!$A:$A,INT((ROW()-1)/7)*57+MOD(ROW()-1,7)+50)&lt;&gt;"","set "&amp;INDEX(CUEs!$A:$A,INT((ROW()-1)/7)*57+MOD(ROW()-1,7)+50)&amp;"=/ s "&amp;INDEX(CUEs!$B:$B,INT((ROW()-1)/7)*57+MOD(ROW()-1,7)+50),"")</f>
        <v/>
      </c>
    </row>
    <row r="5384" spans="1:1" x14ac:dyDescent="0.25">
      <c r="A5384" t="str" cm="1">
        <f t="array" ref="A5384">IF(INDEX(CUEs!$A:$A,INT((ROW()-1)/7)*57+MOD(ROW()-1,7)+50)&lt;&gt;"","set "&amp;INDEX(CUEs!$A:$A,INT((ROW()-1)/7)*57+MOD(ROW()-1,7)+50)&amp;"=/ s "&amp;INDEX(CUEs!$B:$B,INT((ROW()-1)/7)*57+MOD(ROW()-1,7)+50),"")</f>
        <v/>
      </c>
    </row>
    <row r="5385" spans="1:1" x14ac:dyDescent="0.25">
      <c r="A5385" t="str" cm="1">
        <f t="array" ref="A5385">IF(INDEX(CUEs!$A:$A,INT((ROW()-1)/7)*57+MOD(ROW()-1,7)+50)&lt;&gt;"","set "&amp;INDEX(CUEs!$A:$A,INT((ROW()-1)/7)*57+MOD(ROW()-1,7)+50)&amp;"=/ s "&amp;INDEX(CUEs!$B:$B,INT((ROW()-1)/7)*57+MOD(ROW()-1,7)+50),"")</f>
        <v/>
      </c>
    </row>
    <row r="5386" spans="1:1" x14ac:dyDescent="0.25">
      <c r="A5386" t="str" cm="1">
        <f t="array" ref="A5386">IF(INDEX(CUEs!$A:$A,INT((ROW()-1)/7)*57+MOD(ROW()-1,7)+50)&lt;&gt;"","set "&amp;INDEX(CUEs!$A:$A,INT((ROW()-1)/7)*57+MOD(ROW()-1,7)+50)&amp;"=/ s "&amp;INDEX(CUEs!$B:$B,INT((ROW()-1)/7)*57+MOD(ROW()-1,7)+50),"")</f>
        <v/>
      </c>
    </row>
    <row r="5387" spans="1:1" x14ac:dyDescent="0.25">
      <c r="A5387" t="str" cm="1">
        <f t="array" ref="A5387">IF(INDEX(CUEs!$A:$A,INT((ROW()-1)/7)*57+MOD(ROW()-1,7)+50)&lt;&gt;"","set "&amp;INDEX(CUEs!$A:$A,INT((ROW()-1)/7)*57+MOD(ROW()-1,7)+50)&amp;"=/ s "&amp;INDEX(CUEs!$B:$B,INT((ROW()-1)/7)*57+MOD(ROW()-1,7)+50),"")</f>
        <v/>
      </c>
    </row>
    <row r="5388" spans="1:1" x14ac:dyDescent="0.25">
      <c r="A5388" t="str" cm="1">
        <f t="array" ref="A5388">IF(INDEX(CUEs!$A:$A,INT((ROW()-1)/7)*57+MOD(ROW()-1,7)+50)&lt;&gt;"","set "&amp;INDEX(CUEs!$A:$A,INT((ROW()-1)/7)*57+MOD(ROW()-1,7)+50)&amp;"=/ s "&amp;INDEX(CUEs!$B:$B,INT((ROW()-1)/7)*57+MOD(ROW()-1,7)+50),"")</f>
        <v/>
      </c>
    </row>
    <row r="5389" spans="1:1" x14ac:dyDescent="0.25">
      <c r="A5389" t="str" cm="1">
        <f t="array" ref="A5389">IF(INDEX(CUEs!$A:$A,INT((ROW()-1)/7)*57+MOD(ROW()-1,7)+50)&lt;&gt;"","set "&amp;INDEX(CUEs!$A:$A,INT((ROW()-1)/7)*57+MOD(ROW()-1,7)+50)&amp;"=/ s "&amp;INDEX(CUEs!$B:$B,INT((ROW()-1)/7)*57+MOD(ROW()-1,7)+50),"")</f>
        <v/>
      </c>
    </row>
    <row r="5390" spans="1:1" x14ac:dyDescent="0.25">
      <c r="A5390" t="str" cm="1">
        <f t="array" ref="A5390">IF(INDEX(CUEs!$A:$A,INT((ROW()-1)/7)*57+MOD(ROW()-1,7)+50)&lt;&gt;"","set "&amp;INDEX(CUEs!$A:$A,INT((ROW()-1)/7)*57+MOD(ROW()-1,7)+50)&amp;"=/ s "&amp;INDEX(CUEs!$B:$B,INT((ROW()-1)/7)*57+MOD(ROW()-1,7)+50),"")</f>
        <v/>
      </c>
    </row>
    <row r="5391" spans="1:1" x14ac:dyDescent="0.25">
      <c r="A5391" t="str" cm="1">
        <f t="array" ref="A5391">IF(INDEX(CUEs!$A:$A,INT((ROW()-1)/7)*57+MOD(ROW()-1,7)+50)&lt;&gt;"","set "&amp;INDEX(CUEs!$A:$A,INT((ROW()-1)/7)*57+MOD(ROW()-1,7)+50)&amp;"=/ s "&amp;INDEX(CUEs!$B:$B,INT((ROW()-1)/7)*57+MOD(ROW()-1,7)+50),"")</f>
        <v/>
      </c>
    </row>
    <row r="5392" spans="1:1" x14ac:dyDescent="0.25">
      <c r="A5392" t="str" cm="1">
        <f t="array" ref="A5392">IF(INDEX(CUEs!$A:$A,INT((ROW()-1)/7)*57+MOD(ROW()-1,7)+50)&lt;&gt;"","set "&amp;INDEX(CUEs!$A:$A,INT((ROW()-1)/7)*57+MOD(ROW()-1,7)+50)&amp;"=/ s "&amp;INDEX(CUEs!$B:$B,INT((ROW()-1)/7)*57+MOD(ROW()-1,7)+50),"")</f>
        <v/>
      </c>
    </row>
    <row r="5393" spans="1:1" x14ac:dyDescent="0.25">
      <c r="A5393" t="str" cm="1">
        <f t="array" ref="A5393">IF(INDEX(CUEs!$A:$A,INT((ROW()-1)/7)*57+MOD(ROW()-1,7)+50)&lt;&gt;"","set "&amp;INDEX(CUEs!$A:$A,INT((ROW()-1)/7)*57+MOD(ROW()-1,7)+50)&amp;"=/ s "&amp;INDEX(CUEs!$B:$B,INT((ROW()-1)/7)*57+MOD(ROW()-1,7)+50),"")</f>
        <v/>
      </c>
    </row>
    <row r="5394" spans="1:1" x14ac:dyDescent="0.25">
      <c r="A5394" t="str" cm="1">
        <f t="array" ref="A5394">IF(INDEX(CUEs!$A:$A,INT((ROW()-1)/7)*57+MOD(ROW()-1,7)+50)&lt;&gt;"","set "&amp;INDEX(CUEs!$A:$A,INT((ROW()-1)/7)*57+MOD(ROW()-1,7)+50)&amp;"=/ s "&amp;INDEX(CUEs!$B:$B,INT((ROW()-1)/7)*57+MOD(ROW()-1,7)+50),"")</f>
        <v/>
      </c>
    </row>
    <row r="5395" spans="1:1" x14ac:dyDescent="0.25">
      <c r="A5395" t="str" cm="1">
        <f t="array" ref="A5395">IF(INDEX(CUEs!$A:$A,INT((ROW()-1)/7)*57+MOD(ROW()-1,7)+50)&lt;&gt;"","set "&amp;INDEX(CUEs!$A:$A,INT((ROW()-1)/7)*57+MOD(ROW()-1,7)+50)&amp;"=/ s "&amp;INDEX(CUEs!$B:$B,INT((ROW()-1)/7)*57+MOD(ROW()-1,7)+50),"")</f>
        <v/>
      </c>
    </row>
    <row r="5396" spans="1:1" x14ac:dyDescent="0.25">
      <c r="A5396" t="str" cm="1">
        <f t="array" ref="A5396">IF(INDEX(CUEs!$A:$A,INT((ROW()-1)/7)*57+MOD(ROW()-1,7)+50)&lt;&gt;"","set "&amp;INDEX(CUEs!$A:$A,INT((ROW()-1)/7)*57+MOD(ROW()-1,7)+50)&amp;"=/ s "&amp;INDEX(CUEs!$B:$B,INT((ROW()-1)/7)*57+MOD(ROW()-1,7)+50),"")</f>
        <v/>
      </c>
    </row>
    <row r="5397" spans="1:1" x14ac:dyDescent="0.25">
      <c r="A5397" t="str" cm="1">
        <f t="array" ref="A5397">IF(INDEX(CUEs!$A:$A,INT((ROW()-1)/7)*57+MOD(ROW()-1,7)+50)&lt;&gt;"","set "&amp;INDEX(CUEs!$A:$A,INT((ROW()-1)/7)*57+MOD(ROW()-1,7)+50)&amp;"=/ s "&amp;INDEX(CUEs!$B:$B,INT((ROW()-1)/7)*57+MOD(ROW()-1,7)+50),"")</f>
        <v/>
      </c>
    </row>
    <row r="5398" spans="1:1" x14ac:dyDescent="0.25">
      <c r="A5398" t="str" cm="1">
        <f t="array" ref="A5398">IF(INDEX(CUEs!$A:$A,INT((ROW()-1)/7)*57+MOD(ROW()-1,7)+50)&lt;&gt;"","set "&amp;INDEX(CUEs!$A:$A,INT((ROW()-1)/7)*57+MOD(ROW()-1,7)+50)&amp;"=/ s "&amp;INDEX(CUEs!$B:$B,INT((ROW()-1)/7)*57+MOD(ROW()-1,7)+50),"")</f>
        <v/>
      </c>
    </row>
    <row r="5399" spans="1:1" x14ac:dyDescent="0.25">
      <c r="A5399" t="str" cm="1">
        <f t="array" ref="A5399">IF(INDEX(CUEs!$A:$A,INT((ROW()-1)/7)*57+MOD(ROW()-1,7)+50)&lt;&gt;"","set "&amp;INDEX(CUEs!$A:$A,INT((ROW()-1)/7)*57+MOD(ROW()-1,7)+50)&amp;"=/ s "&amp;INDEX(CUEs!$B:$B,INT((ROW()-1)/7)*57+MOD(ROW()-1,7)+50),"")</f>
        <v/>
      </c>
    </row>
    <row r="5400" spans="1:1" x14ac:dyDescent="0.25">
      <c r="A5400" t="str" cm="1">
        <f t="array" ref="A5400">IF(INDEX(CUEs!$A:$A,INT((ROW()-1)/7)*57+MOD(ROW()-1,7)+50)&lt;&gt;"","set "&amp;INDEX(CUEs!$A:$A,INT((ROW()-1)/7)*57+MOD(ROW()-1,7)+50)&amp;"=/ s "&amp;INDEX(CUEs!$B:$B,INT((ROW()-1)/7)*57+MOD(ROW()-1,7)+50),"")</f>
        <v/>
      </c>
    </row>
    <row r="5401" spans="1:1" x14ac:dyDescent="0.25">
      <c r="A5401" t="str" cm="1">
        <f t="array" ref="A5401">IF(INDEX(CUEs!$A:$A,INT((ROW()-1)/7)*57+MOD(ROW()-1,7)+50)&lt;&gt;"","set "&amp;INDEX(CUEs!$A:$A,INT((ROW()-1)/7)*57+MOD(ROW()-1,7)+50)&amp;"=/ s "&amp;INDEX(CUEs!$B:$B,INT((ROW()-1)/7)*57+MOD(ROW()-1,7)+50),"")</f>
        <v/>
      </c>
    </row>
    <row r="5402" spans="1:1" x14ac:dyDescent="0.25">
      <c r="A5402" t="str" cm="1">
        <f t="array" ref="A5402">IF(INDEX(CUEs!$A:$A,INT((ROW()-1)/7)*57+MOD(ROW()-1,7)+50)&lt;&gt;"","set "&amp;INDEX(CUEs!$A:$A,INT((ROW()-1)/7)*57+MOD(ROW()-1,7)+50)&amp;"=/ s "&amp;INDEX(CUEs!$B:$B,INT((ROW()-1)/7)*57+MOD(ROW()-1,7)+50),"")</f>
        <v/>
      </c>
    </row>
    <row r="5403" spans="1:1" x14ac:dyDescent="0.25">
      <c r="A5403" t="str" cm="1">
        <f t="array" ref="A5403">IF(INDEX(CUEs!$A:$A,INT((ROW()-1)/7)*57+MOD(ROW()-1,7)+50)&lt;&gt;"","set "&amp;INDEX(CUEs!$A:$A,INT((ROW()-1)/7)*57+MOD(ROW()-1,7)+50)&amp;"=/ s "&amp;INDEX(CUEs!$B:$B,INT((ROW()-1)/7)*57+MOD(ROW()-1,7)+50),"")</f>
        <v/>
      </c>
    </row>
    <row r="5404" spans="1:1" x14ac:dyDescent="0.25">
      <c r="A5404" t="str" cm="1">
        <f t="array" ref="A5404">IF(INDEX(CUEs!$A:$A,INT((ROW()-1)/7)*57+MOD(ROW()-1,7)+50)&lt;&gt;"","set "&amp;INDEX(CUEs!$A:$A,INT((ROW()-1)/7)*57+MOD(ROW()-1,7)+50)&amp;"=/ s "&amp;INDEX(CUEs!$B:$B,INT((ROW()-1)/7)*57+MOD(ROW()-1,7)+50),"")</f>
        <v/>
      </c>
    </row>
    <row r="5405" spans="1:1" x14ac:dyDescent="0.25">
      <c r="A5405" t="str" cm="1">
        <f t="array" ref="A5405">IF(INDEX(CUEs!$A:$A,INT((ROW()-1)/7)*57+MOD(ROW()-1,7)+50)&lt;&gt;"","set "&amp;INDEX(CUEs!$A:$A,INT((ROW()-1)/7)*57+MOD(ROW()-1,7)+50)&amp;"=/ s "&amp;INDEX(CUEs!$B:$B,INT((ROW()-1)/7)*57+MOD(ROW()-1,7)+50),"")</f>
        <v/>
      </c>
    </row>
    <row r="5406" spans="1:1" x14ac:dyDescent="0.25">
      <c r="A5406" t="str" cm="1">
        <f t="array" ref="A5406">IF(INDEX(CUEs!$A:$A,INT((ROW()-1)/7)*57+MOD(ROW()-1,7)+50)&lt;&gt;"","set "&amp;INDEX(CUEs!$A:$A,INT((ROW()-1)/7)*57+MOD(ROW()-1,7)+50)&amp;"=/ s "&amp;INDEX(CUEs!$B:$B,INT((ROW()-1)/7)*57+MOD(ROW()-1,7)+50),"")</f>
        <v/>
      </c>
    </row>
    <row r="5407" spans="1:1" x14ac:dyDescent="0.25">
      <c r="A5407" t="str" cm="1">
        <f t="array" ref="A5407">IF(INDEX(CUEs!$A:$A,INT((ROW()-1)/7)*57+MOD(ROW()-1,7)+50)&lt;&gt;"","set "&amp;INDEX(CUEs!$A:$A,INT((ROW()-1)/7)*57+MOD(ROW()-1,7)+50)&amp;"=/ s "&amp;INDEX(CUEs!$B:$B,INT((ROW()-1)/7)*57+MOD(ROW()-1,7)+50),"")</f>
        <v/>
      </c>
    </row>
    <row r="5408" spans="1:1" x14ac:dyDescent="0.25">
      <c r="A5408" t="str" cm="1">
        <f t="array" ref="A5408">IF(INDEX(CUEs!$A:$A,INT((ROW()-1)/7)*57+MOD(ROW()-1,7)+50)&lt;&gt;"","set "&amp;INDEX(CUEs!$A:$A,INT((ROW()-1)/7)*57+MOD(ROW()-1,7)+50)&amp;"=/ s "&amp;INDEX(CUEs!$B:$B,INT((ROW()-1)/7)*57+MOD(ROW()-1,7)+50),"")</f>
        <v/>
      </c>
    </row>
    <row r="5409" spans="1:1" x14ac:dyDescent="0.25">
      <c r="A5409" t="str" cm="1">
        <f t="array" ref="A5409">IF(INDEX(CUEs!$A:$A,INT((ROW()-1)/7)*57+MOD(ROW()-1,7)+50)&lt;&gt;"","set "&amp;INDEX(CUEs!$A:$A,INT((ROW()-1)/7)*57+MOD(ROW()-1,7)+50)&amp;"=/ s "&amp;INDEX(CUEs!$B:$B,INT((ROW()-1)/7)*57+MOD(ROW()-1,7)+50),"")</f>
        <v/>
      </c>
    </row>
    <row r="5410" spans="1:1" x14ac:dyDescent="0.25">
      <c r="A5410" t="str" cm="1">
        <f t="array" ref="A5410">IF(INDEX(CUEs!$A:$A,INT((ROW()-1)/7)*57+MOD(ROW()-1,7)+50)&lt;&gt;"","set "&amp;INDEX(CUEs!$A:$A,INT((ROW()-1)/7)*57+MOD(ROW()-1,7)+50)&amp;"=/ s "&amp;INDEX(CUEs!$B:$B,INT((ROW()-1)/7)*57+MOD(ROW()-1,7)+50),"")</f>
        <v/>
      </c>
    </row>
    <row r="5411" spans="1:1" x14ac:dyDescent="0.25">
      <c r="A5411" t="str" cm="1">
        <f t="array" ref="A5411">IF(INDEX(CUEs!$A:$A,INT((ROW()-1)/7)*57+MOD(ROW()-1,7)+50)&lt;&gt;"","set "&amp;INDEX(CUEs!$A:$A,INT((ROW()-1)/7)*57+MOD(ROW()-1,7)+50)&amp;"=/ s "&amp;INDEX(CUEs!$B:$B,INT((ROW()-1)/7)*57+MOD(ROW()-1,7)+50),"")</f>
        <v/>
      </c>
    </row>
    <row r="5412" spans="1:1" x14ac:dyDescent="0.25">
      <c r="A5412" t="str" cm="1">
        <f t="array" ref="A5412">IF(INDEX(CUEs!$A:$A,INT((ROW()-1)/7)*57+MOD(ROW()-1,7)+50)&lt;&gt;"","set "&amp;INDEX(CUEs!$A:$A,INT((ROW()-1)/7)*57+MOD(ROW()-1,7)+50)&amp;"=/ s "&amp;INDEX(CUEs!$B:$B,INT((ROW()-1)/7)*57+MOD(ROW()-1,7)+50),"")</f>
        <v/>
      </c>
    </row>
    <row r="5413" spans="1:1" x14ac:dyDescent="0.25">
      <c r="A5413" t="str" cm="1">
        <f t="array" ref="A5413">IF(INDEX(CUEs!$A:$A,INT((ROW()-1)/7)*57+MOD(ROW()-1,7)+50)&lt;&gt;"","set "&amp;INDEX(CUEs!$A:$A,INT((ROW()-1)/7)*57+MOD(ROW()-1,7)+50)&amp;"=/ s "&amp;INDEX(CUEs!$B:$B,INT((ROW()-1)/7)*57+MOD(ROW()-1,7)+50),"")</f>
        <v/>
      </c>
    </row>
    <row r="5414" spans="1:1" x14ac:dyDescent="0.25">
      <c r="A5414" t="str" cm="1">
        <f t="array" ref="A5414">IF(INDEX(CUEs!$A:$A,INT((ROW()-1)/7)*57+MOD(ROW()-1,7)+50)&lt;&gt;"","set "&amp;INDEX(CUEs!$A:$A,INT((ROW()-1)/7)*57+MOD(ROW()-1,7)+50)&amp;"=/ s "&amp;INDEX(CUEs!$B:$B,INT((ROW()-1)/7)*57+MOD(ROW()-1,7)+50),"")</f>
        <v/>
      </c>
    </row>
    <row r="5415" spans="1:1" x14ac:dyDescent="0.25">
      <c r="A5415" t="str" cm="1">
        <f t="array" ref="A5415">IF(INDEX(CUEs!$A:$A,INT((ROW()-1)/7)*57+MOD(ROW()-1,7)+50)&lt;&gt;"","set "&amp;INDEX(CUEs!$A:$A,INT((ROW()-1)/7)*57+MOD(ROW()-1,7)+50)&amp;"=/ s "&amp;INDEX(CUEs!$B:$B,INT((ROW()-1)/7)*57+MOD(ROW()-1,7)+50),"")</f>
        <v/>
      </c>
    </row>
    <row r="5416" spans="1:1" x14ac:dyDescent="0.25">
      <c r="A5416" t="str" cm="1">
        <f t="array" ref="A5416">IF(INDEX(CUEs!$A:$A,INT((ROW()-1)/7)*57+MOD(ROW()-1,7)+50)&lt;&gt;"","set "&amp;INDEX(CUEs!$A:$A,INT((ROW()-1)/7)*57+MOD(ROW()-1,7)+50)&amp;"=/ s "&amp;INDEX(CUEs!$B:$B,INT((ROW()-1)/7)*57+MOD(ROW()-1,7)+50),"")</f>
        <v/>
      </c>
    </row>
    <row r="5417" spans="1:1" x14ac:dyDescent="0.25">
      <c r="A5417" t="str" cm="1">
        <f t="array" ref="A5417">IF(INDEX(CUEs!$A:$A,INT((ROW()-1)/7)*57+MOD(ROW()-1,7)+50)&lt;&gt;"","set "&amp;INDEX(CUEs!$A:$A,INT((ROW()-1)/7)*57+MOD(ROW()-1,7)+50)&amp;"=/ s "&amp;INDEX(CUEs!$B:$B,INT((ROW()-1)/7)*57+MOD(ROW()-1,7)+50),"")</f>
        <v/>
      </c>
    </row>
    <row r="5418" spans="1:1" x14ac:dyDescent="0.25">
      <c r="A5418" t="str" cm="1">
        <f t="array" ref="A5418">IF(INDEX(CUEs!$A:$A,INT((ROW()-1)/7)*57+MOD(ROW()-1,7)+50)&lt;&gt;"","set "&amp;INDEX(CUEs!$A:$A,INT((ROW()-1)/7)*57+MOD(ROW()-1,7)+50)&amp;"=/ s "&amp;INDEX(CUEs!$B:$B,INT((ROW()-1)/7)*57+MOD(ROW()-1,7)+50),"")</f>
        <v/>
      </c>
    </row>
    <row r="5419" spans="1:1" x14ac:dyDescent="0.25">
      <c r="A5419" t="str" cm="1">
        <f t="array" ref="A5419">IF(INDEX(CUEs!$A:$A,INT((ROW()-1)/7)*57+MOD(ROW()-1,7)+50)&lt;&gt;"","set "&amp;INDEX(CUEs!$A:$A,INT((ROW()-1)/7)*57+MOD(ROW()-1,7)+50)&amp;"=/ s "&amp;INDEX(CUEs!$B:$B,INT((ROW()-1)/7)*57+MOD(ROW()-1,7)+50),"")</f>
        <v/>
      </c>
    </row>
    <row r="5420" spans="1:1" x14ac:dyDescent="0.25">
      <c r="A5420" t="str" cm="1">
        <f t="array" ref="A5420">IF(INDEX(CUEs!$A:$A,INT((ROW()-1)/7)*57+MOD(ROW()-1,7)+50)&lt;&gt;"","set "&amp;INDEX(CUEs!$A:$A,INT((ROW()-1)/7)*57+MOD(ROW()-1,7)+50)&amp;"=/ s "&amp;INDEX(CUEs!$B:$B,INT((ROW()-1)/7)*57+MOD(ROW()-1,7)+50),"")</f>
        <v/>
      </c>
    </row>
    <row r="5421" spans="1:1" x14ac:dyDescent="0.25">
      <c r="A5421" t="str" cm="1">
        <f t="array" ref="A5421">IF(INDEX(CUEs!$A:$A,INT((ROW()-1)/7)*57+MOD(ROW()-1,7)+50)&lt;&gt;"","set "&amp;INDEX(CUEs!$A:$A,INT((ROW()-1)/7)*57+MOD(ROW()-1,7)+50)&amp;"=/ s "&amp;INDEX(CUEs!$B:$B,INT((ROW()-1)/7)*57+MOD(ROW()-1,7)+50),"")</f>
        <v/>
      </c>
    </row>
    <row r="5422" spans="1:1" x14ac:dyDescent="0.25">
      <c r="A5422" t="str" cm="1">
        <f t="array" ref="A5422">IF(INDEX(CUEs!$A:$A,INT((ROW()-1)/7)*57+MOD(ROW()-1,7)+50)&lt;&gt;"","set "&amp;INDEX(CUEs!$A:$A,INT((ROW()-1)/7)*57+MOD(ROW()-1,7)+50)&amp;"=/ s "&amp;INDEX(CUEs!$B:$B,INT((ROW()-1)/7)*57+MOD(ROW()-1,7)+50),"")</f>
        <v/>
      </c>
    </row>
    <row r="5423" spans="1:1" x14ac:dyDescent="0.25">
      <c r="A5423" t="str" cm="1">
        <f t="array" ref="A5423">IF(INDEX(CUEs!$A:$A,INT((ROW()-1)/7)*57+MOD(ROW()-1,7)+50)&lt;&gt;"","set "&amp;INDEX(CUEs!$A:$A,INT((ROW()-1)/7)*57+MOD(ROW()-1,7)+50)&amp;"=/ s "&amp;INDEX(CUEs!$B:$B,INT((ROW()-1)/7)*57+MOD(ROW()-1,7)+50),"")</f>
        <v/>
      </c>
    </row>
    <row r="5424" spans="1:1" x14ac:dyDescent="0.25">
      <c r="A5424" t="str" cm="1">
        <f t="array" ref="A5424">IF(INDEX(CUEs!$A:$A,INT((ROW()-1)/7)*57+MOD(ROW()-1,7)+50)&lt;&gt;"","set "&amp;INDEX(CUEs!$A:$A,INT((ROW()-1)/7)*57+MOD(ROW()-1,7)+50)&amp;"=/ s "&amp;INDEX(CUEs!$B:$B,INT((ROW()-1)/7)*57+MOD(ROW()-1,7)+50),"")</f>
        <v/>
      </c>
    </row>
    <row r="5425" spans="1:1" x14ac:dyDescent="0.25">
      <c r="A5425" t="str" cm="1">
        <f t="array" ref="A5425">IF(INDEX(CUEs!$A:$A,INT((ROW()-1)/7)*57+MOD(ROW()-1,7)+50)&lt;&gt;"","set "&amp;INDEX(CUEs!$A:$A,INT((ROW()-1)/7)*57+MOD(ROW()-1,7)+50)&amp;"=/ s "&amp;INDEX(CUEs!$B:$B,INT((ROW()-1)/7)*57+MOD(ROW()-1,7)+50),"")</f>
        <v/>
      </c>
    </row>
    <row r="5426" spans="1:1" x14ac:dyDescent="0.25">
      <c r="A5426" t="str" cm="1">
        <f t="array" ref="A5426">IF(INDEX(CUEs!$A:$A,INT((ROW()-1)/7)*57+MOD(ROW()-1,7)+50)&lt;&gt;"","set "&amp;INDEX(CUEs!$A:$A,INT((ROW()-1)/7)*57+MOD(ROW()-1,7)+50)&amp;"=/ s "&amp;INDEX(CUEs!$B:$B,INT((ROW()-1)/7)*57+MOD(ROW()-1,7)+50),"")</f>
        <v/>
      </c>
    </row>
    <row r="5427" spans="1:1" x14ac:dyDescent="0.25">
      <c r="A5427" t="str" cm="1">
        <f t="array" ref="A5427">IF(INDEX(CUEs!$A:$A,INT((ROW()-1)/7)*57+MOD(ROW()-1,7)+50)&lt;&gt;"","set "&amp;INDEX(CUEs!$A:$A,INT((ROW()-1)/7)*57+MOD(ROW()-1,7)+50)&amp;"=/ s "&amp;INDEX(CUEs!$B:$B,INT((ROW()-1)/7)*57+MOD(ROW()-1,7)+50),"")</f>
        <v/>
      </c>
    </row>
    <row r="5428" spans="1:1" x14ac:dyDescent="0.25">
      <c r="A5428" t="str" cm="1">
        <f t="array" ref="A5428">IF(INDEX(CUEs!$A:$A,INT((ROW()-1)/7)*57+MOD(ROW()-1,7)+50)&lt;&gt;"","set "&amp;INDEX(CUEs!$A:$A,INT((ROW()-1)/7)*57+MOD(ROW()-1,7)+50)&amp;"=/ s "&amp;INDEX(CUEs!$B:$B,INT((ROW()-1)/7)*57+MOD(ROW()-1,7)+50),"")</f>
        <v/>
      </c>
    </row>
    <row r="5429" spans="1:1" x14ac:dyDescent="0.25">
      <c r="A5429" t="str" cm="1">
        <f t="array" ref="A5429">IF(INDEX(CUEs!$A:$A,INT((ROW()-1)/7)*57+MOD(ROW()-1,7)+50)&lt;&gt;"","set "&amp;INDEX(CUEs!$A:$A,INT((ROW()-1)/7)*57+MOD(ROW()-1,7)+50)&amp;"=/ s "&amp;INDEX(CUEs!$B:$B,INT((ROW()-1)/7)*57+MOD(ROW()-1,7)+50),"")</f>
        <v/>
      </c>
    </row>
    <row r="5430" spans="1:1" x14ac:dyDescent="0.25">
      <c r="A5430" t="str" cm="1">
        <f t="array" ref="A5430">IF(INDEX(CUEs!$A:$A,INT((ROW()-1)/7)*57+MOD(ROW()-1,7)+50)&lt;&gt;"","set "&amp;INDEX(CUEs!$A:$A,INT((ROW()-1)/7)*57+MOD(ROW()-1,7)+50)&amp;"=/ s "&amp;INDEX(CUEs!$B:$B,INT((ROW()-1)/7)*57+MOD(ROW()-1,7)+50),"")</f>
        <v/>
      </c>
    </row>
    <row r="5431" spans="1:1" x14ac:dyDescent="0.25">
      <c r="A5431" t="str" cm="1">
        <f t="array" ref="A5431">IF(INDEX(CUEs!$A:$A,INT((ROW()-1)/7)*57+MOD(ROW()-1,7)+50)&lt;&gt;"","set "&amp;INDEX(CUEs!$A:$A,INT((ROW()-1)/7)*57+MOD(ROW()-1,7)+50)&amp;"=/ s "&amp;INDEX(CUEs!$B:$B,INT((ROW()-1)/7)*57+MOD(ROW()-1,7)+50),"")</f>
        <v/>
      </c>
    </row>
    <row r="5432" spans="1:1" x14ac:dyDescent="0.25">
      <c r="A5432" t="str" cm="1">
        <f t="array" ref="A5432">IF(INDEX(CUEs!$A:$A,INT((ROW()-1)/7)*57+MOD(ROW()-1,7)+50)&lt;&gt;"","set "&amp;INDEX(CUEs!$A:$A,INT((ROW()-1)/7)*57+MOD(ROW()-1,7)+50)&amp;"=/ s "&amp;INDEX(CUEs!$B:$B,INT((ROW()-1)/7)*57+MOD(ROW()-1,7)+50),"")</f>
        <v/>
      </c>
    </row>
    <row r="5433" spans="1:1" x14ac:dyDescent="0.25">
      <c r="A5433" t="str" cm="1">
        <f t="array" ref="A5433">IF(INDEX(CUEs!$A:$A,INT((ROW()-1)/7)*57+MOD(ROW()-1,7)+50)&lt;&gt;"","set "&amp;INDEX(CUEs!$A:$A,INT((ROW()-1)/7)*57+MOD(ROW()-1,7)+50)&amp;"=/ s "&amp;INDEX(CUEs!$B:$B,INT((ROW()-1)/7)*57+MOD(ROW()-1,7)+50),"")</f>
        <v/>
      </c>
    </row>
    <row r="5434" spans="1:1" x14ac:dyDescent="0.25">
      <c r="A5434" t="str" cm="1">
        <f t="array" ref="A5434">IF(INDEX(CUEs!$A:$A,INT((ROW()-1)/7)*57+MOD(ROW()-1,7)+50)&lt;&gt;"","set "&amp;INDEX(CUEs!$A:$A,INT((ROW()-1)/7)*57+MOD(ROW()-1,7)+50)&amp;"=/ s "&amp;INDEX(CUEs!$B:$B,INT((ROW()-1)/7)*57+MOD(ROW()-1,7)+50),"")</f>
        <v/>
      </c>
    </row>
    <row r="5435" spans="1:1" x14ac:dyDescent="0.25">
      <c r="A5435" t="str" cm="1">
        <f t="array" ref="A5435">IF(INDEX(CUEs!$A:$A,INT((ROW()-1)/7)*57+MOD(ROW()-1,7)+50)&lt;&gt;"","set "&amp;INDEX(CUEs!$A:$A,INT((ROW()-1)/7)*57+MOD(ROW()-1,7)+50)&amp;"=/ s "&amp;INDEX(CUEs!$B:$B,INT((ROW()-1)/7)*57+MOD(ROW()-1,7)+50),"")</f>
        <v/>
      </c>
    </row>
    <row r="5436" spans="1:1" x14ac:dyDescent="0.25">
      <c r="A5436" t="str" cm="1">
        <f t="array" ref="A5436">IF(INDEX(CUEs!$A:$A,INT((ROW()-1)/7)*57+MOD(ROW()-1,7)+50)&lt;&gt;"","set "&amp;INDEX(CUEs!$A:$A,INT((ROW()-1)/7)*57+MOD(ROW()-1,7)+50)&amp;"=/ s "&amp;INDEX(CUEs!$B:$B,INT((ROW()-1)/7)*57+MOD(ROW()-1,7)+50),"")</f>
        <v/>
      </c>
    </row>
    <row r="5437" spans="1:1" x14ac:dyDescent="0.25">
      <c r="A5437" t="str" cm="1">
        <f t="array" ref="A5437">IF(INDEX(CUEs!$A:$A,INT((ROW()-1)/7)*57+MOD(ROW()-1,7)+50)&lt;&gt;"","set "&amp;INDEX(CUEs!$A:$A,INT((ROW()-1)/7)*57+MOD(ROW()-1,7)+50)&amp;"=/ s "&amp;INDEX(CUEs!$B:$B,INT((ROW()-1)/7)*57+MOD(ROW()-1,7)+50),"")</f>
        <v/>
      </c>
    </row>
    <row r="5438" spans="1:1" x14ac:dyDescent="0.25">
      <c r="A5438" t="str" cm="1">
        <f t="array" ref="A5438">IF(INDEX(CUEs!$A:$A,INT((ROW()-1)/7)*57+MOD(ROW()-1,7)+50)&lt;&gt;"","set "&amp;INDEX(CUEs!$A:$A,INT((ROW()-1)/7)*57+MOD(ROW()-1,7)+50)&amp;"=/ s "&amp;INDEX(CUEs!$B:$B,INT((ROW()-1)/7)*57+MOD(ROW()-1,7)+50),"")</f>
        <v/>
      </c>
    </row>
    <row r="5439" spans="1:1" x14ac:dyDescent="0.25">
      <c r="A5439" t="str" cm="1">
        <f t="array" ref="A5439">IF(INDEX(CUEs!$A:$A,INT((ROW()-1)/7)*57+MOD(ROW()-1,7)+50)&lt;&gt;"","set "&amp;INDEX(CUEs!$A:$A,INT((ROW()-1)/7)*57+MOD(ROW()-1,7)+50)&amp;"=/ s "&amp;INDEX(CUEs!$B:$B,INT((ROW()-1)/7)*57+MOD(ROW()-1,7)+50),"")</f>
        <v/>
      </c>
    </row>
    <row r="5440" spans="1:1" x14ac:dyDescent="0.25">
      <c r="A5440" t="str" cm="1">
        <f t="array" ref="A5440">IF(INDEX(CUEs!$A:$A,INT((ROW()-1)/7)*57+MOD(ROW()-1,7)+50)&lt;&gt;"","set "&amp;INDEX(CUEs!$A:$A,INT((ROW()-1)/7)*57+MOD(ROW()-1,7)+50)&amp;"=/ s "&amp;INDEX(CUEs!$B:$B,INT((ROW()-1)/7)*57+MOD(ROW()-1,7)+50),"")</f>
        <v/>
      </c>
    </row>
    <row r="5441" spans="1:1" x14ac:dyDescent="0.25">
      <c r="A5441" t="str" cm="1">
        <f t="array" ref="A5441">IF(INDEX(CUEs!$A:$A,INT((ROW()-1)/7)*57+MOD(ROW()-1,7)+50)&lt;&gt;"","set "&amp;INDEX(CUEs!$A:$A,INT((ROW()-1)/7)*57+MOD(ROW()-1,7)+50)&amp;"=/ s "&amp;INDEX(CUEs!$B:$B,INT((ROW()-1)/7)*57+MOD(ROW()-1,7)+50),"")</f>
        <v/>
      </c>
    </row>
    <row r="5442" spans="1:1" x14ac:dyDescent="0.25">
      <c r="A5442" t="str" cm="1">
        <f t="array" ref="A5442">IF(INDEX(CUEs!$A:$A,INT((ROW()-1)/7)*57+MOD(ROW()-1,7)+50)&lt;&gt;"","set "&amp;INDEX(CUEs!$A:$A,INT((ROW()-1)/7)*57+MOD(ROW()-1,7)+50)&amp;"=/ s "&amp;INDEX(CUEs!$B:$B,INT((ROW()-1)/7)*57+MOD(ROW()-1,7)+50),"")</f>
        <v/>
      </c>
    </row>
    <row r="5443" spans="1:1" x14ac:dyDescent="0.25">
      <c r="A5443" t="str" cm="1">
        <f t="array" ref="A5443">IF(INDEX(CUEs!$A:$A,INT((ROW()-1)/7)*57+MOD(ROW()-1,7)+50)&lt;&gt;"","set "&amp;INDEX(CUEs!$A:$A,INT((ROW()-1)/7)*57+MOD(ROW()-1,7)+50)&amp;"=/ s "&amp;INDEX(CUEs!$B:$B,INT((ROW()-1)/7)*57+MOD(ROW()-1,7)+50),"")</f>
        <v/>
      </c>
    </row>
    <row r="5444" spans="1:1" x14ac:dyDescent="0.25">
      <c r="A5444" t="str" cm="1">
        <f t="array" ref="A5444">IF(INDEX(CUEs!$A:$A,INT((ROW()-1)/7)*57+MOD(ROW()-1,7)+50)&lt;&gt;"","set "&amp;INDEX(CUEs!$A:$A,INT((ROW()-1)/7)*57+MOD(ROW()-1,7)+50)&amp;"=/ s "&amp;INDEX(CUEs!$B:$B,INT((ROW()-1)/7)*57+MOD(ROW()-1,7)+50),"")</f>
        <v/>
      </c>
    </row>
    <row r="5445" spans="1:1" x14ac:dyDescent="0.25">
      <c r="A5445" t="str" cm="1">
        <f t="array" ref="A5445">IF(INDEX(CUEs!$A:$A,INT((ROW()-1)/7)*57+MOD(ROW()-1,7)+50)&lt;&gt;"","set "&amp;INDEX(CUEs!$A:$A,INT((ROW()-1)/7)*57+MOD(ROW()-1,7)+50)&amp;"=/ s "&amp;INDEX(CUEs!$B:$B,INT((ROW()-1)/7)*57+MOD(ROW()-1,7)+50),"")</f>
        <v/>
      </c>
    </row>
    <row r="5446" spans="1:1" x14ac:dyDescent="0.25">
      <c r="A5446" t="str" cm="1">
        <f t="array" ref="A5446">IF(INDEX(CUEs!$A:$A,INT((ROW()-1)/7)*57+MOD(ROW()-1,7)+50)&lt;&gt;"","set "&amp;INDEX(CUEs!$A:$A,INT((ROW()-1)/7)*57+MOD(ROW()-1,7)+50)&amp;"=/ s "&amp;INDEX(CUEs!$B:$B,INT((ROW()-1)/7)*57+MOD(ROW()-1,7)+50),"")</f>
        <v/>
      </c>
    </row>
    <row r="5447" spans="1:1" x14ac:dyDescent="0.25">
      <c r="A5447" t="str" cm="1">
        <f t="array" ref="A5447">IF(INDEX(CUEs!$A:$A,INT((ROW()-1)/7)*57+MOD(ROW()-1,7)+50)&lt;&gt;"","set "&amp;INDEX(CUEs!$A:$A,INT((ROW()-1)/7)*57+MOD(ROW()-1,7)+50)&amp;"=/ s "&amp;INDEX(CUEs!$B:$B,INT((ROW()-1)/7)*57+MOD(ROW()-1,7)+50),"")</f>
        <v/>
      </c>
    </row>
    <row r="5448" spans="1:1" x14ac:dyDescent="0.25">
      <c r="A5448" t="str" cm="1">
        <f t="array" ref="A5448">IF(INDEX(CUEs!$A:$A,INT((ROW()-1)/7)*57+MOD(ROW()-1,7)+50)&lt;&gt;"","set "&amp;INDEX(CUEs!$A:$A,INT((ROW()-1)/7)*57+MOD(ROW()-1,7)+50)&amp;"=/ s "&amp;INDEX(CUEs!$B:$B,INT((ROW()-1)/7)*57+MOD(ROW()-1,7)+50),"")</f>
        <v/>
      </c>
    </row>
    <row r="5449" spans="1:1" x14ac:dyDescent="0.25">
      <c r="A5449" t="str" cm="1">
        <f t="array" ref="A5449">IF(INDEX(CUEs!$A:$A,INT((ROW()-1)/7)*57+MOD(ROW()-1,7)+50)&lt;&gt;"","set "&amp;INDEX(CUEs!$A:$A,INT((ROW()-1)/7)*57+MOD(ROW()-1,7)+50)&amp;"=/ s "&amp;INDEX(CUEs!$B:$B,INT((ROW()-1)/7)*57+MOD(ROW()-1,7)+50),"")</f>
        <v/>
      </c>
    </row>
    <row r="5450" spans="1:1" x14ac:dyDescent="0.25">
      <c r="A5450" t="str" cm="1">
        <f t="array" ref="A5450">IF(INDEX(CUEs!$A:$A,INT((ROW()-1)/7)*57+MOD(ROW()-1,7)+50)&lt;&gt;"","set "&amp;INDEX(CUEs!$A:$A,INT((ROW()-1)/7)*57+MOD(ROW()-1,7)+50)&amp;"=/ s "&amp;INDEX(CUEs!$B:$B,INT((ROW()-1)/7)*57+MOD(ROW()-1,7)+50),"")</f>
        <v/>
      </c>
    </row>
    <row r="5451" spans="1:1" x14ac:dyDescent="0.25">
      <c r="A5451" t="str" cm="1">
        <f t="array" ref="A5451">IF(INDEX(CUEs!$A:$A,INT((ROW()-1)/7)*57+MOD(ROW()-1,7)+50)&lt;&gt;"","set "&amp;INDEX(CUEs!$A:$A,INT((ROW()-1)/7)*57+MOD(ROW()-1,7)+50)&amp;"=/ s "&amp;INDEX(CUEs!$B:$B,INT((ROW()-1)/7)*57+MOD(ROW()-1,7)+50),"")</f>
        <v/>
      </c>
    </row>
    <row r="5452" spans="1:1" x14ac:dyDescent="0.25">
      <c r="A5452" t="str" cm="1">
        <f t="array" ref="A5452">IF(INDEX(CUEs!$A:$A,INT((ROW()-1)/7)*57+MOD(ROW()-1,7)+50)&lt;&gt;"","set "&amp;INDEX(CUEs!$A:$A,INT((ROW()-1)/7)*57+MOD(ROW()-1,7)+50)&amp;"=/ s "&amp;INDEX(CUEs!$B:$B,INT((ROW()-1)/7)*57+MOD(ROW()-1,7)+50),"")</f>
        <v/>
      </c>
    </row>
    <row r="5453" spans="1:1" x14ac:dyDescent="0.25">
      <c r="A5453" t="str" cm="1">
        <f t="array" ref="A5453">IF(INDEX(CUEs!$A:$A,INT((ROW()-1)/7)*57+MOD(ROW()-1,7)+50)&lt;&gt;"","set "&amp;INDEX(CUEs!$A:$A,INT((ROW()-1)/7)*57+MOD(ROW()-1,7)+50)&amp;"=/ s "&amp;INDEX(CUEs!$B:$B,INT((ROW()-1)/7)*57+MOD(ROW()-1,7)+50),"")</f>
        <v/>
      </c>
    </row>
    <row r="5454" spans="1:1" x14ac:dyDescent="0.25">
      <c r="A5454" t="str" cm="1">
        <f t="array" ref="A5454">IF(INDEX(CUEs!$A:$A,INT((ROW()-1)/7)*57+MOD(ROW()-1,7)+50)&lt;&gt;"","set "&amp;INDEX(CUEs!$A:$A,INT((ROW()-1)/7)*57+MOD(ROW()-1,7)+50)&amp;"=/ s "&amp;INDEX(CUEs!$B:$B,INT((ROW()-1)/7)*57+MOD(ROW()-1,7)+50),"")</f>
        <v/>
      </c>
    </row>
    <row r="5455" spans="1:1" x14ac:dyDescent="0.25">
      <c r="A5455" t="str" cm="1">
        <f t="array" ref="A5455">IF(INDEX(CUEs!$A:$A,INT((ROW()-1)/7)*57+MOD(ROW()-1,7)+50)&lt;&gt;"","set "&amp;INDEX(CUEs!$A:$A,INT((ROW()-1)/7)*57+MOD(ROW()-1,7)+50)&amp;"=/ s "&amp;INDEX(CUEs!$B:$B,INT((ROW()-1)/7)*57+MOD(ROW()-1,7)+50),"")</f>
        <v/>
      </c>
    </row>
    <row r="5456" spans="1:1" x14ac:dyDescent="0.25">
      <c r="A5456" t="str" cm="1">
        <f t="array" ref="A5456">IF(INDEX(CUEs!$A:$A,INT((ROW()-1)/7)*57+MOD(ROW()-1,7)+50)&lt;&gt;"","set "&amp;INDEX(CUEs!$A:$A,INT((ROW()-1)/7)*57+MOD(ROW()-1,7)+50)&amp;"=/ s "&amp;INDEX(CUEs!$B:$B,INT((ROW()-1)/7)*57+MOD(ROW()-1,7)+50),"")</f>
        <v/>
      </c>
    </row>
    <row r="5457" spans="1:1" x14ac:dyDescent="0.25">
      <c r="A5457" t="str" cm="1">
        <f t="array" ref="A5457">IF(INDEX(CUEs!$A:$A,INT((ROW()-1)/7)*57+MOD(ROW()-1,7)+50)&lt;&gt;"","set "&amp;INDEX(CUEs!$A:$A,INT((ROW()-1)/7)*57+MOD(ROW()-1,7)+50)&amp;"=/ s "&amp;INDEX(CUEs!$B:$B,INT((ROW()-1)/7)*57+MOD(ROW()-1,7)+50),"")</f>
        <v/>
      </c>
    </row>
    <row r="5458" spans="1:1" x14ac:dyDescent="0.25">
      <c r="A5458" t="str" cm="1">
        <f t="array" ref="A5458">IF(INDEX(CUEs!$A:$A,INT((ROW()-1)/7)*57+MOD(ROW()-1,7)+50)&lt;&gt;"","set "&amp;INDEX(CUEs!$A:$A,INT((ROW()-1)/7)*57+MOD(ROW()-1,7)+50)&amp;"=/ s "&amp;INDEX(CUEs!$B:$B,INT((ROW()-1)/7)*57+MOD(ROW()-1,7)+50),"")</f>
        <v/>
      </c>
    </row>
    <row r="5459" spans="1:1" x14ac:dyDescent="0.25">
      <c r="A5459" t="str" cm="1">
        <f t="array" ref="A5459">IF(INDEX(CUEs!$A:$A,INT((ROW()-1)/7)*57+MOD(ROW()-1,7)+50)&lt;&gt;"","set "&amp;INDEX(CUEs!$A:$A,INT((ROW()-1)/7)*57+MOD(ROW()-1,7)+50)&amp;"=/ s "&amp;INDEX(CUEs!$B:$B,INT((ROW()-1)/7)*57+MOD(ROW()-1,7)+50),"")</f>
        <v/>
      </c>
    </row>
    <row r="5460" spans="1:1" x14ac:dyDescent="0.25">
      <c r="A5460" t="str" cm="1">
        <f t="array" ref="A5460">IF(INDEX(CUEs!$A:$A,INT((ROW()-1)/7)*57+MOD(ROW()-1,7)+50)&lt;&gt;"","set "&amp;INDEX(CUEs!$A:$A,INT((ROW()-1)/7)*57+MOD(ROW()-1,7)+50)&amp;"=/ s "&amp;INDEX(CUEs!$B:$B,INT((ROW()-1)/7)*57+MOD(ROW()-1,7)+50),"")</f>
        <v/>
      </c>
    </row>
    <row r="5461" spans="1:1" x14ac:dyDescent="0.25">
      <c r="A5461" t="str" cm="1">
        <f t="array" ref="A5461">IF(INDEX(CUEs!$A:$A,INT((ROW()-1)/7)*57+MOD(ROW()-1,7)+50)&lt;&gt;"","set "&amp;INDEX(CUEs!$A:$A,INT((ROW()-1)/7)*57+MOD(ROW()-1,7)+50)&amp;"=/ s "&amp;INDEX(CUEs!$B:$B,INT((ROW()-1)/7)*57+MOD(ROW()-1,7)+50),"")</f>
        <v/>
      </c>
    </row>
    <row r="5462" spans="1:1" x14ac:dyDescent="0.25">
      <c r="A5462" t="str" cm="1">
        <f t="array" ref="A5462">IF(INDEX(CUEs!$A:$A,INT((ROW()-1)/7)*57+MOD(ROW()-1,7)+50)&lt;&gt;"","set "&amp;INDEX(CUEs!$A:$A,INT((ROW()-1)/7)*57+MOD(ROW()-1,7)+50)&amp;"=/ s "&amp;INDEX(CUEs!$B:$B,INT((ROW()-1)/7)*57+MOD(ROW()-1,7)+50),"")</f>
        <v/>
      </c>
    </row>
    <row r="5463" spans="1:1" x14ac:dyDescent="0.25">
      <c r="A5463" t="str" cm="1">
        <f t="array" ref="A5463">IF(INDEX(CUEs!$A:$A,INT((ROW()-1)/7)*57+MOD(ROW()-1,7)+50)&lt;&gt;"","set "&amp;INDEX(CUEs!$A:$A,INT((ROW()-1)/7)*57+MOD(ROW()-1,7)+50)&amp;"=/ s "&amp;INDEX(CUEs!$B:$B,INT((ROW()-1)/7)*57+MOD(ROW()-1,7)+50),"")</f>
        <v/>
      </c>
    </row>
    <row r="5464" spans="1:1" x14ac:dyDescent="0.25">
      <c r="A5464" t="str" cm="1">
        <f t="array" ref="A5464">IF(INDEX(CUEs!$A:$A,INT((ROW()-1)/7)*57+MOD(ROW()-1,7)+50)&lt;&gt;"","set "&amp;INDEX(CUEs!$A:$A,INT((ROW()-1)/7)*57+MOD(ROW()-1,7)+50)&amp;"=/ s "&amp;INDEX(CUEs!$B:$B,INT((ROW()-1)/7)*57+MOD(ROW()-1,7)+50),"")</f>
        <v/>
      </c>
    </row>
    <row r="5465" spans="1:1" x14ac:dyDescent="0.25">
      <c r="A5465" t="str" cm="1">
        <f t="array" ref="A5465">IF(INDEX(CUEs!$A:$A,INT((ROW()-1)/7)*57+MOD(ROW()-1,7)+50)&lt;&gt;"","set "&amp;INDEX(CUEs!$A:$A,INT((ROW()-1)/7)*57+MOD(ROW()-1,7)+50)&amp;"=/ s "&amp;INDEX(CUEs!$B:$B,INT((ROW()-1)/7)*57+MOD(ROW()-1,7)+50),"")</f>
        <v/>
      </c>
    </row>
    <row r="5466" spans="1:1" x14ac:dyDescent="0.25">
      <c r="A5466" t="str" cm="1">
        <f t="array" ref="A5466">IF(INDEX(CUEs!$A:$A,INT((ROW()-1)/7)*57+MOD(ROW()-1,7)+50)&lt;&gt;"","set "&amp;INDEX(CUEs!$A:$A,INT((ROW()-1)/7)*57+MOD(ROW()-1,7)+50)&amp;"=/ s "&amp;INDEX(CUEs!$B:$B,INT((ROW()-1)/7)*57+MOD(ROW()-1,7)+50),"")</f>
        <v/>
      </c>
    </row>
    <row r="5467" spans="1:1" x14ac:dyDescent="0.25">
      <c r="A5467" t="str" cm="1">
        <f t="array" ref="A5467">IF(INDEX(CUEs!$A:$A,INT((ROW()-1)/7)*57+MOD(ROW()-1,7)+50)&lt;&gt;"","set "&amp;INDEX(CUEs!$A:$A,INT((ROW()-1)/7)*57+MOD(ROW()-1,7)+50)&amp;"=/ s "&amp;INDEX(CUEs!$B:$B,INT((ROW()-1)/7)*57+MOD(ROW()-1,7)+50),"")</f>
        <v/>
      </c>
    </row>
    <row r="5468" spans="1:1" x14ac:dyDescent="0.25">
      <c r="A5468" t="str" cm="1">
        <f t="array" ref="A5468">IF(INDEX(CUEs!$A:$A,INT((ROW()-1)/7)*57+MOD(ROW()-1,7)+50)&lt;&gt;"","set "&amp;INDEX(CUEs!$A:$A,INT((ROW()-1)/7)*57+MOD(ROW()-1,7)+50)&amp;"=/ s "&amp;INDEX(CUEs!$B:$B,INT((ROW()-1)/7)*57+MOD(ROW()-1,7)+50),"")</f>
        <v/>
      </c>
    </row>
    <row r="5469" spans="1:1" x14ac:dyDescent="0.25">
      <c r="A5469" t="str" cm="1">
        <f t="array" ref="A5469">IF(INDEX(CUEs!$A:$A,INT((ROW()-1)/7)*57+MOD(ROW()-1,7)+50)&lt;&gt;"","set "&amp;INDEX(CUEs!$A:$A,INT((ROW()-1)/7)*57+MOD(ROW()-1,7)+50)&amp;"=/ s "&amp;INDEX(CUEs!$B:$B,INT((ROW()-1)/7)*57+MOD(ROW()-1,7)+50),"")</f>
        <v/>
      </c>
    </row>
    <row r="5470" spans="1:1" x14ac:dyDescent="0.25">
      <c r="A5470" t="str" cm="1">
        <f t="array" ref="A5470">IF(INDEX(CUEs!$A:$A,INT((ROW()-1)/7)*57+MOD(ROW()-1,7)+50)&lt;&gt;"","set "&amp;INDEX(CUEs!$A:$A,INT((ROW()-1)/7)*57+MOD(ROW()-1,7)+50)&amp;"=/ s "&amp;INDEX(CUEs!$B:$B,INT((ROW()-1)/7)*57+MOD(ROW()-1,7)+50),"")</f>
        <v/>
      </c>
    </row>
    <row r="5471" spans="1:1" x14ac:dyDescent="0.25">
      <c r="A5471" t="str" cm="1">
        <f t="array" ref="A5471">IF(INDEX(CUEs!$A:$A,INT((ROW()-1)/7)*57+MOD(ROW()-1,7)+50)&lt;&gt;"","set "&amp;INDEX(CUEs!$A:$A,INT((ROW()-1)/7)*57+MOD(ROW()-1,7)+50)&amp;"=/ s "&amp;INDEX(CUEs!$B:$B,INT((ROW()-1)/7)*57+MOD(ROW()-1,7)+50),"")</f>
        <v/>
      </c>
    </row>
    <row r="5472" spans="1:1" x14ac:dyDescent="0.25">
      <c r="A5472" t="str" cm="1">
        <f t="array" ref="A5472">IF(INDEX(CUEs!$A:$A,INT((ROW()-1)/7)*57+MOD(ROW()-1,7)+50)&lt;&gt;"","set "&amp;INDEX(CUEs!$A:$A,INT((ROW()-1)/7)*57+MOD(ROW()-1,7)+50)&amp;"=/ s "&amp;INDEX(CUEs!$B:$B,INT((ROW()-1)/7)*57+MOD(ROW()-1,7)+50),"")</f>
        <v/>
      </c>
    </row>
    <row r="5473" spans="1:1" x14ac:dyDescent="0.25">
      <c r="A5473" t="str" cm="1">
        <f t="array" ref="A5473">IF(INDEX(CUEs!$A:$A,INT((ROW()-1)/7)*57+MOD(ROW()-1,7)+50)&lt;&gt;"","set "&amp;INDEX(CUEs!$A:$A,INT((ROW()-1)/7)*57+MOD(ROW()-1,7)+50)&amp;"=/ s "&amp;INDEX(CUEs!$B:$B,INT((ROW()-1)/7)*57+MOD(ROW()-1,7)+50),"")</f>
        <v/>
      </c>
    </row>
    <row r="5474" spans="1:1" x14ac:dyDescent="0.25">
      <c r="A5474" t="str" cm="1">
        <f t="array" ref="A5474">IF(INDEX(CUEs!$A:$A,INT((ROW()-1)/7)*57+MOD(ROW()-1,7)+50)&lt;&gt;"","set "&amp;INDEX(CUEs!$A:$A,INT((ROW()-1)/7)*57+MOD(ROW()-1,7)+50)&amp;"=/ s "&amp;INDEX(CUEs!$B:$B,INT((ROW()-1)/7)*57+MOD(ROW()-1,7)+50),"")</f>
        <v/>
      </c>
    </row>
    <row r="5475" spans="1:1" x14ac:dyDescent="0.25">
      <c r="A5475" t="str" cm="1">
        <f t="array" ref="A5475">IF(INDEX(CUEs!$A:$A,INT((ROW()-1)/7)*57+MOD(ROW()-1,7)+50)&lt;&gt;"","set "&amp;INDEX(CUEs!$A:$A,INT((ROW()-1)/7)*57+MOD(ROW()-1,7)+50)&amp;"=/ s "&amp;INDEX(CUEs!$B:$B,INT((ROW()-1)/7)*57+MOD(ROW()-1,7)+50),"")</f>
        <v/>
      </c>
    </row>
    <row r="5476" spans="1:1" x14ac:dyDescent="0.25">
      <c r="A5476" t="str" cm="1">
        <f t="array" ref="A5476">IF(INDEX(CUEs!$A:$A,INT((ROW()-1)/7)*57+MOD(ROW()-1,7)+50)&lt;&gt;"","set "&amp;INDEX(CUEs!$A:$A,INT((ROW()-1)/7)*57+MOD(ROW()-1,7)+50)&amp;"=/ s "&amp;INDEX(CUEs!$B:$B,INT((ROW()-1)/7)*57+MOD(ROW()-1,7)+50),"")</f>
        <v/>
      </c>
    </row>
    <row r="5477" spans="1:1" x14ac:dyDescent="0.25">
      <c r="A5477" t="str" cm="1">
        <f t="array" ref="A5477">IF(INDEX(CUEs!$A:$A,INT((ROW()-1)/7)*57+MOD(ROW()-1,7)+50)&lt;&gt;"","set "&amp;INDEX(CUEs!$A:$A,INT((ROW()-1)/7)*57+MOD(ROW()-1,7)+50)&amp;"=/ s "&amp;INDEX(CUEs!$B:$B,INT((ROW()-1)/7)*57+MOD(ROW()-1,7)+50),"")</f>
        <v/>
      </c>
    </row>
    <row r="5478" spans="1:1" x14ac:dyDescent="0.25">
      <c r="A5478" t="str" cm="1">
        <f t="array" ref="A5478">IF(INDEX(CUEs!$A:$A,INT((ROW()-1)/7)*57+MOD(ROW()-1,7)+50)&lt;&gt;"","set "&amp;INDEX(CUEs!$A:$A,INT((ROW()-1)/7)*57+MOD(ROW()-1,7)+50)&amp;"=/ s "&amp;INDEX(CUEs!$B:$B,INT((ROW()-1)/7)*57+MOD(ROW()-1,7)+50),"")</f>
        <v/>
      </c>
    </row>
    <row r="5479" spans="1:1" x14ac:dyDescent="0.25">
      <c r="A5479" t="str" cm="1">
        <f t="array" ref="A5479">IF(INDEX(CUEs!$A:$A,INT((ROW()-1)/7)*57+MOD(ROW()-1,7)+50)&lt;&gt;"","set "&amp;INDEX(CUEs!$A:$A,INT((ROW()-1)/7)*57+MOD(ROW()-1,7)+50)&amp;"=/ s "&amp;INDEX(CUEs!$B:$B,INT((ROW()-1)/7)*57+MOD(ROW()-1,7)+50),"")</f>
        <v/>
      </c>
    </row>
    <row r="5480" spans="1:1" x14ac:dyDescent="0.25">
      <c r="A5480" t="str" cm="1">
        <f t="array" ref="A5480">IF(INDEX(CUEs!$A:$A,INT((ROW()-1)/7)*57+MOD(ROW()-1,7)+50)&lt;&gt;"","set "&amp;INDEX(CUEs!$A:$A,INT((ROW()-1)/7)*57+MOD(ROW()-1,7)+50)&amp;"=/ s "&amp;INDEX(CUEs!$B:$B,INT((ROW()-1)/7)*57+MOD(ROW()-1,7)+50),"")</f>
        <v/>
      </c>
    </row>
    <row r="5481" spans="1:1" x14ac:dyDescent="0.25">
      <c r="A5481" t="str" cm="1">
        <f t="array" ref="A5481">IF(INDEX(CUEs!$A:$A,INT((ROW()-1)/7)*57+MOD(ROW()-1,7)+50)&lt;&gt;"","set "&amp;INDEX(CUEs!$A:$A,INT((ROW()-1)/7)*57+MOD(ROW()-1,7)+50)&amp;"=/ s "&amp;INDEX(CUEs!$B:$B,INT((ROW()-1)/7)*57+MOD(ROW()-1,7)+50),"")</f>
        <v/>
      </c>
    </row>
    <row r="5482" spans="1:1" x14ac:dyDescent="0.25">
      <c r="A5482" t="str" cm="1">
        <f t="array" ref="A5482">IF(INDEX(CUEs!$A:$A,INT((ROW()-1)/7)*57+MOD(ROW()-1,7)+50)&lt;&gt;"","set "&amp;INDEX(CUEs!$A:$A,INT((ROW()-1)/7)*57+MOD(ROW()-1,7)+50)&amp;"=/ s "&amp;INDEX(CUEs!$B:$B,INT((ROW()-1)/7)*57+MOD(ROW()-1,7)+50),"")</f>
        <v/>
      </c>
    </row>
    <row r="5483" spans="1:1" x14ac:dyDescent="0.25">
      <c r="A5483" t="str" cm="1">
        <f t="array" ref="A5483">IF(INDEX(CUEs!$A:$A,INT((ROW()-1)/7)*57+MOD(ROW()-1,7)+50)&lt;&gt;"","set "&amp;INDEX(CUEs!$A:$A,INT((ROW()-1)/7)*57+MOD(ROW()-1,7)+50)&amp;"=/ s "&amp;INDEX(CUEs!$B:$B,INT((ROW()-1)/7)*57+MOD(ROW()-1,7)+50),"")</f>
        <v/>
      </c>
    </row>
    <row r="5484" spans="1:1" x14ac:dyDescent="0.25">
      <c r="A5484" t="str" cm="1">
        <f t="array" ref="A5484">IF(INDEX(CUEs!$A:$A,INT((ROW()-1)/7)*57+MOD(ROW()-1,7)+50)&lt;&gt;"","set "&amp;INDEX(CUEs!$A:$A,INT((ROW()-1)/7)*57+MOD(ROW()-1,7)+50)&amp;"=/ s "&amp;INDEX(CUEs!$B:$B,INT((ROW()-1)/7)*57+MOD(ROW()-1,7)+50),"")</f>
        <v/>
      </c>
    </row>
    <row r="5485" spans="1:1" x14ac:dyDescent="0.25">
      <c r="A5485" t="str" cm="1">
        <f t="array" ref="A5485">IF(INDEX(CUEs!$A:$A,INT((ROW()-1)/7)*57+MOD(ROW()-1,7)+50)&lt;&gt;"","set "&amp;INDEX(CUEs!$A:$A,INT((ROW()-1)/7)*57+MOD(ROW()-1,7)+50)&amp;"=/ s "&amp;INDEX(CUEs!$B:$B,INT((ROW()-1)/7)*57+MOD(ROW()-1,7)+50),"")</f>
        <v/>
      </c>
    </row>
    <row r="5486" spans="1:1" x14ac:dyDescent="0.25">
      <c r="A5486" t="str" cm="1">
        <f t="array" ref="A5486">IF(INDEX(CUEs!$A:$A,INT((ROW()-1)/7)*57+MOD(ROW()-1,7)+50)&lt;&gt;"","set "&amp;INDEX(CUEs!$A:$A,INT((ROW()-1)/7)*57+MOD(ROW()-1,7)+50)&amp;"=/ s "&amp;INDEX(CUEs!$B:$B,INT((ROW()-1)/7)*57+MOD(ROW()-1,7)+50),"")</f>
        <v/>
      </c>
    </row>
    <row r="5487" spans="1:1" x14ac:dyDescent="0.25">
      <c r="A5487" t="str" cm="1">
        <f t="array" ref="A5487">IF(INDEX(CUEs!$A:$A,INT((ROW()-1)/7)*57+MOD(ROW()-1,7)+50)&lt;&gt;"","set "&amp;INDEX(CUEs!$A:$A,INT((ROW()-1)/7)*57+MOD(ROW()-1,7)+50)&amp;"=/ s "&amp;INDEX(CUEs!$B:$B,INT((ROW()-1)/7)*57+MOD(ROW()-1,7)+50),"")</f>
        <v/>
      </c>
    </row>
    <row r="5488" spans="1:1" x14ac:dyDescent="0.25">
      <c r="A5488" t="str" cm="1">
        <f t="array" ref="A5488">IF(INDEX(CUEs!$A:$A,INT((ROW()-1)/7)*57+MOD(ROW()-1,7)+50)&lt;&gt;"","set "&amp;INDEX(CUEs!$A:$A,INT((ROW()-1)/7)*57+MOD(ROW()-1,7)+50)&amp;"=/ s "&amp;INDEX(CUEs!$B:$B,INT((ROW()-1)/7)*57+MOD(ROW()-1,7)+50),"")</f>
        <v/>
      </c>
    </row>
    <row r="5489" spans="1:1" x14ac:dyDescent="0.25">
      <c r="A5489" t="str" cm="1">
        <f t="array" ref="A5489">IF(INDEX(CUEs!$A:$A,INT((ROW()-1)/7)*57+MOD(ROW()-1,7)+50)&lt;&gt;"","set "&amp;INDEX(CUEs!$A:$A,INT((ROW()-1)/7)*57+MOD(ROW()-1,7)+50)&amp;"=/ s "&amp;INDEX(CUEs!$B:$B,INT((ROW()-1)/7)*57+MOD(ROW()-1,7)+50),"")</f>
        <v/>
      </c>
    </row>
    <row r="5490" spans="1:1" x14ac:dyDescent="0.25">
      <c r="A5490" t="str" cm="1">
        <f t="array" ref="A5490">IF(INDEX(CUEs!$A:$A,INT((ROW()-1)/7)*57+MOD(ROW()-1,7)+50)&lt;&gt;"","set "&amp;INDEX(CUEs!$A:$A,INT((ROW()-1)/7)*57+MOD(ROW()-1,7)+50)&amp;"=/ s "&amp;INDEX(CUEs!$B:$B,INT((ROW()-1)/7)*57+MOD(ROW()-1,7)+50),"")</f>
        <v/>
      </c>
    </row>
    <row r="5491" spans="1:1" x14ac:dyDescent="0.25">
      <c r="A5491" t="str" cm="1">
        <f t="array" ref="A5491">IF(INDEX(CUEs!$A:$A,INT((ROW()-1)/7)*57+MOD(ROW()-1,7)+50)&lt;&gt;"","set "&amp;INDEX(CUEs!$A:$A,INT((ROW()-1)/7)*57+MOD(ROW()-1,7)+50)&amp;"=/ s "&amp;INDEX(CUEs!$B:$B,INT((ROW()-1)/7)*57+MOD(ROW()-1,7)+50),"")</f>
        <v/>
      </c>
    </row>
    <row r="5492" spans="1:1" x14ac:dyDescent="0.25">
      <c r="A5492" t="str" cm="1">
        <f t="array" ref="A5492">IF(INDEX(CUEs!$A:$A,INT((ROW()-1)/7)*57+MOD(ROW()-1,7)+50)&lt;&gt;"","set "&amp;INDEX(CUEs!$A:$A,INT((ROW()-1)/7)*57+MOD(ROW()-1,7)+50)&amp;"=/ s "&amp;INDEX(CUEs!$B:$B,INT((ROW()-1)/7)*57+MOD(ROW()-1,7)+50),"")</f>
        <v/>
      </c>
    </row>
    <row r="5493" spans="1:1" x14ac:dyDescent="0.25">
      <c r="A5493" t="str" cm="1">
        <f t="array" ref="A5493">IF(INDEX(CUEs!$A:$A,INT((ROW()-1)/7)*57+MOD(ROW()-1,7)+50)&lt;&gt;"","set "&amp;INDEX(CUEs!$A:$A,INT((ROW()-1)/7)*57+MOD(ROW()-1,7)+50)&amp;"=/ s "&amp;INDEX(CUEs!$B:$B,INT((ROW()-1)/7)*57+MOD(ROW()-1,7)+50),"")</f>
        <v/>
      </c>
    </row>
    <row r="5494" spans="1:1" x14ac:dyDescent="0.25">
      <c r="A5494" t="str" cm="1">
        <f t="array" ref="A5494">IF(INDEX(CUEs!$A:$A,INT((ROW()-1)/7)*57+MOD(ROW()-1,7)+50)&lt;&gt;"","set "&amp;INDEX(CUEs!$A:$A,INT((ROW()-1)/7)*57+MOD(ROW()-1,7)+50)&amp;"=/ s "&amp;INDEX(CUEs!$B:$B,INT((ROW()-1)/7)*57+MOD(ROW()-1,7)+50),"")</f>
        <v/>
      </c>
    </row>
    <row r="5495" spans="1:1" x14ac:dyDescent="0.25">
      <c r="A5495" t="str" cm="1">
        <f t="array" ref="A5495">IF(INDEX(CUEs!$A:$A,INT((ROW()-1)/7)*57+MOD(ROW()-1,7)+50)&lt;&gt;"","set "&amp;INDEX(CUEs!$A:$A,INT((ROW()-1)/7)*57+MOD(ROW()-1,7)+50)&amp;"=/ s "&amp;INDEX(CUEs!$B:$B,INT((ROW()-1)/7)*57+MOD(ROW()-1,7)+50),"")</f>
        <v/>
      </c>
    </row>
    <row r="5496" spans="1:1" x14ac:dyDescent="0.25">
      <c r="A5496" t="str" cm="1">
        <f t="array" ref="A5496">IF(INDEX(CUEs!$A:$A,INT((ROW()-1)/7)*57+MOD(ROW()-1,7)+50)&lt;&gt;"","set "&amp;INDEX(CUEs!$A:$A,INT((ROW()-1)/7)*57+MOD(ROW()-1,7)+50)&amp;"=/ s "&amp;INDEX(CUEs!$B:$B,INT((ROW()-1)/7)*57+MOD(ROW()-1,7)+50),"")</f>
        <v/>
      </c>
    </row>
    <row r="5497" spans="1:1" x14ac:dyDescent="0.25">
      <c r="A5497" t="str" cm="1">
        <f t="array" ref="A5497">IF(INDEX(CUEs!$A:$A,INT((ROW()-1)/7)*57+MOD(ROW()-1,7)+50)&lt;&gt;"","set "&amp;INDEX(CUEs!$A:$A,INT((ROW()-1)/7)*57+MOD(ROW()-1,7)+50)&amp;"=/ s "&amp;INDEX(CUEs!$B:$B,INT((ROW()-1)/7)*57+MOD(ROW()-1,7)+50),"")</f>
        <v/>
      </c>
    </row>
    <row r="5498" spans="1:1" x14ac:dyDescent="0.25">
      <c r="A5498" t="str" cm="1">
        <f t="array" ref="A5498">IF(INDEX(CUEs!$A:$A,INT((ROW()-1)/7)*57+MOD(ROW()-1,7)+50)&lt;&gt;"","set "&amp;INDEX(CUEs!$A:$A,INT((ROW()-1)/7)*57+MOD(ROW()-1,7)+50)&amp;"=/ s "&amp;INDEX(CUEs!$B:$B,INT((ROW()-1)/7)*57+MOD(ROW()-1,7)+50),"")</f>
        <v/>
      </c>
    </row>
    <row r="5499" spans="1:1" x14ac:dyDescent="0.25">
      <c r="A5499" t="str" cm="1">
        <f t="array" ref="A5499">IF(INDEX(CUEs!$A:$A,INT((ROW()-1)/7)*57+MOD(ROW()-1,7)+50)&lt;&gt;"","set "&amp;INDEX(CUEs!$A:$A,INT((ROW()-1)/7)*57+MOD(ROW()-1,7)+50)&amp;"=/ s "&amp;INDEX(CUEs!$B:$B,INT((ROW()-1)/7)*57+MOD(ROW()-1,7)+50),"")</f>
        <v/>
      </c>
    </row>
    <row r="5500" spans="1:1" x14ac:dyDescent="0.25">
      <c r="A5500" t="str" cm="1">
        <f t="array" ref="A5500">IF(INDEX(CUEs!$A:$A,INT((ROW()-1)/7)*57+MOD(ROW()-1,7)+50)&lt;&gt;"","set "&amp;INDEX(CUEs!$A:$A,INT((ROW()-1)/7)*57+MOD(ROW()-1,7)+50)&amp;"=/ s "&amp;INDEX(CUEs!$B:$B,INT((ROW()-1)/7)*57+MOD(ROW()-1,7)+50),"")</f>
        <v/>
      </c>
    </row>
    <row r="5501" spans="1:1" x14ac:dyDescent="0.25">
      <c r="A5501" t="str" cm="1">
        <f t="array" ref="A5501">IF(INDEX(CUEs!$A:$A,INT((ROW()-1)/7)*57+MOD(ROW()-1,7)+50)&lt;&gt;"","set "&amp;INDEX(CUEs!$A:$A,INT((ROW()-1)/7)*57+MOD(ROW()-1,7)+50)&amp;"=/ s "&amp;INDEX(CUEs!$B:$B,INT((ROW()-1)/7)*57+MOD(ROW()-1,7)+50),"")</f>
        <v/>
      </c>
    </row>
    <row r="5502" spans="1:1" x14ac:dyDescent="0.25">
      <c r="A5502" t="str" cm="1">
        <f t="array" ref="A5502">IF(INDEX(CUEs!$A:$A,INT((ROW()-1)/7)*57+MOD(ROW()-1,7)+50)&lt;&gt;"","set "&amp;INDEX(CUEs!$A:$A,INT((ROW()-1)/7)*57+MOD(ROW()-1,7)+50)&amp;"=/ s "&amp;INDEX(CUEs!$B:$B,INT((ROW()-1)/7)*57+MOD(ROW()-1,7)+50),"")</f>
        <v/>
      </c>
    </row>
    <row r="5503" spans="1:1" x14ac:dyDescent="0.25">
      <c r="A5503" t="str" cm="1">
        <f t="array" ref="A5503">IF(INDEX(CUEs!$A:$A,INT((ROW()-1)/7)*57+MOD(ROW()-1,7)+50)&lt;&gt;"","set "&amp;INDEX(CUEs!$A:$A,INT((ROW()-1)/7)*57+MOD(ROW()-1,7)+50)&amp;"=/ s "&amp;INDEX(CUEs!$B:$B,INT((ROW()-1)/7)*57+MOD(ROW()-1,7)+50),"")</f>
        <v/>
      </c>
    </row>
    <row r="5504" spans="1:1" x14ac:dyDescent="0.25">
      <c r="A5504" t="str" cm="1">
        <f t="array" ref="A5504">IF(INDEX(CUEs!$A:$A,INT((ROW()-1)/7)*57+MOD(ROW()-1,7)+50)&lt;&gt;"","set "&amp;INDEX(CUEs!$A:$A,INT((ROW()-1)/7)*57+MOD(ROW()-1,7)+50)&amp;"=/ s "&amp;INDEX(CUEs!$B:$B,INT((ROW()-1)/7)*57+MOD(ROW()-1,7)+50),"")</f>
        <v/>
      </c>
    </row>
    <row r="5505" spans="1:1" x14ac:dyDescent="0.25">
      <c r="A5505" t="str" cm="1">
        <f t="array" ref="A5505">IF(INDEX(CUEs!$A:$A,INT((ROW()-1)/7)*57+MOD(ROW()-1,7)+50)&lt;&gt;"","set "&amp;INDEX(CUEs!$A:$A,INT((ROW()-1)/7)*57+MOD(ROW()-1,7)+50)&amp;"=/ s "&amp;INDEX(CUEs!$B:$B,INT((ROW()-1)/7)*57+MOD(ROW()-1,7)+50),"")</f>
        <v/>
      </c>
    </row>
    <row r="5506" spans="1:1" x14ac:dyDescent="0.25">
      <c r="A5506" t="str" cm="1">
        <f t="array" ref="A5506">IF(INDEX(CUEs!$A:$A,INT((ROW()-1)/7)*57+MOD(ROW()-1,7)+50)&lt;&gt;"","set "&amp;INDEX(CUEs!$A:$A,INT((ROW()-1)/7)*57+MOD(ROW()-1,7)+50)&amp;"=/ s "&amp;INDEX(CUEs!$B:$B,INT((ROW()-1)/7)*57+MOD(ROW()-1,7)+50),"")</f>
        <v/>
      </c>
    </row>
    <row r="5507" spans="1:1" x14ac:dyDescent="0.25">
      <c r="A5507" t="str" cm="1">
        <f t="array" ref="A5507">IF(INDEX(CUEs!$A:$A,INT((ROW()-1)/7)*57+MOD(ROW()-1,7)+50)&lt;&gt;"","set "&amp;INDEX(CUEs!$A:$A,INT((ROW()-1)/7)*57+MOD(ROW()-1,7)+50)&amp;"=/ s "&amp;INDEX(CUEs!$B:$B,INT((ROW()-1)/7)*57+MOD(ROW()-1,7)+50),"")</f>
        <v/>
      </c>
    </row>
    <row r="5508" spans="1:1" x14ac:dyDescent="0.25">
      <c r="A5508" t="str" cm="1">
        <f t="array" ref="A5508">IF(INDEX(CUEs!$A:$A,INT((ROW()-1)/7)*57+MOD(ROW()-1,7)+50)&lt;&gt;"","set "&amp;INDEX(CUEs!$A:$A,INT((ROW()-1)/7)*57+MOD(ROW()-1,7)+50)&amp;"=/ s "&amp;INDEX(CUEs!$B:$B,INT((ROW()-1)/7)*57+MOD(ROW()-1,7)+50),"")</f>
        <v/>
      </c>
    </row>
    <row r="5509" spans="1:1" x14ac:dyDescent="0.25">
      <c r="A5509" t="str" cm="1">
        <f t="array" ref="A5509">IF(INDEX(CUEs!$A:$A,INT((ROW()-1)/7)*57+MOD(ROW()-1,7)+50)&lt;&gt;"","set "&amp;INDEX(CUEs!$A:$A,INT((ROW()-1)/7)*57+MOD(ROW()-1,7)+50)&amp;"=/ s "&amp;INDEX(CUEs!$B:$B,INT((ROW()-1)/7)*57+MOD(ROW()-1,7)+50),"")</f>
        <v/>
      </c>
    </row>
    <row r="5510" spans="1:1" x14ac:dyDescent="0.25">
      <c r="A5510" t="str" cm="1">
        <f t="array" ref="A5510">IF(INDEX(CUEs!$A:$A,INT((ROW()-1)/7)*57+MOD(ROW()-1,7)+50)&lt;&gt;"","set "&amp;INDEX(CUEs!$A:$A,INT((ROW()-1)/7)*57+MOD(ROW()-1,7)+50)&amp;"=/ s "&amp;INDEX(CUEs!$B:$B,INT((ROW()-1)/7)*57+MOD(ROW()-1,7)+50),"")</f>
        <v/>
      </c>
    </row>
    <row r="5511" spans="1:1" x14ac:dyDescent="0.25">
      <c r="A5511" t="str" cm="1">
        <f t="array" ref="A5511">IF(INDEX(CUEs!$A:$A,INT((ROW()-1)/7)*57+MOD(ROW()-1,7)+50)&lt;&gt;"","set "&amp;INDEX(CUEs!$A:$A,INT((ROW()-1)/7)*57+MOD(ROW()-1,7)+50)&amp;"=/ s "&amp;INDEX(CUEs!$B:$B,INT((ROW()-1)/7)*57+MOD(ROW()-1,7)+50),"")</f>
        <v/>
      </c>
    </row>
    <row r="5512" spans="1:1" x14ac:dyDescent="0.25">
      <c r="A5512" t="str" cm="1">
        <f t="array" ref="A5512">IF(INDEX(CUEs!$A:$A,INT((ROW()-1)/7)*57+MOD(ROW()-1,7)+50)&lt;&gt;"","set "&amp;INDEX(CUEs!$A:$A,INT((ROW()-1)/7)*57+MOD(ROW()-1,7)+50)&amp;"=/ s "&amp;INDEX(CUEs!$B:$B,INT((ROW()-1)/7)*57+MOD(ROW()-1,7)+50),"")</f>
        <v/>
      </c>
    </row>
    <row r="5513" spans="1:1" x14ac:dyDescent="0.25">
      <c r="A5513" t="str" cm="1">
        <f t="array" ref="A5513">IF(INDEX(CUEs!$A:$A,INT((ROW()-1)/7)*57+MOD(ROW()-1,7)+50)&lt;&gt;"","set "&amp;INDEX(CUEs!$A:$A,INT((ROW()-1)/7)*57+MOD(ROW()-1,7)+50)&amp;"=/ s "&amp;INDEX(CUEs!$B:$B,INT((ROW()-1)/7)*57+MOD(ROW()-1,7)+50),"")</f>
        <v/>
      </c>
    </row>
    <row r="5514" spans="1:1" x14ac:dyDescent="0.25">
      <c r="A5514" t="str" cm="1">
        <f t="array" ref="A5514">IF(INDEX(CUEs!$A:$A,INT((ROW()-1)/7)*57+MOD(ROW()-1,7)+50)&lt;&gt;"","set "&amp;INDEX(CUEs!$A:$A,INT((ROW()-1)/7)*57+MOD(ROW()-1,7)+50)&amp;"=/ s "&amp;INDEX(CUEs!$B:$B,INT((ROW()-1)/7)*57+MOD(ROW()-1,7)+50),"")</f>
        <v/>
      </c>
    </row>
    <row r="5515" spans="1:1" x14ac:dyDescent="0.25">
      <c r="A5515" t="str" cm="1">
        <f t="array" ref="A5515">IF(INDEX(CUEs!$A:$A,INT((ROW()-1)/7)*57+MOD(ROW()-1,7)+50)&lt;&gt;"","set "&amp;INDEX(CUEs!$A:$A,INT((ROW()-1)/7)*57+MOD(ROW()-1,7)+50)&amp;"=/ s "&amp;INDEX(CUEs!$B:$B,INT((ROW()-1)/7)*57+MOD(ROW()-1,7)+50),"")</f>
        <v/>
      </c>
    </row>
    <row r="5516" spans="1:1" x14ac:dyDescent="0.25">
      <c r="A5516" t="str" cm="1">
        <f t="array" ref="A5516">IF(INDEX(CUEs!$A:$A,INT((ROW()-1)/7)*57+MOD(ROW()-1,7)+50)&lt;&gt;"","set "&amp;INDEX(CUEs!$A:$A,INT((ROW()-1)/7)*57+MOD(ROW()-1,7)+50)&amp;"=/ s "&amp;INDEX(CUEs!$B:$B,INT((ROW()-1)/7)*57+MOD(ROW()-1,7)+50),"")</f>
        <v/>
      </c>
    </row>
    <row r="5517" spans="1:1" x14ac:dyDescent="0.25">
      <c r="A5517" t="str" cm="1">
        <f t="array" ref="A5517">IF(INDEX(CUEs!$A:$A,INT((ROW()-1)/7)*57+MOD(ROW()-1,7)+50)&lt;&gt;"","set "&amp;INDEX(CUEs!$A:$A,INT((ROW()-1)/7)*57+MOD(ROW()-1,7)+50)&amp;"=/ s "&amp;INDEX(CUEs!$B:$B,INT((ROW()-1)/7)*57+MOD(ROW()-1,7)+50),"")</f>
        <v/>
      </c>
    </row>
    <row r="5518" spans="1:1" x14ac:dyDescent="0.25">
      <c r="A5518" t="str" cm="1">
        <f t="array" ref="A5518">IF(INDEX(CUEs!$A:$A,INT((ROW()-1)/7)*57+MOD(ROW()-1,7)+50)&lt;&gt;"","set "&amp;INDEX(CUEs!$A:$A,INT((ROW()-1)/7)*57+MOD(ROW()-1,7)+50)&amp;"=/ s "&amp;INDEX(CUEs!$B:$B,INT((ROW()-1)/7)*57+MOD(ROW()-1,7)+50),"")</f>
        <v/>
      </c>
    </row>
    <row r="5519" spans="1:1" x14ac:dyDescent="0.25">
      <c r="A5519" t="str" cm="1">
        <f t="array" ref="A5519">IF(INDEX(CUEs!$A:$A,INT((ROW()-1)/7)*57+MOD(ROW()-1,7)+50)&lt;&gt;"","set "&amp;INDEX(CUEs!$A:$A,INT((ROW()-1)/7)*57+MOD(ROW()-1,7)+50)&amp;"=/ s "&amp;INDEX(CUEs!$B:$B,INT((ROW()-1)/7)*57+MOD(ROW()-1,7)+50),"")</f>
        <v/>
      </c>
    </row>
    <row r="5520" spans="1:1" x14ac:dyDescent="0.25">
      <c r="A5520" t="str" cm="1">
        <f t="array" ref="A5520">IF(INDEX(CUEs!$A:$A,INT((ROW()-1)/7)*57+MOD(ROW()-1,7)+50)&lt;&gt;"","set "&amp;INDEX(CUEs!$A:$A,INT((ROW()-1)/7)*57+MOD(ROW()-1,7)+50)&amp;"=/ s "&amp;INDEX(CUEs!$B:$B,INT((ROW()-1)/7)*57+MOD(ROW()-1,7)+50),"")</f>
        <v/>
      </c>
    </row>
    <row r="5521" spans="1:1" x14ac:dyDescent="0.25">
      <c r="A5521" t="str" cm="1">
        <f t="array" ref="A5521">IF(INDEX(CUEs!$A:$A,INT((ROW()-1)/7)*57+MOD(ROW()-1,7)+50)&lt;&gt;"","set "&amp;INDEX(CUEs!$A:$A,INT((ROW()-1)/7)*57+MOD(ROW()-1,7)+50)&amp;"=/ s "&amp;INDEX(CUEs!$B:$B,INT((ROW()-1)/7)*57+MOD(ROW()-1,7)+50),"")</f>
        <v/>
      </c>
    </row>
    <row r="5522" spans="1:1" x14ac:dyDescent="0.25">
      <c r="A5522" t="str" cm="1">
        <f t="array" ref="A5522">IF(INDEX(CUEs!$A:$A,INT((ROW()-1)/7)*57+MOD(ROW()-1,7)+50)&lt;&gt;"","set "&amp;INDEX(CUEs!$A:$A,INT((ROW()-1)/7)*57+MOD(ROW()-1,7)+50)&amp;"=/ s "&amp;INDEX(CUEs!$B:$B,INT((ROW()-1)/7)*57+MOD(ROW()-1,7)+50),"")</f>
        <v/>
      </c>
    </row>
    <row r="5523" spans="1:1" x14ac:dyDescent="0.25">
      <c r="A5523" t="str" cm="1">
        <f t="array" ref="A5523">IF(INDEX(CUEs!$A:$A,INT((ROW()-1)/7)*57+MOD(ROW()-1,7)+50)&lt;&gt;"","set "&amp;INDEX(CUEs!$A:$A,INT((ROW()-1)/7)*57+MOD(ROW()-1,7)+50)&amp;"=/ s "&amp;INDEX(CUEs!$B:$B,INT((ROW()-1)/7)*57+MOD(ROW()-1,7)+50),"")</f>
        <v/>
      </c>
    </row>
    <row r="5524" spans="1:1" x14ac:dyDescent="0.25">
      <c r="A5524" t="str" cm="1">
        <f t="array" ref="A5524">IF(INDEX(CUEs!$A:$A,INT((ROW()-1)/7)*57+MOD(ROW()-1,7)+50)&lt;&gt;"","set "&amp;INDEX(CUEs!$A:$A,INT((ROW()-1)/7)*57+MOD(ROW()-1,7)+50)&amp;"=/ s "&amp;INDEX(CUEs!$B:$B,INT((ROW()-1)/7)*57+MOD(ROW()-1,7)+50),"")</f>
        <v/>
      </c>
    </row>
    <row r="5525" spans="1:1" x14ac:dyDescent="0.25">
      <c r="A5525" t="str" cm="1">
        <f t="array" ref="A5525">IF(INDEX(CUEs!$A:$A,INT((ROW()-1)/7)*57+MOD(ROW()-1,7)+50)&lt;&gt;"","set "&amp;INDEX(CUEs!$A:$A,INT((ROW()-1)/7)*57+MOD(ROW()-1,7)+50)&amp;"=/ s "&amp;INDEX(CUEs!$B:$B,INT((ROW()-1)/7)*57+MOD(ROW()-1,7)+50),"")</f>
        <v/>
      </c>
    </row>
    <row r="5526" spans="1:1" x14ac:dyDescent="0.25">
      <c r="A5526" t="str" cm="1">
        <f t="array" ref="A5526">IF(INDEX(CUEs!$A:$A,INT((ROW()-1)/7)*57+MOD(ROW()-1,7)+50)&lt;&gt;"","set "&amp;INDEX(CUEs!$A:$A,INT((ROW()-1)/7)*57+MOD(ROW()-1,7)+50)&amp;"=/ s "&amp;INDEX(CUEs!$B:$B,INT((ROW()-1)/7)*57+MOD(ROW()-1,7)+50),"")</f>
        <v/>
      </c>
    </row>
    <row r="5527" spans="1:1" x14ac:dyDescent="0.25">
      <c r="A5527" t="str" cm="1">
        <f t="array" ref="A5527">IF(INDEX(CUEs!$A:$A,INT((ROW()-1)/7)*57+MOD(ROW()-1,7)+50)&lt;&gt;"","set "&amp;INDEX(CUEs!$A:$A,INT((ROW()-1)/7)*57+MOD(ROW()-1,7)+50)&amp;"=/ s "&amp;INDEX(CUEs!$B:$B,INT((ROW()-1)/7)*57+MOD(ROW()-1,7)+50),"")</f>
        <v/>
      </c>
    </row>
    <row r="5528" spans="1:1" x14ac:dyDescent="0.25">
      <c r="A5528" t="str" cm="1">
        <f t="array" ref="A5528">IF(INDEX(CUEs!$A:$A,INT((ROW()-1)/7)*57+MOD(ROW()-1,7)+50)&lt;&gt;"","set "&amp;INDEX(CUEs!$A:$A,INT((ROW()-1)/7)*57+MOD(ROW()-1,7)+50)&amp;"=/ s "&amp;INDEX(CUEs!$B:$B,INT((ROW()-1)/7)*57+MOD(ROW()-1,7)+50),"")</f>
        <v/>
      </c>
    </row>
    <row r="5529" spans="1:1" x14ac:dyDescent="0.25">
      <c r="A5529" t="str" cm="1">
        <f t="array" ref="A5529">IF(INDEX(CUEs!$A:$A,INT((ROW()-1)/7)*57+MOD(ROW()-1,7)+50)&lt;&gt;"","set "&amp;INDEX(CUEs!$A:$A,INT((ROW()-1)/7)*57+MOD(ROW()-1,7)+50)&amp;"=/ s "&amp;INDEX(CUEs!$B:$B,INT((ROW()-1)/7)*57+MOD(ROW()-1,7)+50),"")</f>
        <v/>
      </c>
    </row>
    <row r="5530" spans="1:1" x14ac:dyDescent="0.25">
      <c r="A5530" t="str" cm="1">
        <f t="array" ref="A5530">IF(INDEX(CUEs!$A:$A,INT((ROW()-1)/7)*57+MOD(ROW()-1,7)+50)&lt;&gt;"","set "&amp;INDEX(CUEs!$A:$A,INT((ROW()-1)/7)*57+MOD(ROW()-1,7)+50)&amp;"=/ s "&amp;INDEX(CUEs!$B:$B,INT((ROW()-1)/7)*57+MOD(ROW()-1,7)+50),"")</f>
        <v/>
      </c>
    </row>
    <row r="5531" spans="1:1" x14ac:dyDescent="0.25">
      <c r="A5531" t="str" cm="1">
        <f t="array" ref="A5531">IF(INDEX(CUEs!$A:$A,INT((ROW()-1)/7)*57+MOD(ROW()-1,7)+50)&lt;&gt;"","set "&amp;INDEX(CUEs!$A:$A,INT((ROW()-1)/7)*57+MOD(ROW()-1,7)+50)&amp;"=/ s "&amp;INDEX(CUEs!$B:$B,INT((ROW()-1)/7)*57+MOD(ROW()-1,7)+50),"")</f>
        <v/>
      </c>
    </row>
    <row r="5532" spans="1:1" x14ac:dyDescent="0.25">
      <c r="A5532" t="str" cm="1">
        <f t="array" ref="A5532">IF(INDEX(CUEs!$A:$A,INT((ROW()-1)/7)*57+MOD(ROW()-1,7)+50)&lt;&gt;"","set "&amp;INDEX(CUEs!$A:$A,INT((ROW()-1)/7)*57+MOD(ROW()-1,7)+50)&amp;"=/ s "&amp;INDEX(CUEs!$B:$B,INT((ROW()-1)/7)*57+MOD(ROW()-1,7)+50),"")</f>
        <v/>
      </c>
    </row>
    <row r="5533" spans="1:1" x14ac:dyDescent="0.25">
      <c r="A5533" t="str" cm="1">
        <f t="array" ref="A5533">IF(INDEX(CUEs!$A:$A,INT((ROW()-1)/7)*57+MOD(ROW()-1,7)+50)&lt;&gt;"","set "&amp;INDEX(CUEs!$A:$A,INT((ROW()-1)/7)*57+MOD(ROW()-1,7)+50)&amp;"=/ s "&amp;INDEX(CUEs!$B:$B,INT((ROW()-1)/7)*57+MOD(ROW()-1,7)+50),"")</f>
        <v/>
      </c>
    </row>
    <row r="5534" spans="1:1" x14ac:dyDescent="0.25">
      <c r="A5534" t="str" cm="1">
        <f t="array" ref="A5534">IF(INDEX(CUEs!$A:$A,INT((ROW()-1)/7)*57+MOD(ROW()-1,7)+50)&lt;&gt;"","set "&amp;INDEX(CUEs!$A:$A,INT((ROW()-1)/7)*57+MOD(ROW()-1,7)+50)&amp;"=/ s "&amp;INDEX(CUEs!$B:$B,INT((ROW()-1)/7)*57+MOD(ROW()-1,7)+50),"")</f>
        <v/>
      </c>
    </row>
    <row r="5535" spans="1:1" x14ac:dyDescent="0.25">
      <c r="A5535" t="str" cm="1">
        <f t="array" ref="A5535">IF(INDEX(CUEs!$A:$A,INT((ROW()-1)/7)*57+MOD(ROW()-1,7)+50)&lt;&gt;"","set "&amp;INDEX(CUEs!$A:$A,INT((ROW()-1)/7)*57+MOD(ROW()-1,7)+50)&amp;"=/ s "&amp;INDEX(CUEs!$B:$B,INT((ROW()-1)/7)*57+MOD(ROW()-1,7)+50),"")</f>
        <v/>
      </c>
    </row>
    <row r="5536" spans="1:1" x14ac:dyDescent="0.25">
      <c r="A5536" t="str" cm="1">
        <f t="array" ref="A5536">IF(INDEX(CUEs!$A:$A,INT((ROW()-1)/7)*57+MOD(ROW()-1,7)+50)&lt;&gt;"","set "&amp;INDEX(CUEs!$A:$A,INT((ROW()-1)/7)*57+MOD(ROW()-1,7)+50)&amp;"=/ s "&amp;INDEX(CUEs!$B:$B,INT((ROW()-1)/7)*57+MOD(ROW()-1,7)+50),"")</f>
        <v/>
      </c>
    </row>
    <row r="5537" spans="1:1" x14ac:dyDescent="0.25">
      <c r="A5537" t="str" cm="1">
        <f t="array" ref="A5537">IF(INDEX(CUEs!$A:$A,INT((ROW()-1)/7)*57+MOD(ROW()-1,7)+50)&lt;&gt;"","set "&amp;INDEX(CUEs!$A:$A,INT((ROW()-1)/7)*57+MOD(ROW()-1,7)+50)&amp;"=/ s "&amp;INDEX(CUEs!$B:$B,INT((ROW()-1)/7)*57+MOD(ROW()-1,7)+50),"")</f>
        <v/>
      </c>
    </row>
    <row r="5538" spans="1:1" x14ac:dyDescent="0.25">
      <c r="A5538" t="str" cm="1">
        <f t="array" ref="A5538">IF(INDEX(CUEs!$A:$A,INT((ROW()-1)/7)*57+MOD(ROW()-1,7)+50)&lt;&gt;"","set "&amp;INDEX(CUEs!$A:$A,INT((ROW()-1)/7)*57+MOD(ROW()-1,7)+50)&amp;"=/ s "&amp;INDEX(CUEs!$B:$B,INT((ROW()-1)/7)*57+MOD(ROW()-1,7)+50),"")</f>
        <v/>
      </c>
    </row>
    <row r="5539" spans="1:1" x14ac:dyDescent="0.25">
      <c r="A5539" t="str" cm="1">
        <f t="array" ref="A5539">IF(INDEX(CUEs!$A:$A,INT((ROW()-1)/7)*57+MOD(ROW()-1,7)+50)&lt;&gt;"","set "&amp;INDEX(CUEs!$A:$A,INT((ROW()-1)/7)*57+MOD(ROW()-1,7)+50)&amp;"=/ s "&amp;INDEX(CUEs!$B:$B,INT((ROW()-1)/7)*57+MOD(ROW()-1,7)+50),"")</f>
        <v/>
      </c>
    </row>
    <row r="5540" spans="1:1" x14ac:dyDescent="0.25">
      <c r="A5540" t="str" cm="1">
        <f t="array" ref="A5540">IF(INDEX(CUEs!$A:$A,INT((ROW()-1)/7)*57+MOD(ROW()-1,7)+50)&lt;&gt;"","set "&amp;INDEX(CUEs!$A:$A,INT((ROW()-1)/7)*57+MOD(ROW()-1,7)+50)&amp;"=/ s "&amp;INDEX(CUEs!$B:$B,INT((ROW()-1)/7)*57+MOD(ROW()-1,7)+50),"")</f>
        <v/>
      </c>
    </row>
    <row r="5541" spans="1:1" x14ac:dyDescent="0.25">
      <c r="A5541" t="str" cm="1">
        <f t="array" ref="A5541">IF(INDEX(CUEs!$A:$A,INT((ROW()-1)/7)*57+MOD(ROW()-1,7)+50)&lt;&gt;"","set "&amp;INDEX(CUEs!$A:$A,INT((ROW()-1)/7)*57+MOD(ROW()-1,7)+50)&amp;"=/ s "&amp;INDEX(CUEs!$B:$B,INT((ROW()-1)/7)*57+MOD(ROW()-1,7)+50),"")</f>
        <v/>
      </c>
    </row>
    <row r="5542" spans="1:1" x14ac:dyDescent="0.25">
      <c r="A5542" t="str" cm="1">
        <f t="array" ref="A5542">IF(INDEX(CUEs!$A:$A,INT((ROW()-1)/7)*57+MOD(ROW()-1,7)+50)&lt;&gt;"","set "&amp;INDEX(CUEs!$A:$A,INT((ROW()-1)/7)*57+MOD(ROW()-1,7)+50)&amp;"=/ s "&amp;INDEX(CUEs!$B:$B,INT((ROW()-1)/7)*57+MOD(ROW()-1,7)+50),"")</f>
        <v/>
      </c>
    </row>
    <row r="5543" spans="1:1" x14ac:dyDescent="0.25">
      <c r="A5543" t="str" cm="1">
        <f t="array" ref="A5543">IF(INDEX(CUEs!$A:$A,INT((ROW()-1)/7)*57+MOD(ROW()-1,7)+50)&lt;&gt;"","set "&amp;INDEX(CUEs!$A:$A,INT((ROW()-1)/7)*57+MOD(ROW()-1,7)+50)&amp;"=/ s "&amp;INDEX(CUEs!$B:$B,INT((ROW()-1)/7)*57+MOD(ROW()-1,7)+50),"")</f>
        <v/>
      </c>
    </row>
    <row r="5544" spans="1:1" x14ac:dyDescent="0.25">
      <c r="A5544" t="str" cm="1">
        <f t="array" ref="A5544">IF(INDEX(CUEs!$A:$A,INT((ROW()-1)/7)*57+MOD(ROW()-1,7)+50)&lt;&gt;"","set "&amp;INDEX(CUEs!$A:$A,INT((ROW()-1)/7)*57+MOD(ROW()-1,7)+50)&amp;"=/ s "&amp;INDEX(CUEs!$B:$B,INT((ROW()-1)/7)*57+MOD(ROW()-1,7)+50),"")</f>
        <v/>
      </c>
    </row>
    <row r="5545" spans="1:1" x14ac:dyDescent="0.25">
      <c r="A5545" t="str" cm="1">
        <f t="array" ref="A5545">IF(INDEX(CUEs!$A:$A,INT((ROW()-1)/7)*57+MOD(ROW()-1,7)+50)&lt;&gt;"","set "&amp;INDEX(CUEs!$A:$A,INT((ROW()-1)/7)*57+MOD(ROW()-1,7)+50)&amp;"=/ s "&amp;INDEX(CUEs!$B:$B,INT((ROW()-1)/7)*57+MOD(ROW()-1,7)+50),"")</f>
        <v/>
      </c>
    </row>
    <row r="5546" spans="1:1" x14ac:dyDescent="0.25">
      <c r="A5546" t="str" cm="1">
        <f t="array" ref="A5546">IF(INDEX(CUEs!$A:$A,INT((ROW()-1)/7)*57+MOD(ROW()-1,7)+50)&lt;&gt;"","set "&amp;INDEX(CUEs!$A:$A,INT((ROW()-1)/7)*57+MOD(ROW()-1,7)+50)&amp;"=/ s "&amp;INDEX(CUEs!$B:$B,INT((ROW()-1)/7)*57+MOD(ROW()-1,7)+50),"")</f>
        <v/>
      </c>
    </row>
    <row r="5547" spans="1:1" x14ac:dyDescent="0.25">
      <c r="A5547" t="str" cm="1">
        <f t="array" ref="A5547">IF(INDEX(CUEs!$A:$A,INT((ROW()-1)/7)*57+MOD(ROW()-1,7)+50)&lt;&gt;"","set "&amp;INDEX(CUEs!$A:$A,INT((ROW()-1)/7)*57+MOD(ROW()-1,7)+50)&amp;"=/ s "&amp;INDEX(CUEs!$B:$B,INT((ROW()-1)/7)*57+MOD(ROW()-1,7)+50),"")</f>
        <v/>
      </c>
    </row>
    <row r="5548" spans="1:1" x14ac:dyDescent="0.25">
      <c r="A5548" t="str" cm="1">
        <f t="array" ref="A5548">IF(INDEX(CUEs!$A:$A,INT((ROW()-1)/7)*57+MOD(ROW()-1,7)+50)&lt;&gt;"","set "&amp;INDEX(CUEs!$A:$A,INT((ROW()-1)/7)*57+MOD(ROW()-1,7)+50)&amp;"=/ s "&amp;INDEX(CUEs!$B:$B,INT((ROW()-1)/7)*57+MOD(ROW()-1,7)+50),"")</f>
        <v/>
      </c>
    </row>
    <row r="5549" spans="1:1" x14ac:dyDescent="0.25">
      <c r="A5549" t="str" cm="1">
        <f t="array" ref="A5549">IF(INDEX(CUEs!$A:$A,INT((ROW()-1)/7)*57+MOD(ROW()-1,7)+50)&lt;&gt;"","set "&amp;INDEX(CUEs!$A:$A,INT((ROW()-1)/7)*57+MOD(ROW()-1,7)+50)&amp;"=/ s "&amp;INDEX(CUEs!$B:$B,INT((ROW()-1)/7)*57+MOD(ROW()-1,7)+50),"")</f>
        <v/>
      </c>
    </row>
    <row r="5550" spans="1:1" x14ac:dyDescent="0.25">
      <c r="A5550" t="str" cm="1">
        <f t="array" ref="A5550">IF(INDEX(CUEs!$A:$A,INT((ROW()-1)/7)*57+MOD(ROW()-1,7)+50)&lt;&gt;"","set "&amp;INDEX(CUEs!$A:$A,INT((ROW()-1)/7)*57+MOD(ROW()-1,7)+50)&amp;"=/ s "&amp;INDEX(CUEs!$B:$B,INT((ROW()-1)/7)*57+MOD(ROW()-1,7)+50),"")</f>
        <v/>
      </c>
    </row>
    <row r="5551" spans="1:1" x14ac:dyDescent="0.25">
      <c r="A5551" t="str" cm="1">
        <f t="array" ref="A5551">IF(INDEX(CUEs!$A:$A,INT((ROW()-1)/7)*57+MOD(ROW()-1,7)+50)&lt;&gt;"","set "&amp;INDEX(CUEs!$A:$A,INT((ROW()-1)/7)*57+MOD(ROW()-1,7)+50)&amp;"=/ s "&amp;INDEX(CUEs!$B:$B,INT((ROW()-1)/7)*57+MOD(ROW()-1,7)+50),"")</f>
        <v/>
      </c>
    </row>
    <row r="5552" spans="1:1" x14ac:dyDescent="0.25">
      <c r="A5552" t="str" cm="1">
        <f t="array" ref="A5552">IF(INDEX(CUEs!$A:$A,INT((ROW()-1)/7)*57+MOD(ROW()-1,7)+50)&lt;&gt;"","set "&amp;INDEX(CUEs!$A:$A,INT((ROW()-1)/7)*57+MOD(ROW()-1,7)+50)&amp;"=/ s "&amp;INDEX(CUEs!$B:$B,INT((ROW()-1)/7)*57+MOD(ROW()-1,7)+50),"")</f>
        <v/>
      </c>
    </row>
    <row r="5553" spans="1:1" x14ac:dyDescent="0.25">
      <c r="A5553" t="str" cm="1">
        <f t="array" ref="A5553">IF(INDEX(CUEs!$A:$A,INT((ROW()-1)/7)*57+MOD(ROW()-1,7)+50)&lt;&gt;"","set "&amp;INDEX(CUEs!$A:$A,INT((ROW()-1)/7)*57+MOD(ROW()-1,7)+50)&amp;"=/ s "&amp;INDEX(CUEs!$B:$B,INT((ROW()-1)/7)*57+MOD(ROW()-1,7)+50),"")</f>
        <v/>
      </c>
    </row>
    <row r="5554" spans="1:1" x14ac:dyDescent="0.25">
      <c r="A5554" t="str" cm="1">
        <f t="array" ref="A5554">IF(INDEX(CUEs!$A:$A,INT((ROW()-1)/7)*57+MOD(ROW()-1,7)+50)&lt;&gt;"","set "&amp;INDEX(CUEs!$A:$A,INT((ROW()-1)/7)*57+MOD(ROW()-1,7)+50)&amp;"=/ s "&amp;INDEX(CUEs!$B:$B,INT((ROW()-1)/7)*57+MOD(ROW()-1,7)+50),"")</f>
        <v/>
      </c>
    </row>
    <row r="5555" spans="1:1" x14ac:dyDescent="0.25">
      <c r="A5555" t="str" cm="1">
        <f t="array" ref="A5555">IF(INDEX(CUEs!$A:$A,INT((ROW()-1)/7)*57+MOD(ROW()-1,7)+50)&lt;&gt;"","set "&amp;INDEX(CUEs!$A:$A,INT((ROW()-1)/7)*57+MOD(ROW()-1,7)+50)&amp;"=/ s "&amp;INDEX(CUEs!$B:$B,INT((ROW()-1)/7)*57+MOD(ROW()-1,7)+50),"")</f>
        <v/>
      </c>
    </row>
    <row r="5556" spans="1:1" x14ac:dyDescent="0.25">
      <c r="A5556" t="str" cm="1">
        <f t="array" ref="A5556">IF(INDEX(CUEs!$A:$A,INT((ROW()-1)/7)*57+MOD(ROW()-1,7)+50)&lt;&gt;"","set "&amp;INDEX(CUEs!$A:$A,INT((ROW()-1)/7)*57+MOD(ROW()-1,7)+50)&amp;"=/ s "&amp;INDEX(CUEs!$B:$B,INT((ROW()-1)/7)*57+MOD(ROW()-1,7)+50),"")</f>
        <v/>
      </c>
    </row>
    <row r="5557" spans="1:1" x14ac:dyDescent="0.25">
      <c r="A5557" t="str" cm="1">
        <f t="array" ref="A5557">IF(INDEX(CUEs!$A:$A,INT((ROW()-1)/7)*57+MOD(ROW()-1,7)+50)&lt;&gt;"","set "&amp;INDEX(CUEs!$A:$A,INT((ROW()-1)/7)*57+MOD(ROW()-1,7)+50)&amp;"=/ s "&amp;INDEX(CUEs!$B:$B,INT((ROW()-1)/7)*57+MOD(ROW()-1,7)+50),"")</f>
        <v/>
      </c>
    </row>
    <row r="5558" spans="1:1" x14ac:dyDescent="0.25">
      <c r="A5558" t="str" cm="1">
        <f t="array" ref="A5558">IF(INDEX(CUEs!$A:$A,INT((ROW()-1)/7)*57+MOD(ROW()-1,7)+50)&lt;&gt;"","set "&amp;INDEX(CUEs!$A:$A,INT((ROW()-1)/7)*57+MOD(ROW()-1,7)+50)&amp;"=/ s "&amp;INDEX(CUEs!$B:$B,INT((ROW()-1)/7)*57+MOD(ROW()-1,7)+50),"")</f>
        <v/>
      </c>
    </row>
    <row r="5559" spans="1:1" x14ac:dyDescent="0.25">
      <c r="A5559" t="str" cm="1">
        <f t="array" ref="A5559">IF(INDEX(CUEs!$A:$A,INT((ROW()-1)/7)*57+MOD(ROW()-1,7)+50)&lt;&gt;"","set "&amp;INDEX(CUEs!$A:$A,INT((ROW()-1)/7)*57+MOD(ROW()-1,7)+50)&amp;"=/ s "&amp;INDEX(CUEs!$B:$B,INT((ROW()-1)/7)*57+MOD(ROW()-1,7)+50),"")</f>
        <v/>
      </c>
    </row>
    <row r="5560" spans="1:1" x14ac:dyDescent="0.25">
      <c r="A5560" t="str" cm="1">
        <f t="array" ref="A5560">IF(INDEX(CUEs!$A:$A,INT((ROW()-1)/7)*57+MOD(ROW()-1,7)+50)&lt;&gt;"","set "&amp;INDEX(CUEs!$A:$A,INT((ROW()-1)/7)*57+MOD(ROW()-1,7)+50)&amp;"=/ s "&amp;INDEX(CUEs!$B:$B,INT((ROW()-1)/7)*57+MOD(ROW()-1,7)+50),"")</f>
        <v/>
      </c>
    </row>
    <row r="5561" spans="1:1" x14ac:dyDescent="0.25">
      <c r="A5561" t="str" cm="1">
        <f t="array" ref="A5561">IF(INDEX(CUEs!$A:$A,INT((ROW()-1)/7)*57+MOD(ROW()-1,7)+50)&lt;&gt;"","set "&amp;INDEX(CUEs!$A:$A,INT((ROW()-1)/7)*57+MOD(ROW()-1,7)+50)&amp;"=/ s "&amp;INDEX(CUEs!$B:$B,INT((ROW()-1)/7)*57+MOD(ROW()-1,7)+50),"")</f>
        <v/>
      </c>
    </row>
    <row r="5562" spans="1:1" x14ac:dyDescent="0.25">
      <c r="A5562" t="str" cm="1">
        <f t="array" ref="A5562">IF(INDEX(CUEs!$A:$A,INT((ROW()-1)/7)*57+MOD(ROW()-1,7)+50)&lt;&gt;"","set "&amp;INDEX(CUEs!$A:$A,INT((ROW()-1)/7)*57+MOD(ROW()-1,7)+50)&amp;"=/ s "&amp;INDEX(CUEs!$B:$B,INT((ROW()-1)/7)*57+MOD(ROW()-1,7)+50),"")</f>
        <v/>
      </c>
    </row>
    <row r="5563" spans="1:1" x14ac:dyDescent="0.25">
      <c r="A5563" t="str" cm="1">
        <f t="array" ref="A5563">IF(INDEX(CUEs!$A:$A,INT((ROW()-1)/7)*57+MOD(ROW()-1,7)+50)&lt;&gt;"","set "&amp;INDEX(CUEs!$A:$A,INT((ROW()-1)/7)*57+MOD(ROW()-1,7)+50)&amp;"=/ s "&amp;INDEX(CUEs!$B:$B,INT((ROW()-1)/7)*57+MOD(ROW()-1,7)+50),"")</f>
        <v/>
      </c>
    </row>
    <row r="5564" spans="1:1" x14ac:dyDescent="0.25">
      <c r="A5564" t="str" cm="1">
        <f t="array" ref="A5564">IF(INDEX(CUEs!$A:$A,INT((ROW()-1)/7)*57+MOD(ROW()-1,7)+50)&lt;&gt;"","set "&amp;INDEX(CUEs!$A:$A,INT((ROW()-1)/7)*57+MOD(ROW()-1,7)+50)&amp;"=/ s "&amp;INDEX(CUEs!$B:$B,INT((ROW()-1)/7)*57+MOD(ROW()-1,7)+50),"")</f>
        <v/>
      </c>
    </row>
    <row r="5565" spans="1:1" x14ac:dyDescent="0.25">
      <c r="A5565" t="str" cm="1">
        <f t="array" ref="A5565">IF(INDEX(CUEs!$A:$A,INT((ROW()-1)/7)*57+MOD(ROW()-1,7)+50)&lt;&gt;"","set "&amp;INDEX(CUEs!$A:$A,INT((ROW()-1)/7)*57+MOD(ROW()-1,7)+50)&amp;"=/ s "&amp;INDEX(CUEs!$B:$B,INT((ROW()-1)/7)*57+MOD(ROW()-1,7)+50),"")</f>
        <v/>
      </c>
    </row>
    <row r="5566" spans="1:1" x14ac:dyDescent="0.25">
      <c r="A5566" t="str" cm="1">
        <f t="array" ref="A5566">IF(INDEX(CUEs!$A:$A,INT((ROW()-1)/7)*57+MOD(ROW()-1,7)+50)&lt;&gt;"","set "&amp;INDEX(CUEs!$A:$A,INT((ROW()-1)/7)*57+MOD(ROW()-1,7)+50)&amp;"=/ s "&amp;INDEX(CUEs!$B:$B,INT((ROW()-1)/7)*57+MOD(ROW()-1,7)+50),"")</f>
        <v/>
      </c>
    </row>
    <row r="5567" spans="1:1" x14ac:dyDescent="0.25">
      <c r="A5567" t="str" cm="1">
        <f t="array" ref="A5567">IF(INDEX(CUEs!$A:$A,INT((ROW()-1)/7)*57+MOD(ROW()-1,7)+50)&lt;&gt;"","set "&amp;INDEX(CUEs!$A:$A,INT((ROW()-1)/7)*57+MOD(ROW()-1,7)+50)&amp;"=/ s "&amp;INDEX(CUEs!$B:$B,INT((ROW()-1)/7)*57+MOD(ROW()-1,7)+50),"")</f>
        <v/>
      </c>
    </row>
    <row r="5568" spans="1:1" x14ac:dyDescent="0.25">
      <c r="A5568" t="str" cm="1">
        <f t="array" ref="A5568">IF(INDEX(CUEs!$A:$A,INT((ROW()-1)/7)*57+MOD(ROW()-1,7)+50)&lt;&gt;"","set "&amp;INDEX(CUEs!$A:$A,INT((ROW()-1)/7)*57+MOD(ROW()-1,7)+50)&amp;"=/ s "&amp;INDEX(CUEs!$B:$B,INT((ROW()-1)/7)*57+MOD(ROW()-1,7)+50),"")</f>
        <v/>
      </c>
    </row>
    <row r="5569" spans="1:1" x14ac:dyDescent="0.25">
      <c r="A5569" t="str" cm="1">
        <f t="array" ref="A5569">IF(INDEX(CUEs!$A:$A,INT((ROW()-1)/7)*57+MOD(ROW()-1,7)+50)&lt;&gt;"","set "&amp;INDEX(CUEs!$A:$A,INT((ROW()-1)/7)*57+MOD(ROW()-1,7)+50)&amp;"=/ s "&amp;INDEX(CUEs!$B:$B,INT((ROW()-1)/7)*57+MOD(ROW()-1,7)+50),"")</f>
        <v/>
      </c>
    </row>
    <row r="5570" spans="1:1" x14ac:dyDescent="0.25">
      <c r="A5570" t="str" cm="1">
        <f t="array" ref="A5570">IF(INDEX(CUEs!$A:$A,INT((ROW()-1)/7)*57+MOD(ROW()-1,7)+50)&lt;&gt;"","set "&amp;INDEX(CUEs!$A:$A,INT((ROW()-1)/7)*57+MOD(ROW()-1,7)+50)&amp;"=/ s "&amp;INDEX(CUEs!$B:$B,INT((ROW()-1)/7)*57+MOD(ROW()-1,7)+50),"")</f>
        <v/>
      </c>
    </row>
    <row r="5571" spans="1:1" x14ac:dyDescent="0.25">
      <c r="A5571" t="str" cm="1">
        <f t="array" ref="A5571">IF(INDEX(CUEs!$A:$A,INT((ROW()-1)/7)*57+MOD(ROW()-1,7)+50)&lt;&gt;"","set "&amp;INDEX(CUEs!$A:$A,INT((ROW()-1)/7)*57+MOD(ROW()-1,7)+50)&amp;"=/ s "&amp;INDEX(CUEs!$B:$B,INT((ROW()-1)/7)*57+MOD(ROW()-1,7)+50),"")</f>
        <v/>
      </c>
    </row>
    <row r="5572" spans="1:1" x14ac:dyDescent="0.25">
      <c r="A5572" t="str" cm="1">
        <f t="array" ref="A5572">IF(INDEX(CUEs!$A:$A,INT((ROW()-1)/7)*57+MOD(ROW()-1,7)+50)&lt;&gt;"","set "&amp;INDEX(CUEs!$A:$A,INT((ROW()-1)/7)*57+MOD(ROW()-1,7)+50)&amp;"=/ s "&amp;INDEX(CUEs!$B:$B,INT((ROW()-1)/7)*57+MOD(ROW()-1,7)+50),"")</f>
        <v/>
      </c>
    </row>
    <row r="5573" spans="1:1" x14ac:dyDescent="0.25">
      <c r="A5573" t="str" cm="1">
        <f t="array" ref="A5573">IF(INDEX(CUEs!$A:$A,INT((ROW()-1)/7)*57+MOD(ROW()-1,7)+50)&lt;&gt;"","set "&amp;INDEX(CUEs!$A:$A,INT((ROW()-1)/7)*57+MOD(ROW()-1,7)+50)&amp;"=/ s "&amp;INDEX(CUEs!$B:$B,INT((ROW()-1)/7)*57+MOD(ROW()-1,7)+50),"")</f>
        <v/>
      </c>
    </row>
    <row r="5574" spans="1:1" x14ac:dyDescent="0.25">
      <c r="A5574" t="str" cm="1">
        <f t="array" ref="A5574">IF(INDEX(CUEs!$A:$A,INT((ROW()-1)/7)*57+MOD(ROW()-1,7)+50)&lt;&gt;"","set "&amp;INDEX(CUEs!$A:$A,INT((ROW()-1)/7)*57+MOD(ROW()-1,7)+50)&amp;"=/ s "&amp;INDEX(CUEs!$B:$B,INT((ROW()-1)/7)*57+MOD(ROW()-1,7)+50),"")</f>
        <v/>
      </c>
    </row>
    <row r="5575" spans="1:1" x14ac:dyDescent="0.25">
      <c r="A5575" t="str" cm="1">
        <f t="array" ref="A5575">IF(INDEX(CUEs!$A:$A,INT((ROW()-1)/7)*57+MOD(ROW()-1,7)+50)&lt;&gt;"","set "&amp;INDEX(CUEs!$A:$A,INT((ROW()-1)/7)*57+MOD(ROW()-1,7)+50)&amp;"=/ s "&amp;INDEX(CUEs!$B:$B,INT((ROW()-1)/7)*57+MOD(ROW()-1,7)+50),"")</f>
        <v/>
      </c>
    </row>
    <row r="5576" spans="1:1" x14ac:dyDescent="0.25">
      <c r="A5576" t="str" cm="1">
        <f t="array" ref="A5576">IF(INDEX(CUEs!$A:$A,INT((ROW()-1)/7)*57+MOD(ROW()-1,7)+50)&lt;&gt;"","set "&amp;INDEX(CUEs!$A:$A,INT((ROW()-1)/7)*57+MOD(ROW()-1,7)+50)&amp;"=/ s "&amp;INDEX(CUEs!$B:$B,INT((ROW()-1)/7)*57+MOD(ROW()-1,7)+50),"")</f>
        <v/>
      </c>
    </row>
    <row r="5577" spans="1:1" x14ac:dyDescent="0.25">
      <c r="A5577" t="str" cm="1">
        <f t="array" ref="A5577">IF(INDEX(CUEs!$A:$A,INT((ROW()-1)/7)*57+MOD(ROW()-1,7)+50)&lt;&gt;"","set "&amp;INDEX(CUEs!$A:$A,INT((ROW()-1)/7)*57+MOD(ROW()-1,7)+50)&amp;"=/ s "&amp;INDEX(CUEs!$B:$B,INT((ROW()-1)/7)*57+MOD(ROW()-1,7)+50),"")</f>
        <v/>
      </c>
    </row>
    <row r="5578" spans="1:1" x14ac:dyDescent="0.25">
      <c r="A5578" t="str" cm="1">
        <f t="array" ref="A5578">IF(INDEX(CUEs!$A:$A,INT((ROW()-1)/7)*57+MOD(ROW()-1,7)+50)&lt;&gt;"","set "&amp;INDEX(CUEs!$A:$A,INT((ROW()-1)/7)*57+MOD(ROW()-1,7)+50)&amp;"=/ s "&amp;INDEX(CUEs!$B:$B,INT((ROW()-1)/7)*57+MOD(ROW()-1,7)+50),"")</f>
        <v/>
      </c>
    </row>
    <row r="5579" spans="1:1" x14ac:dyDescent="0.25">
      <c r="A5579" t="str" cm="1">
        <f t="array" ref="A5579">IF(INDEX(CUEs!$A:$A,INT((ROW()-1)/7)*57+MOD(ROW()-1,7)+50)&lt;&gt;"","set "&amp;INDEX(CUEs!$A:$A,INT((ROW()-1)/7)*57+MOD(ROW()-1,7)+50)&amp;"=/ s "&amp;INDEX(CUEs!$B:$B,INT((ROW()-1)/7)*57+MOD(ROW()-1,7)+50),"")</f>
        <v/>
      </c>
    </row>
    <row r="5580" spans="1:1" x14ac:dyDescent="0.25">
      <c r="A5580" t="str" cm="1">
        <f t="array" ref="A5580">IF(INDEX(CUEs!$A:$A,INT((ROW()-1)/7)*57+MOD(ROW()-1,7)+50)&lt;&gt;"","set "&amp;INDEX(CUEs!$A:$A,INT((ROW()-1)/7)*57+MOD(ROW()-1,7)+50)&amp;"=/ s "&amp;INDEX(CUEs!$B:$B,INT((ROW()-1)/7)*57+MOD(ROW()-1,7)+50),"")</f>
        <v/>
      </c>
    </row>
    <row r="5581" spans="1:1" x14ac:dyDescent="0.25">
      <c r="A5581" t="str" cm="1">
        <f t="array" ref="A5581">IF(INDEX(CUEs!$A:$A,INT((ROW()-1)/7)*57+MOD(ROW()-1,7)+50)&lt;&gt;"","set "&amp;INDEX(CUEs!$A:$A,INT((ROW()-1)/7)*57+MOD(ROW()-1,7)+50)&amp;"=/ s "&amp;INDEX(CUEs!$B:$B,INT((ROW()-1)/7)*57+MOD(ROW()-1,7)+50),"")</f>
        <v/>
      </c>
    </row>
    <row r="5582" spans="1:1" x14ac:dyDescent="0.25">
      <c r="A5582" t="str" cm="1">
        <f t="array" ref="A5582">IF(INDEX(CUEs!$A:$A,INT((ROW()-1)/7)*57+MOD(ROW()-1,7)+50)&lt;&gt;"","set "&amp;INDEX(CUEs!$A:$A,INT((ROW()-1)/7)*57+MOD(ROW()-1,7)+50)&amp;"=/ s "&amp;INDEX(CUEs!$B:$B,INT((ROW()-1)/7)*57+MOD(ROW()-1,7)+50),"")</f>
        <v/>
      </c>
    </row>
    <row r="5583" spans="1:1" x14ac:dyDescent="0.25">
      <c r="A5583" t="str" cm="1">
        <f t="array" ref="A5583">IF(INDEX(CUEs!$A:$A,INT((ROW()-1)/7)*57+MOD(ROW()-1,7)+50)&lt;&gt;"","set "&amp;INDEX(CUEs!$A:$A,INT((ROW()-1)/7)*57+MOD(ROW()-1,7)+50)&amp;"=/ s "&amp;INDEX(CUEs!$B:$B,INT((ROW()-1)/7)*57+MOD(ROW()-1,7)+50),"")</f>
        <v/>
      </c>
    </row>
    <row r="5584" spans="1:1" x14ac:dyDescent="0.25">
      <c r="A5584" t="str" cm="1">
        <f t="array" ref="A5584">IF(INDEX(CUEs!$A:$A,INT((ROW()-1)/7)*57+MOD(ROW()-1,7)+50)&lt;&gt;"","set "&amp;INDEX(CUEs!$A:$A,INT((ROW()-1)/7)*57+MOD(ROW()-1,7)+50)&amp;"=/ s "&amp;INDEX(CUEs!$B:$B,INT((ROW()-1)/7)*57+MOD(ROW()-1,7)+50),"")</f>
        <v/>
      </c>
    </row>
    <row r="5585" spans="1:1" x14ac:dyDescent="0.25">
      <c r="A5585" t="str" cm="1">
        <f t="array" ref="A5585">IF(INDEX(CUEs!$A:$A,INT((ROW()-1)/7)*57+MOD(ROW()-1,7)+50)&lt;&gt;"","set "&amp;INDEX(CUEs!$A:$A,INT((ROW()-1)/7)*57+MOD(ROW()-1,7)+50)&amp;"=/ s "&amp;INDEX(CUEs!$B:$B,INT((ROW()-1)/7)*57+MOD(ROW()-1,7)+50),"")</f>
        <v/>
      </c>
    </row>
    <row r="5586" spans="1:1" x14ac:dyDescent="0.25">
      <c r="A5586" t="str" cm="1">
        <f t="array" ref="A5586">IF(INDEX(CUEs!$A:$A,INT((ROW()-1)/7)*57+MOD(ROW()-1,7)+50)&lt;&gt;"","set "&amp;INDEX(CUEs!$A:$A,INT((ROW()-1)/7)*57+MOD(ROW()-1,7)+50)&amp;"=/ s "&amp;INDEX(CUEs!$B:$B,INT((ROW()-1)/7)*57+MOD(ROW()-1,7)+50),"")</f>
        <v/>
      </c>
    </row>
    <row r="5587" spans="1:1" x14ac:dyDescent="0.25">
      <c r="A5587" t="str" cm="1">
        <f t="array" ref="A5587">IF(INDEX(CUEs!$A:$A,INT((ROW()-1)/7)*57+MOD(ROW()-1,7)+50)&lt;&gt;"","set "&amp;INDEX(CUEs!$A:$A,INT((ROW()-1)/7)*57+MOD(ROW()-1,7)+50)&amp;"=/ s "&amp;INDEX(CUEs!$B:$B,INT((ROW()-1)/7)*57+MOD(ROW()-1,7)+50),"")</f>
        <v/>
      </c>
    </row>
    <row r="5588" spans="1:1" x14ac:dyDescent="0.25">
      <c r="A5588" t="str" cm="1">
        <f t="array" ref="A5588">IF(INDEX(CUEs!$A:$A,INT((ROW()-1)/7)*57+MOD(ROW()-1,7)+50)&lt;&gt;"","set "&amp;INDEX(CUEs!$A:$A,INT((ROW()-1)/7)*57+MOD(ROW()-1,7)+50)&amp;"=/ s "&amp;INDEX(CUEs!$B:$B,INT((ROW()-1)/7)*57+MOD(ROW()-1,7)+50),"")</f>
        <v/>
      </c>
    </row>
    <row r="5589" spans="1:1" x14ac:dyDescent="0.25">
      <c r="A5589" t="str" cm="1">
        <f t="array" ref="A5589">IF(INDEX(CUEs!$A:$A,INT((ROW()-1)/7)*57+MOD(ROW()-1,7)+50)&lt;&gt;"","set "&amp;INDEX(CUEs!$A:$A,INT((ROW()-1)/7)*57+MOD(ROW()-1,7)+50)&amp;"=/ s "&amp;INDEX(CUEs!$B:$B,INT((ROW()-1)/7)*57+MOD(ROW()-1,7)+50),"")</f>
        <v/>
      </c>
    </row>
    <row r="5590" spans="1:1" x14ac:dyDescent="0.25">
      <c r="A5590" t="str" cm="1">
        <f t="array" ref="A5590">IF(INDEX(CUEs!$A:$A,INT((ROW()-1)/7)*57+MOD(ROW()-1,7)+50)&lt;&gt;"","set "&amp;INDEX(CUEs!$A:$A,INT((ROW()-1)/7)*57+MOD(ROW()-1,7)+50)&amp;"=/ s "&amp;INDEX(CUEs!$B:$B,INT((ROW()-1)/7)*57+MOD(ROW()-1,7)+50),"")</f>
        <v/>
      </c>
    </row>
    <row r="5591" spans="1:1" x14ac:dyDescent="0.25">
      <c r="A5591" t="str" cm="1">
        <f t="array" ref="A5591">IF(INDEX(CUEs!$A:$A,INT((ROW()-1)/7)*57+MOD(ROW()-1,7)+50)&lt;&gt;"","set "&amp;INDEX(CUEs!$A:$A,INT((ROW()-1)/7)*57+MOD(ROW()-1,7)+50)&amp;"=/ s "&amp;INDEX(CUEs!$B:$B,INT((ROW()-1)/7)*57+MOD(ROW()-1,7)+50),"")</f>
        <v/>
      </c>
    </row>
    <row r="5592" spans="1:1" x14ac:dyDescent="0.25">
      <c r="A5592" t="str" cm="1">
        <f t="array" ref="A5592">IF(INDEX(CUEs!$A:$A,INT((ROW()-1)/7)*57+MOD(ROW()-1,7)+50)&lt;&gt;"","set "&amp;INDEX(CUEs!$A:$A,INT((ROW()-1)/7)*57+MOD(ROW()-1,7)+50)&amp;"=/ s "&amp;INDEX(CUEs!$B:$B,INT((ROW()-1)/7)*57+MOD(ROW()-1,7)+50),"")</f>
        <v/>
      </c>
    </row>
    <row r="5593" spans="1:1" x14ac:dyDescent="0.25">
      <c r="A5593" t="str" cm="1">
        <f t="array" ref="A5593">IF(INDEX(CUEs!$A:$A,INT((ROW()-1)/7)*57+MOD(ROW()-1,7)+50)&lt;&gt;"","set "&amp;INDEX(CUEs!$A:$A,INT((ROW()-1)/7)*57+MOD(ROW()-1,7)+50)&amp;"=/ s "&amp;INDEX(CUEs!$B:$B,INT((ROW()-1)/7)*57+MOD(ROW()-1,7)+50),"")</f>
        <v/>
      </c>
    </row>
    <row r="5594" spans="1:1" x14ac:dyDescent="0.25">
      <c r="A5594" t="str" cm="1">
        <f t="array" ref="A5594">IF(INDEX(CUEs!$A:$A,INT((ROW()-1)/7)*57+MOD(ROW()-1,7)+50)&lt;&gt;"","set "&amp;INDEX(CUEs!$A:$A,INT((ROW()-1)/7)*57+MOD(ROW()-1,7)+50)&amp;"=/ s "&amp;INDEX(CUEs!$B:$B,INT((ROW()-1)/7)*57+MOD(ROW()-1,7)+50),"")</f>
        <v/>
      </c>
    </row>
    <row r="5595" spans="1:1" x14ac:dyDescent="0.25">
      <c r="A5595" t="str" cm="1">
        <f t="array" ref="A5595">IF(INDEX(CUEs!$A:$A,INT((ROW()-1)/7)*57+MOD(ROW()-1,7)+50)&lt;&gt;"","set "&amp;INDEX(CUEs!$A:$A,INT((ROW()-1)/7)*57+MOD(ROW()-1,7)+50)&amp;"=/ s "&amp;INDEX(CUEs!$B:$B,INT((ROW()-1)/7)*57+MOD(ROW()-1,7)+50),"")</f>
        <v/>
      </c>
    </row>
    <row r="5596" spans="1:1" x14ac:dyDescent="0.25">
      <c r="A5596" t="str" cm="1">
        <f t="array" ref="A5596">IF(INDEX(CUEs!$A:$A,INT((ROW()-1)/7)*57+MOD(ROW()-1,7)+50)&lt;&gt;"","set "&amp;INDEX(CUEs!$A:$A,INT((ROW()-1)/7)*57+MOD(ROW()-1,7)+50)&amp;"=/ s "&amp;INDEX(CUEs!$B:$B,INT((ROW()-1)/7)*57+MOD(ROW()-1,7)+50),"")</f>
        <v/>
      </c>
    </row>
    <row r="5597" spans="1:1" x14ac:dyDescent="0.25">
      <c r="A5597" t="str" cm="1">
        <f t="array" ref="A5597">IF(INDEX(CUEs!$A:$A,INT((ROW()-1)/7)*57+MOD(ROW()-1,7)+50)&lt;&gt;"","set "&amp;INDEX(CUEs!$A:$A,INT((ROW()-1)/7)*57+MOD(ROW()-1,7)+50)&amp;"=/ s "&amp;INDEX(CUEs!$B:$B,INT((ROW()-1)/7)*57+MOD(ROW()-1,7)+50),"")</f>
        <v/>
      </c>
    </row>
    <row r="5598" spans="1:1" x14ac:dyDescent="0.25">
      <c r="A5598" t="str" cm="1">
        <f t="array" ref="A5598">IF(INDEX(CUEs!$A:$A,INT((ROW()-1)/7)*57+MOD(ROW()-1,7)+50)&lt;&gt;"","set "&amp;INDEX(CUEs!$A:$A,INT((ROW()-1)/7)*57+MOD(ROW()-1,7)+50)&amp;"=/ s "&amp;INDEX(CUEs!$B:$B,INT((ROW()-1)/7)*57+MOD(ROW()-1,7)+50),"")</f>
        <v/>
      </c>
    </row>
    <row r="5599" spans="1:1" x14ac:dyDescent="0.25">
      <c r="A5599" t="str" cm="1">
        <f t="array" ref="A5599">IF(INDEX(CUEs!$A:$A,INT((ROW()-1)/7)*57+MOD(ROW()-1,7)+50)&lt;&gt;"","set "&amp;INDEX(CUEs!$A:$A,INT((ROW()-1)/7)*57+MOD(ROW()-1,7)+50)&amp;"=/ s "&amp;INDEX(CUEs!$B:$B,INT((ROW()-1)/7)*57+MOD(ROW()-1,7)+50),"")</f>
        <v/>
      </c>
    </row>
    <row r="5600" spans="1:1" x14ac:dyDescent="0.25">
      <c r="A5600" t="str" cm="1">
        <f t="array" ref="A5600">IF(INDEX(CUEs!$A:$A,INT((ROW()-1)/7)*57+MOD(ROW()-1,7)+50)&lt;&gt;"","set "&amp;INDEX(CUEs!$A:$A,INT((ROW()-1)/7)*57+MOD(ROW()-1,7)+50)&amp;"=/ s "&amp;INDEX(CUEs!$B:$B,INT((ROW()-1)/7)*57+MOD(ROW()-1,7)+50),"")</f>
        <v/>
      </c>
    </row>
    <row r="5601" spans="1:1" x14ac:dyDescent="0.25">
      <c r="A5601" t="str" cm="1">
        <f t="array" ref="A5601">IF(INDEX(CUEs!$A:$A,INT((ROW()-1)/7)*57+MOD(ROW()-1,7)+50)&lt;&gt;"","set "&amp;INDEX(CUEs!$A:$A,INT((ROW()-1)/7)*57+MOD(ROW()-1,7)+50)&amp;"=/ s "&amp;INDEX(CUEs!$B:$B,INT((ROW()-1)/7)*57+MOD(ROW()-1,7)+50),"")</f>
        <v/>
      </c>
    </row>
    <row r="5602" spans="1:1" x14ac:dyDescent="0.25">
      <c r="A5602" t="str" cm="1">
        <f t="array" ref="A5602">IF(INDEX(CUEs!$A:$A,INT((ROW()-1)/7)*57+MOD(ROW()-1,7)+50)&lt;&gt;"","set "&amp;INDEX(CUEs!$A:$A,INT((ROW()-1)/7)*57+MOD(ROW()-1,7)+50)&amp;"=/ s "&amp;INDEX(CUEs!$B:$B,INT((ROW()-1)/7)*57+MOD(ROW()-1,7)+50),"")</f>
        <v/>
      </c>
    </row>
    <row r="5603" spans="1:1" x14ac:dyDescent="0.25">
      <c r="A5603" t="str" cm="1">
        <f t="array" ref="A5603">IF(INDEX(CUEs!$A:$A,INT((ROW()-1)/7)*57+MOD(ROW()-1,7)+50)&lt;&gt;"","set "&amp;INDEX(CUEs!$A:$A,INT((ROW()-1)/7)*57+MOD(ROW()-1,7)+50)&amp;"=/ s "&amp;INDEX(CUEs!$B:$B,INT((ROW()-1)/7)*57+MOD(ROW()-1,7)+50),"")</f>
        <v/>
      </c>
    </row>
    <row r="5604" spans="1:1" x14ac:dyDescent="0.25">
      <c r="A5604" t="str" cm="1">
        <f t="array" ref="A5604">IF(INDEX(CUEs!$A:$A,INT((ROW()-1)/7)*57+MOD(ROW()-1,7)+50)&lt;&gt;"","set "&amp;INDEX(CUEs!$A:$A,INT((ROW()-1)/7)*57+MOD(ROW()-1,7)+50)&amp;"=/ s "&amp;INDEX(CUEs!$B:$B,INT((ROW()-1)/7)*57+MOD(ROW()-1,7)+50),"")</f>
        <v/>
      </c>
    </row>
    <row r="5605" spans="1:1" x14ac:dyDescent="0.25">
      <c r="A5605" t="str" cm="1">
        <f t="array" ref="A5605">IF(INDEX(CUEs!$A:$A,INT((ROW()-1)/7)*57+MOD(ROW()-1,7)+50)&lt;&gt;"","set "&amp;INDEX(CUEs!$A:$A,INT((ROW()-1)/7)*57+MOD(ROW()-1,7)+50)&amp;"=/ s "&amp;INDEX(CUEs!$B:$B,INT((ROW()-1)/7)*57+MOD(ROW()-1,7)+50),"")</f>
        <v/>
      </c>
    </row>
    <row r="5606" spans="1:1" x14ac:dyDescent="0.25">
      <c r="A5606" t="str" cm="1">
        <f t="array" ref="A5606">IF(INDEX(CUEs!$A:$A,INT((ROW()-1)/7)*57+MOD(ROW()-1,7)+50)&lt;&gt;"","set "&amp;INDEX(CUEs!$A:$A,INT((ROW()-1)/7)*57+MOD(ROW()-1,7)+50)&amp;"=/ s "&amp;INDEX(CUEs!$B:$B,INT((ROW()-1)/7)*57+MOD(ROW()-1,7)+50),"")</f>
        <v/>
      </c>
    </row>
    <row r="5607" spans="1:1" x14ac:dyDescent="0.25">
      <c r="A5607" t="str" cm="1">
        <f t="array" ref="A5607">IF(INDEX(CUEs!$A:$A,INT((ROW()-1)/7)*57+MOD(ROW()-1,7)+50)&lt;&gt;"","set "&amp;INDEX(CUEs!$A:$A,INT((ROW()-1)/7)*57+MOD(ROW()-1,7)+50)&amp;"=/ s "&amp;INDEX(CUEs!$B:$B,INT((ROW()-1)/7)*57+MOD(ROW()-1,7)+50),"")</f>
        <v/>
      </c>
    </row>
    <row r="5608" spans="1:1" x14ac:dyDescent="0.25">
      <c r="A5608" t="str" cm="1">
        <f t="array" ref="A5608">IF(INDEX(CUEs!$A:$A,INT((ROW()-1)/7)*57+MOD(ROW()-1,7)+50)&lt;&gt;"","set "&amp;INDEX(CUEs!$A:$A,INT((ROW()-1)/7)*57+MOD(ROW()-1,7)+50)&amp;"=/ s "&amp;INDEX(CUEs!$B:$B,INT((ROW()-1)/7)*57+MOD(ROW()-1,7)+50),"")</f>
        <v/>
      </c>
    </row>
    <row r="5609" spans="1:1" x14ac:dyDescent="0.25">
      <c r="A5609" t="str" cm="1">
        <f t="array" ref="A5609">IF(INDEX(CUEs!$A:$A,INT((ROW()-1)/7)*57+MOD(ROW()-1,7)+50)&lt;&gt;"","set "&amp;INDEX(CUEs!$A:$A,INT((ROW()-1)/7)*57+MOD(ROW()-1,7)+50)&amp;"=/ s "&amp;INDEX(CUEs!$B:$B,INT((ROW()-1)/7)*57+MOD(ROW()-1,7)+50),"")</f>
        <v/>
      </c>
    </row>
    <row r="5610" spans="1:1" x14ac:dyDescent="0.25">
      <c r="A5610" t="str" cm="1">
        <f t="array" ref="A5610">IF(INDEX(CUEs!$A:$A,INT((ROW()-1)/7)*57+MOD(ROW()-1,7)+50)&lt;&gt;"","set "&amp;INDEX(CUEs!$A:$A,INT((ROW()-1)/7)*57+MOD(ROW()-1,7)+50)&amp;"=/ s "&amp;INDEX(CUEs!$B:$B,INT((ROW()-1)/7)*57+MOD(ROW()-1,7)+50),"")</f>
        <v/>
      </c>
    </row>
    <row r="5611" spans="1:1" x14ac:dyDescent="0.25">
      <c r="A5611" t="str" cm="1">
        <f t="array" ref="A5611">IF(INDEX(CUEs!$A:$A,INT((ROW()-1)/7)*57+MOD(ROW()-1,7)+50)&lt;&gt;"","set "&amp;INDEX(CUEs!$A:$A,INT((ROW()-1)/7)*57+MOD(ROW()-1,7)+50)&amp;"=/ s "&amp;INDEX(CUEs!$B:$B,INT((ROW()-1)/7)*57+MOD(ROW()-1,7)+50),"")</f>
        <v/>
      </c>
    </row>
    <row r="5612" spans="1:1" x14ac:dyDescent="0.25">
      <c r="A5612" t="str" cm="1">
        <f t="array" ref="A5612">IF(INDEX(CUEs!$A:$A,INT((ROW()-1)/7)*57+MOD(ROW()-1,7)+50)&lt;&gt;"","set "&amp;INDEX(CUEs!$A:$A,INT((ROW()-1)/7)*57+MOD(ROW()-1,7)+50)&amp;"=/ s "&amp;INDEX(CUEs!$B:$B,INT((ROW()-1)/7)*57+MOD(ROW()-1,7)+50),"")</f>
        <v/>
      </c>
    </row>
    <row r="5613" spans="1:1" x14ac:dyDescent="0.25">
      <c r="A5613" t="str" cm="1">
        <f t="array" ref="A5613">IF(INDEX(CUEs!$A:$A,INT((ROW()-1)/7)*57+MOD(ROW()-1,7)+50)&lt;&gt;"","set "&amp;INDEX(CUEs!$A:$A,INT((ROW()-1)/7)*57+MOD(ROW()-1,7)+50)&amp;"=/ s "&amp;INDEX(CUEs!$B:$B,INT((ROW()-1)/7)*57+MOD(ROW()-1,7)+50),"")</f>
        <v/>
      </c>
    </row>
    <row r="5614" spans="1:1" x14ac:dyDescent="0.25">
      <c r="A5614" t="str" cm="1">
        <f t="array" ref="A5614">IF(INDEX(CUEs!$A:$A,INT((ROW()-1)/7)*57+MOD(ROW()-1,7)+50)&lt;&gt;"","set "&amp;INDEX(CUEs!$A:$A,INT((ROW()-1)/7)*57+MOD(ROW()-1,7)+50)&amp;"=/ s "&amp;INDEX(CUEs!$B:$B,INT((ROW()-1)/7)*57+MOD(ROW()-1,7)+50),"")</f>
        <v/>
      </c>
    </row>
    <row r="5615" spans="1:1" x14ac:dyDescent="0.25">
      <c r="A5615" t="str" cm="1">
        <f t="array" ref="A5615">IF(INDEX(CUEs!$A:$A,INT((ROW()-1)/7)*57+MOD(ROW()-1,7)+50)&lt;&gt;"","set "&amp;INDEX(CUEs!$A:$A,INT((ROW()-1)/7)*57+MOD(ROW()-1,7)+50)&amp;"=/ s "&amp;INDEX(CUEs!$B:$B,INT((ROW()-1)/7)*57+MOD(ROW()-1,7)+50),"")</f>
        <v/>
      </c>
    </row>
    <row r="5616" spans="1:1" x14ac:dyDescent="0.25">
      <c r="A5616" t="str" cm="1">
        <f t="array" ref="A5616">IF(INDEX(CUEs!$A:$A,INT((ROW()-1)/7)*57+MOD(ROW()-1,7)+50)&lt;&gt;"","set "&amp;INDEX(CUEs!$A:$A,INT((ROW()-1)/7)*57+MOD(ROW()-1,7)+50)&amp;"=/ s "&amp;INDEX(CUEs!$B:$B,INT((ROW()-1)/7)*57+MOD(ROW()-1,7)+50),"")</f>
        <v/>
      </c>
    </row>
    <row r="5617" spans="1:1" x14ac:dyDescent="0.25">
      <c r="A5617" t="str" cm="1">
        <f t="array" ref="A5617">IF(INDEX(CUEs!$A:$A,INT((ROW()-1)/7)*57+MOD(ROW()-1,7)+50)&lt;&gt;"","set "&amp;INDEX(CUEs!$A:$A,INT((ROW()-1)/7)*57+MOD(ROW()-1,7)+50)&amp;"=/ s "&amp;INDEX(CUEs!$B:$B,INT((ROW()-1)/7)*57+MOD(ROW()-1,7)+50),"")</f>
        <v/>
      </c>
    </row>
    <row r="5618" spans="1:1" x14ac:dyDescent="0.25">
      <c r="A5618" t="str" cm="1">
        <f t="array" ref="A5618">IF(INDEX(CUEs!$A:$A,INT((ROW()-1)/7)*57+MOD(ROW()-1,7)+50)&lt;&gt;"","set "&amp;INDEX(CUEs!$A:$A,INT((ROW()-1)/7)*57+MOD(ROW()-1,7)+50)&amp;"=/ s "&amp;INDEX(CUEs!$B:$B,INT((ROW()-1)/7)*57+MOD(ROW()-1,7)+50),"")</f>
        <v/>
      </c>
    </row>
    <row r="5619" spans="1:1" x14ac:dyDescent="0.25">
      <c r="A5619" t="str" cm="1">
        <f t="array" ref="A5619">IF(INDEX(CUEs!$A:$A,INT((ROW()-1)/7)*57+MOD(ROW()-1,7)+50)&lt;&gt;"","set "&amp;INDEX(CUEs!$A:$A,INT((ROW()-1)/7)*57+MOD(ROW()-1,7)+50)&amp;"=/ s "&amp;INDEX(CUEs!$B:$B,INT((ROW()-1)/7)*57+MOD(ROW()-1,7)+50),"")</f>
        <v/>
      </c>
    </row>
    <row r="5620" spans="1:1" x14ac:dyDescent="0.25">
      <c r="A5620" t="str" cm="1">
        <f t="array" ref="A5620">IF(INDEX(CUEs!$A:$A,INT((ROW()-1)/7)*57+MOD(ROW()-1,7)+50)&lt;&gt;"","set "&amp;INDEX(CUEs!$A:$A,INT((ROW()-1)/7)*57+MOD(ROW()-1,7)+50)&amp;"=/ s "&amp;INDEX(CUEs!$B:$B,INT((ROW()-1)/7)*57+MOD(ROW()-1,7)+50),"")</f>
        <v/>
      </c>
    </row>
    <row r="5621" spans="1:1" x14ac:dyDescent="0.25">
      <c r="A5621" t="str" cm="1">
        <f t="array" ref="A5621">IF(INDEX(CUEs!$A:$A,INT((ROW()-1)/7)*57+MOD(ROW()-1,7)+50)&lt;&gt;"","set "&amp;INDEX(CUEs!$A:$A,INT((ROW()-1)/7)*57+MOD(ROW()-1,7)+50)&amp;"=/ s "&amp;INDEX(CUEs!$B:$B,INT((ROW()-1)/7)*57+MOD(ROW()-1,7)+50),"")</f>
        <v/>
      </c>
    </row>
    <row r="5622" spans="1:1" x14ac:dyDescent="0.25">
      <c r="A5622" t="str" cm="1">
        <f t="array" ref="A5622">IF(INDEX(CUEs!$A:$A,INT((ROW()-1)/7)*57+MOD(ROW()-1,7)+50)&lt;&gt;"","set "&amp;INDEX(CUEs!$A:$A,INT((ROW()-1)/7)*57+MOD(ROW()-1,7)+50)&amp;"=/ s "&amp;INDEX(CUEs!$B:$B,INT((ROW()-1)/7)*57+MOD(ROW()-1,7)+50),"")</f>
        <v/>
      </c>
    </row>
    <row r="5623" spans="1:1" x14ac:dyDescent="0.25">
      <c r="A5623" t="str" cm="1">
        <f t="array" ref="A5623">IF(INDEX(CUEs!$A:$A,INT((ROW()-1)/7)*57+MOD(ROW()-1,7)+50)&lt;&gt;"","set "&amp;INDEX(CUEs!$A:$A,INT((ROW()-1)/7)*57+MOD(ROW()-1,7)+50)&amp;"=/ s "&amp;INDEX(CUEs!$B:$B,INT((ROW()-1)/7)*57+MOD(ROW()-1,7)+50),"")</f>
        <v/>
      </c>
    </row>
    <row r="5624" spans="1:1" x14ac:dyDescent="0.25">
      <c r="A5624" t="str" cm="1">
        <f t="array" ref="A5624">IF(INDEX(CUEs!$A:$A,INT((ROW()-1)/7)*57+MOD(ROW()-1,7)+50)&lt;&gt;"","set "&amp;INDEX(CUEs!$A:$A,INT((ROW()-1)/7)*57+MOD(ROW()-1,7)+50)&amp;"=/ s "&amp;INDEX(CUEs!$B:$B,INT((ROW()-1)/7)*57+MOD(ROW()-1,7)+50),"")</f>
        <v/>
      </c>
    </row>
    <row r="5625" spans="1:1" x14ac:dyDescent="0.25">
      <c r="A5625" t="str" cm="1">
        <f t="array" ref="A5625">IF(INDEX(CUEs!$A:$A,INT((ROW()-1)/7)*57+MOD(ROW()-1,7)+50)&lt;&gt;"","set "&amp;INDEX(CUEs!$A:$A,INT((ROW()-1)/7)*57+MOD(ROW()-1,7)+50)&amp;"=/ s "&amp;INDEX(CUEs!$B:$B,INT((ROW()-1)/7)*57+MOD(ROW()-1,7)+50),"")</f>
        <v/>
      </c>
    </row>
    <row r="5626" spans="1:1" x14ac:dyDescent="0.25">
      <c r="A5626" t="str" cm="1">
        <f t="array" ref="A5626">IF(INDEX(CUEs!$A:$A,INT((ROW()-1)/7)*57+MOD(ROW()-1,7)+50)&lt;&gt;"","set "&amp;INDEX(CUEs!$A:$A,INT((ROW()-1)/7)*57+MOD(ROW()-1,7)+50)&amp;"=/ s "&amp;INDEX(CUEs!$B:$B,INT((ROW()-1)/7)*57+MOD(ROW()-1,7)+50),"")</f>
        <v/>
      </c>
    </row>
    <row r="5627" spans="1:1" x14ac:dyDescent="0.25">
      <c r="A5627" t="str" cm="1">
        <f t="array" ref="A5627">IF(INDEX(CUEs!$A:$A,INT((ROW()-1)/7)*57+MOD(ROW()-1,7)+50)&lt;&gt;"","set "&amp;INDEX(CUEs!$A:$A,INT((ROW()-1)/7)*57+MOD(ROW()-1,7)+50)&amp;"=/ s "&amp;INDEX(CUEs!$B:$B,INT((ROW()-1)/7)*57+MOD(ROW()-1,7)+50),"")</f>
        <v/>
      </c>
    </row>
    <row r="5628" spans="1:1" x14ac:dyDescent="0.25">
      <c r="A5628" t="str" cm="1">
        <f t="array" ref="A5628">IF(INDEX(CUEs!$A:$A,INT((ROW()-1)/7)*57+MOD(ROW()-1,7)+50)&lt;&gt;"","set "&amp;INDEX(CUEs!$A:$A,INT((ROW()-1)/7)*57+MOD(ROW()-1,7)+50)&amp;"=/ s "&amp;INDEX(CUEs!$B:$B,INT((ROW()-1)/7)*57+MOD(ROW()-1,7)+50),"")</f>
        <v/>
      </c>
    </row>
    <row r="5629" spans="1:1" x14ac:dyDescent="0.25">
      <c r="A5629" t="str" cm="1">
        <f t="array" ref="A5629">IF(INDEX(CUEs!$A:$A,INT((ROW()-1)/7)*57+MOD(ROW()-1,7)+50)&lt;&gt;"","set "&amp;INDEX(CUEs!$A:$A,INT((ROW()-1)/7)*57+MOD(ROW()-1,7)+50)&amp;"=/ s "&amp;INDEX(CUEs!$B:$B,INT((ROW()-1)/7)*57+MOD(ROW()-1,7)+50),"")</f>
        <v/>
      </c>
    </row>
    <row r="5630" spans="1:1" x14ac:dyDescent="0.25">
      <c r="A5630" t="str" cm="1">
        <f t="array" ref="A5630">IF(INDEX(CUEs!$A:$A,INT((ROW()-1)/7)*57+MOD(ROW()-1,7)+50)&lt;&gt;"","set "&amp;INDEX(CUEs!$A:$A,INT((ROW()-1)/7)*57+MOD(ROW()-1,7)+50)&amp;"=/ s "&amp;INDEX(CUEs!$B:$B,INT((ROW()-1)/7)*57+MOD(ROW()-1,7)+50),"")</f>
        <v/>
      </c>
    </row>
    <row r="5631" spans="1:1" x14ac:dyDescent="0.25">
      <c r="A5631" t="str" cm="1">
        <f t="array" ref="A5631">IF(INDEX(CUEs!$A:$A,INT((ROW()-1)/7)*57+MOD(ROW()-1,7)+50)&lt;&gt;"","set "&amp;INDEX(CUEs!$A:$A,INT((ROW()-1)/7)*57+MOD(ROW()-1,7)+50)&amp;"=/ s "&amp;INDEX(CUEs!$B:$B,INT((ROW()-1)/7)*57+MOD(ROW()-1,7)+50),"")</f>
        <v/>
      </c>
    </row>
    <row r="5632" spans="1:1" x14ac:dyDescent="0.25">
      <c r="A5632" t="str" cm="1">
        <f t="array" ref="A5632">IF(INDEX(CUEs!$A:$A,INT((ROW()-1)/7)*57+MOD(ROW()-1,7)+50)&lt;&gt;"","set "&amp;INDEX(CUEs!$A:$A,INT((ROW()-1)/7)*57+MOD(ROW()-1,7)+50)&amp;"=/ s "&amp;INDEX(CUEs!$B:$B,INT((ROW()-1)/7)*57+MOD(ROW()-1,7)+50),"")</f>
        <v/>
      </c>
    </row>
    <row r="5633" spans="1:1" x14ac:dyDescent="0.25">
      <c r="A5633" t="str" cm="1">
        <f t="array" ref="A5633">IF(INDEX(CUEs!$A:$A,INT((ROW()-1)/7)*57+MOD(ROW()-1,7)+50)&lt;&gt;"","set "&amp;INDEX(CUEs!$A:$A,INT((ROW()-1)/7)*57+MOD(ROW()-1,7)+50)&amp;"=/ s "&amp;INDEX(CUEs!$B:$B,INT((ROW()-1)/7)*57+MOD(ROW()-1,7)+50),"")</f>
        <v/>
      </c>
    </row>
    <row r="5634" spans="1:1" x14ac:dyDescent="0.25">
      <c r="A5634" t="str" cm="1">
        <f t="array" ref="A5634">IF(INDEX(CUEs!$A:$A,INT((ROW()-1)/7)*57+MOD(ROW()-1,7)+50)&lt;&gt;"","set "&amp;INDEX(CUEs!$A:$A,INT((ROW()-1)/7)*57+MOD(ROW()-1,7)+50)&amp;"=/ s "&amp;INDEX(CUEs!$B:$B,INT((ROW()-1)/7)*57+MOD(ROW()-1,7)+50),"")</f>
        <v/>
      </c>
    </row>
    <row r="5635" spans="1:1" x14ac:dyDescent="0.25">
      <c r="A5635" t="str" cm="1">
        <f t="array" ref="A5635">IF(INDEX(CUEs!$A:$A,INT((ROW()-1)/7)*57+MOD(ROW()-1,7)+50)&lt;&gt;"","set "&amp;INDEX(CUEs!$A:$A,INT((ROW()-1)/7)*57+MOD(ROW()-1,7)+50)&amp;"=/ s "&amp;INDEX(CUEs!$B:$B,INT((ROW()-1)/7)*57+MOD(ROW()-1,7)+50),"")</f>
        <v/>
      </c>
    </row>
    <row r="5636" spans="1:1" x14ac:dyDescent="0.25">
      <c r="A5636" t="str" cm="1">
        <f t="array" ref="A5636">IF(INDEX(CUEs!$A:$A,INT((ROW()-1)/7)*57+MOD(ROW()-1,7)+50)&lt;&gt;"","set "&amp;INDEX(CUEs!$A:$A,INT((ROW()-1)/7)*57+MOD(ROW()-1,7)+50)&amp;"=/ s "&amp;INDEX(CUEs!$B:$B,INT((ROW()-1)/7)*57+MOD(ROW()-1,7)+50),"")</f>
        <v/>
      </c>
    </row>
    <row r="5637" spans="1:1" x14ac:dyDescent="0.25">
      <c r="A5637" t="str" cm="1">
        <f t="array" ref="A5637">IF(INDEX(CUEs!$A:$A,INT((ROW()-1)/7)*57+MOD(ROW()-1,7)+50)&lt;&gt;"","set "&amp;INDEX(CUEs!$A:$A,INT((ROW()-1)/7)*57+MOD(ROW()-1,7)+50)&amp;"=/ s "&amp;INDEX(CUEs!$B:$B,INT((ROW()-1)/7)*57+MOD(ROW()-1,7)+50),"")</f>
        <v/>
      </c>
    </row>
    <row r="5638" spans="1:1" x14ac:dyDescent="0.25">
      <c r="A5638" t="str" cm="1">
        <f t="array" ref="A5638">IF(INDEX(CUEs!$A:$A,INT((ROW()-1)/7)*57+MOD(ROW()-1,7)+50)&lt;&gt;"","set "&amp;INDEX(CUEs!$A:$A,INT((ROW()-1)/7)*57+MOD(ROW()-1,7)+50)&amp;"=/ s "&amp;INDEX(CUEs!$B:$B,INT((ROW()-1)/7)*57+MOD(ROW()-1,7)+50),"")</f>
        <v/>
      </c>
    </row>
    <row r="5639" spans="1:1" x14ac:dyDescent="0.25">
      <c r="A5639" t="str" cm="1">
        <f t="array" ref="A5639">IF(INDEX(CUEs!$A:$A,INT((ROW()-1)/7)*57+MOD(ROW()-1,7)+50)&lt;&gt;"","set "&amp;INDEX(CUEs!$A:$A,INT((ROW()-1)/7)*57+MOD(ROW()-1,7)+50)&amp;"=/ s "&amp;INDEX(CUEs!$B:$B,INT((ROW()-1)/7)*57+MOD(ROW()-1,7)+50),"")</f>
        <v/>
      </c>
    </row>
    <row r="5640" spans="1:1" x14ac:dyDescent="0.25">
      <c r="A5640" t="str" cm="1">
        <f t="array" ref="A5640">IF(INDEX(CUEs!$A:$A,INT((ROW()-1)/7)*57+MOD(ROW()-1,7)+50)&lt;&gt;"","set "&amp;INDEX(CUEs!$A:$A,INT((ROW()-1)/7)*57+MOD(ROW()-1,7)+50)&amp;"=/ s "&amp;INDEX(CUEs!$B:$B,INT((ROW()-1)/7)*57+MOD(ROW()-1,7)+50),"")</f>
        <v/>
      </c>
    </row>
    <row r="5641" spans="1:1" x14ac:dyDescent="0.25">
      <c r="A5641" t="str" cm="1">
        <f t="array" ref="A5641">IF(INDEX(CUEs!$A:$A,INT((ROW()-1)/7)*57+MOD(ROW()-1,7)+50)&lt;&gt;"","set "&amp;INDEX(CUEs!$A:$A,INT((ROW()-1)/7)*57+MOD(ROW()-1,7)+50)&amp;"=/ s "&amp;INDEX(CUEs!$B:$B,INT((ROW()-1)/7)*57+MOD(ROW()-1,7)+50),"")</f>
        <v/>
      </c>
    </row>
    <row r="5642" spans="1:1" x14ac:dyDescent="0.25">
      <c r="A5642" t="str" cm="1">
        <f t="array" ref="A5642">IF(INDEX(CUEs!$A:$A,INT((ROW()-1)/7)*57+MOD(ROW()-1,7)+50)&lt;&gt;"","set "&amp;INDEX(CUEs!$A:$A,INT((ROW()-1)/7)*57+MOD(ROW()-1,7)+50)&amp;"=/ s "&amp;INDEX(CUEs!$B:$B,INT((ROW()-1)/7)*57+MOD(ROW()-1,7)+50),"")</f>
        <v/>
      </c>
    </row>
    <row r="5643" spans="1:1" x14ac:dyDescent="0.25">
      <c r="A5643" t="str" cm="1">
        <f t="array" ref="A5643">IF(INDEX(CUEs!$A:$A,INT((ROW()-1)/7)*57+MOD(ROW()-1,7)+50)&lt;&gt;"","set "&amp;INDEX(CUEs!$A:$A,INT((ROW()-1)/7)*57+MOD(ROW()-1,7)+50)&amp;"=/ s "&amp;INDEX(CUEs!$B:$B,INT((ROW()-1)/7)*57+MOD(ROW()-1,7)+50),"")</f>
        <v/>
      </c>
    </row>
    <row r="5644" spans="1:1" x14ac:dyDescent="0.25">
      <c r="A5644" t="str" cm="1">
        <f t="array" ref="A5644">IF(INDEX(CUEs!$A:$A,INT((ROW()-1)/7)*57+MOD(ROW()-1,7)+50)&lt;&gt;"","set "&amp;INDEX(CUEs!$A:$A,INT((ROW()-1)/7)*57+MOD(ROW()-1,7)+50)&amp;"=/ s "&amp;INDEX(CUEs!$B:$B,INT((ROW()-1)/7)*57+MOD(ROW()-1,7)+50),"")</f>
        <v/>
      </c>
    </row>
    <row r="5645" spans="1:1" x14ac:dyDescent="0.25">
      <c r="A5645" t="str" cm="1">
        <f t="array" ref="A5645">IF(INDEX(CUEs!$A:$A,INT((ROW()-1)/7)*57+MOD(ROW()-1,7)+50)&lt;&gt;"","set "&amp;INDEX(CUEs!$A:$A,INT((ROW()-1)/7)*57+MOD(ROW()-1,7)+50)&amp;"=/ s "&amp;INDEX(CUEs!$B:$B,INT((ROW()-1)/7)*57+MOD(ROW()-1,7)+50),"")</f>
        <v/>
      </c>
    </row>
    <row r="5646" spans="1:1" x14ac:dyDescent="0.25">
      <c r="A5646" t="str" cm="1">
        <f t="array" ref="A5646">IF(INDEX(CUEs!$A:$A,INT((ROW()-1)/7)*57+MOD(ROW()-1,7)+50)&lt;&gt;"","set "&amp;INDEX(CUEs!$A:$A,INT((ROW()-1)/7)*57+MOD(ROW()-1,7)+50)&amp;"=/ s "&amp;INDEX(CUEs!$B:$B,INT((ROW()-1)/7)*57+MOD(ROW()-1,7)+50),"")</f>
        <v/>
      </c>
    </row>
    <row r="5647" spans="1:1" x14ac:dyDescent="0.25">
      <c r="A5647" t="str" cm="1">
        <f t="array" ref="A5647">IF(INDEX(CUEs!$A:$A,INT((ROW()-1)/7)*57+MOD(ROW()-1,7)+50)&lt;&gt;"","set "&amp;INDEX(CUEs!$A:$A,INT((ROW()-1)/7)*57+MOD(ROW()-1,7)+50)&amp;"=/ s "&amp;INDEX(CUEs!$B:$B,INT((ROW()-1)/7)*57+MOD(ROW()-1,7)+50),"")</f>
        <v/>
      </c>
    </row>
    <row r="5648" spans="1:1" x14ac:dyDescent="0.25">
      <c r="A5648" t="str" cm="1">
        <f t="array" ref="A5648">IF(INDEX(CUEs!$A:$A,INT((ROW()-1)/7)*57+MOD(ROW()-1,7)+50)&lt;&gt;"","set "&amp;INDEX(CUEs!$A:$A,INT((ROW()-1)/7)*57+MOD(ROW()-1,7)+50)&amp;"=/ s "&amp;INDEX(CUEs!$B:$B,INT((ROW()-1)/7)*57+MOD(ROW()-1,7)+50),"")</f>
        <v/>
      </c>
    </row>
    <row r="5649" spans="1:1" x14ac:dyDescent="0.25">
      <c r="A5649" t="str" cm="1">
        <f t="array" ref="A5649">IF(INDEX(CUEs!$A:$A,INT((ROW()-1)/7)*57+MOD(ROW()-1,7)+50)&lt;&gt;"","set "&amp;INDEX(CUEs!$A:$A,INT((ROW()-1)/7)*57+MOD(ROW()-1,7)+50)&amp;"=/ s "&amp;INDEX(CUEs!$B:$B,INT((ROW()-1)/7)*57+MOD(ROW()-1,7)+50),"")</f>
        <v/>
      </c>
    </row>
    <row r="5650" spans="1:1" x14ac:dyDescent="0.25">
      <c r="A5650" t="str" cm="1">
        <f t="array" ref="A5650">IF(INDEX(CUEs!$A:$A,INT((ROW()-1)/7)*57+MOD(ROW()-1,7)+50)&lt;&gt;"","set "&amp;INDEX(CUEs!$A:$A,INT((ROW()-1)/7)*57+MOD(ROW()-1,7)+50)&amp;"=/ s "&amp;INDEX(CUEs!$B:$B,INT((ROW()-1)/7)*57+MOD(ROW()-1,7)+50),"")</f>
        <v/>
      </c>
    </row>
    <row r="5651" spans="1:1" x14ac:dyDescent="0.25">
      <c r="A5651" t="str" cm="1">
        <f t="array" ref="A5651">IF(INDEX(CUEs!$A:$A,INT((ROW()-1)/7)*57+MOD(ROW()-1,7)+50)&lt;&gt;"","set "&amp;INDEX(CUEs!$A:$A,INT((ROW()-1)/7)*57+MOD(ROW()-1,7)+50)&amp;"=/ s "&amp;INDEX(CUEs!$B:$B,INT((ROW()-1)/7)*57+MOD(ROW()-1,7)+50),"")</f>
        <v/>
      </c>
    </row>
    <row r="5652" spans="1:1" x14ac:dyDescent="0.25">
      <c r="A5652" t="str" cm="1">
        <f t="array" ref="A5652">IF(INDEX(CUEs!$A:$A,INT((ROW()-1)/7)*57+MOD(ROW()-1,7)+50)&lt;&gt;"","set "&amp;INDEX(CUEs!$A:$A,INT((ROW()-1)/7)*57+MOD(ROW()-1,7)+50)&amp;"=/ s "&amp;INDEX(CUEs!$B:$B,INT((ROW()-1)/7)*57+MOD(ROW()-1,7)+50),"")</f>
        <v/>
      </c>
    </row>
    <row r="5653" spans="1:1" x14ac:dyDescent="0.25">
      <c r="A5653" t="str" cm="1">
        <f t="array" ref="A5653">IF(INDEX(CUEs!$A:$A,INT((ROW()-1)/7)*57+MOD(ROW()-1,7)+50)&lt;&gt;"","set "&amp;INDEX(CUEs!$A:$A,INT((ROW()-1)/7)*57+MOD(ROW()-1,7)+50)&amp;"=/ s "&amp;INDEX(CUEs!$B:$B,INT((ROW()-1)/7)*57+MOD(ROW()-1,7)+50),"")</f>
        <v/>
      </c>
    </row>
    <row r="5654" spans="1:1" x14ac:dyDescent="0.25">
      <c r="A5654" t="str" cm="1">
        <f t="array" ref="A5654">IF(INDEX(CUEs!$A:$A,INT((ROW()-1)/7)*57+MOD(ROW()-1,7)+50)&lt;&gt;"","set "&amp;INDEX(CUEs!$A:$A,INT((ROW()-1)/7)*57+MOD(ROW()-1,7)+50)&amp;"=/ s "&amp;INDEX(CUEs!$B:$B,INT((ROW()-1)/7)*57+MOD(ROW()-1,7)+50),"")</f>
        <v/>
      </c>
    </row>
    <row r="5655" spans="1:1" x14ac:dyDescent="0.25">
      <c r="A5655" t="str" cm="1">
        <f t="array" ref="A5655">IF(INDEX(CUEs!$A:$A,INT((ROW()-1)/7)*57+MOD(ROW()-1,7)+50)&lt;&gt;"","set "&amp;INDEX(CUEs!$A:$A,INT((ROW()-1)/7)*57+MOD(ROW()-1,7)+50)&amp;"=/ s "&amp;INDEX(CUEs!$B:$B,INT((ROW()-1)/7)*57+MOD(ROW()-1,7)+50),"")</f>
        <v/>
      </c>
    </row>
    <row r="5656" spans="1:1" x14ac:dyDescent="0.25">
      <c r="A5656" t="str" cm="1">
        <f t="array" ref="A5656">IF(INDEX(CUEs!$A:$A,INT((ROW()-1)/7)*57+MOD(ROW()-1,7)+50)&lt;&gt;"","set "&amp;INDEX(CUEs!$A:$A,INT((ROW()-1)/7)*57+MOD(ROW()-1,7)+50)&amp;"=/ s "&amp;INDEX(CUEs!$B:$B,INT((ROW()-1)/7)*57+MOD(ROW()-1,7)+50),"")</f>
        <v/>
      </c>
    </row>
    <row r="5657" spans="1:1" x14ac:dyDescent="0.25">
      <c r="A5657" t="str" cm="1">
        <f t="array" ref="A5657">IF(INDEX(CUEs!$A:$A,INT((ROW()-1)/7)*57+MOD(ROW()-1,7)+50)&lt;&gt;"","set "&amp;INDEX(CUEs!$A:$A,INT((ROW()-1)/7)*57+MOD(ROW()-1,7)+50)&amp;"=/ s "&amp;INDEX(CUEs!$B:$B,INT((ROW()-1)/7)*57+MOD(ROW()-1,7)+50),"")</f>
        <v/>
      </c>
    </row>
    <row r="5658" spans="1:1" x14ac:dyDescent="0.25">
      <c r="A5658" t="str" cm="1">
        <f t="array" ref="A5658">IF(INDEX(CUEs!$A:$A,INT((ROW()-1)/7)*57+MOD(ROW()-1,7)+50)&lt;&gt;"","set "&amp;INDEX(CUEs!$A:$A,INT((ROW()-1)/7)*57+MOD(ROW()-1,7)+50)&amp;"=/ s "&amp;INDEX(CUEs!$B:$B,INT((ROW()-1)/7)*57+MOD(ROW()-1,7)+50),"")</f>
        <v/>
      </c>
    </row>
    <row r="5659" spans="1:1" x14ac:dyDescent="0.25">
      <c r="A5659" t="str" cm="1">
        <f t="array" ref="A5659">IF(INDEX(CUEs!$A:$A,INT((ROW()-1)/7)*57+MOD(ROW()-1,7)+50)&lt;&gt;"","set "&amp;INDEX(CUEs!$A:$A,INT((ROW()-1)/7)*57+MOD(ROW()-1,7)+50)&amp;"=/ s "&amp;INDEX(CUEs!$B:$B,INT((ROW()-1)/7)*57+MOD(ROW()-1,7)+50),"")</f>
        <v/>
      </c>
    </row>
    <row r="5660" spans="1:1" x14ac:dyDescent="0.25">
      <c r="A5660" t="str" cm="1">
        <f t="array" ref="A5660">IF(INDEX(CUEs!$A:$A,INT((ROW()-1)/7)*57+MOD(ROW()-1,7)+50)&lt;&gt;"","set "&amp;INDEX(CUEs!$A:$A,INT((ROW()-1)/7)*57+MOD(ROW()-1,7)+50)&amp;"=/ s "&amp;INDEX(CUEs!$B:$B,INT((ROW()-1)/7)*57+MOD(ROW()-1,7)+50),"")</f>
        <v/>
      </c>
    </row>
    <row r="5661" spans="1:1" x14ac:dyDescent="0.25">
      <c r="A5661" t="str" cm="1">
        <f t="array" ref="A5661">IF(INDEX(CUEs!$A:$A,INT((ROW()-1)/7)*57+MOD(ROW()-1,7)+50)&lt;&gt;"","set "&amp;INDEX(CUEs!$A:$A,INT((ROW()-1)/7)*57+MOD(ROW()-1,7)+50)&amp;"=/ s "&amp;INDEX(CUEs!$B:$B,INT((ROW()-1)/7)*57+MOD(ROW()-1,7)+50),"")</f>
        <v/>
      </c>
    </row>
    <row r="5662" spans="1:1" x14ac:dyDescent="0.25">
      <c r="A5662" t="str" cm="1">
        <f t="array" ref="A5662">IF(INDEX(CUEs!$A:$A,INT((ROW()-1)/7)*57+MOD(ROW()-1,7)+50)&lt;&gt;"","set "&amp;INDEX(CUEs!$A:$A,INT((ROW()-1)/7)*57+MOD(ROW()-1,7)+50)&amp;"=/ s "&amp;INDEX(CUEs!$B:$B,INT((ROW()-1)/7)*57+MOD(ROW()-1,7)+50),"")</f>
        <v/>
      </c>
    </row>
    <row r="5663" spans="1:1" x14ac:dyDescent="0.25">
      <c r="A5663" t="str" cm="1">
        <f t="array" ref="A5663">IF(INDEX(CUEs!$A:$A,INT((ROW()-1)/7)*57+MOD(ROW()-1,7)+50)&lt;&gt;"","set "&amp;INDEX(CUEs!$A:$A,INT((ROW()-1)/7)*57+MOD(ROW()-1,7)+50)&amp;"=/ s "&amp;INDEX(CUEs!$B:$B,INT((ROW()-1)/7)*57+MOD(ROW()-1,7)+50),"")</f>
        <v/>
      </c>
    </row>
    <row r="5664" spans="1:1" x14ac:dyDescent="0.25">
      <c r="A5664" t="str" cm="1">
        <f t="array" ref="A5664">IF(INDEX(CUEs!$A:$A,INT((ROW()-1)/7)*57+MOD(ROW()-1,7)+50)&lt;&gt;"","set "&amp;INDEX(CUEs!$A:$A,INT((ROW()-1)/7)*57+MOD(ROW()-1,7)+50)&amp;"=/ s "&amp;INDEX(CUEs!$B:$B,INT((ROW()-1)/7)*57+MOD(ROW()-1,7)+50),"")</f>
        <v/>
      </c>
    </row>
    <row r="5665" spans="1:1" x14ac:dyDescent="0.25">
      <c r="A5665" t="str" cm="1">
        <f t="array" ref="A5665">IF(INDEX(CUEs!$A:$A,INT((ROW()-1)/7)*57+MOD(ROW()-1,7)+50)&lt;&gt;"","set "&amp;INDEX(CUEs!$A:$A,INT((ROW()-1)/7)*57+MOD(ROW()-1,7)+50)&amp;"=/ s "&amp;INDEX(CUEs!$B:$B,INT((ROW()-1)/7)*57+MOD(ROW()-1,7)+50),"")</f>
        <v/>
      </c>
    </row>
    <row r="5666" spans="1:1" x14ac:dyDescent="0.25">
      <c r="A5666" t="str" cm="1">
        <f t="array" ref="A5666">IF(INDEX(CUEs!$A:$A,INT((ROW()-1)/7)*57+MOD(ROW()-1,7)+50)&lt;&gt;"","set "&amp;INDEX(CUEs!$A:$A,INT((ROW()-1)/7)*57+MOD(ROW()-1,7)+50)&amp;"=/ s "&amp;INDEX(CUEs!$B:$B,INT((ROW()-1)/7)*57+MOD(ROW()-1,7)+50),"")</f>
        <v/>
      </c>
    </row>
    <row r="5667" spans="1:1" x14ac:dyDescent="0.25">
      <c r="A5667" t="str" cm="1">
        <f t="array" ref="A5667">IF(INDEX(CUEs!$A:$A,INT((ROW()-1)/7)*57+MOD(ROW()-1,7)+50)&lt;&gt;"","set "&amp;INDEX(CUEs!$A:$A,INT((ROW()-1)/7)*57+MOD(ROW()-1,7)+50)&amp;"=/ s "&amp;INDEX(CUEs!$B:$B,INT((ROW()-1)/7)*57+MOD(ROW()-1,7)+50),"")</f>
        <v/>
      </c>
    </row>
    <row r="5668" spans="1:1" x14ac:dyDescent="0.25">
      <c r="A5668" t="str" cm="1">
        <f t="array" ref="A5668">IF(INDEX(CUEs!$A:$A,INT((ROW()-1)/7)*57+MOD(ROW()-1,7)+50)&lt;&gt;"","set "&amp;INDEX(CUEs!$A:$A,INT((ROW()-1)/7)*57+MOD(ROW()-1,7)+50)&amp;"=/ s "&amp;INDEX(CUEs!$B:$B,INT((ROW()-1)/7)*57+MOD(ROW()-1,7)+50),"")</f>
        <v/>
      </c>
    </row>
    <row r="5669" spans="1:1" x14ac:dyDescent="0.25">
      <c r="A5669" t="str" cm="1">
        <f t="array" ref="A5669">IF(INDEX(CUEs!$A:$A,INT((ROW()-1)/7)*57+MOD(ROW()-1,7)+50)&lt;&gt;"","set "&amp;INDEX(CUEs!$A:$A,INT((ROW()-1)/7)*57+MOD(ROW()-1,7)+50)&amp;"=/ s "&amp;INDEX(CUEs!$B:$B,INT((ROW()-1)/7)*57+MOD(ROW()-1,7)+50),"")</f>
        <v/>
      </c>
    </row>
    <row r="5670" spans="1:1" x14ac:dyDescent="0.25">
      <c r="A5670" t="str" cm="1">
        <f t="array" ref="A5670">IF(INDEX(CUEs!$A:$A,INT((ROW()-1)/7)*57+MOD(ROW()-1,7)+50)&lt;&gt;"","set "&amp;INDEX(CUEs!$A:$A,INT((ROW()-1)/7)*57+MOD(ROW()-1,7)+50)&amp;"=/ s "&amp;INDEX(CUEs!$B:$B,INT((ROW()-1)/7)*57+MOD(ROW()-1,7)+50),"")</f>
        <v/>
      </c>
    </row>
    <row r="5671" spans="1:1" x14ac:dyDescent="0.25">
      <c r="A5671" t="str" cm="1">
        <f t="array" ref="A5671">IF(INDEX(CUEs!$A:$A,INT((ROW()-1)/7)*57+MOD(ROW()-1,7)+50)&lt;&gt;"","set "&amp;INDEX(CUEs!$A:$A,INT((ROW()-1)/7)*57+MOD(ROW()-1,7)+50)&amp;"=/ s "&amp;INDEX(CUEs!$B:$B,INT((ROW()-1)/7)*57+MOD(ROW()-1,7)+50),"")</f>
        <v/>
      </c>
    </row>
    <row r="5672" spans="1:1" x14ac:dyDescent="0.25">
      <c r="A5672" t="str" cm="1">
        <f t="array" ref="A5672">IF(INDEX(CUEs!$A:$A,INT((ROW()-1)/7)*57+MOD(ROW()-1,7)+50)&lt;&gt;"","set "&amp;INDEX(CUEs!$A:$A,INT((ROW()-1)/7)*57+MOD(ROW()-1,7)+50)&amp;"=/ s "&amp;INDEX(CUEs!$B:$B,INT((ROW()-1)/7)*57+MOD(ROW()-1,7)+50),"")</f>
        <v/>
      </c>
    </row>
    <row r="5673" spans="1:1" x14ac:dyDescent="0.25">
      <c r="A5673" t="str" cm="1">
        <f t="array" ref="A5673">IF(INDEX(CUEs!$A:$A,INT((ROW()-1)/7)*57+MOD(ROW()-1,7)+50)&lt;&gt;"","set "&amp;INDEX(CUEs!$A:$A,INT((ROW()-1)/7)*57+MOD(ROW()-1,7)+50)&amp;"=/ s "&amp;INDEX(CUEs!$B:$B,INT((ROW()-1)/7)*57+MOD(ROW()-1,7)+50),"")</f>
        <v/>
      </c>
    </row>
    <row r="5674" spans="1:1" x14ac:dyDescent="0.25">
      <c r="A5674" t="str" cm="1">
        <f t="array" ref="A5674">IF(INDEX(CUEs!$A:$A,INT((ROW()-1)/7)*57+MOD(ROW()-1,7)+50)&lt;&gt;"","set "&amp;INDEX(CUEs!$A:$A,INT((ROW()-1)/7)*57+MOD(ROW()-1,7)+50)&amp;"=/ s "&amp;INDEX(CUEs!$B:$B,INT((ROW()-1)/7)*57+MOD(ROW()-1,7)+50),"")</f>
        <v/>
      </c>
    </row>
    <row r="5675" spans="1:1" x14ac:dyDescent="0.25">
      <c r="A5675" t="str" cm="1">
        <f t="array" ref="A5675">IF(INDEX(CUEs!$A:$A,INT((ROW()-1)/7)*57+MOD(ROW()-1,7)+50)&lt;&gt;"","set "&amp;INDEX(CUEs!$A:$A,INT((ROW()-1)/7)*57+MOD(ROW()-1,7)+50)&amp;"=/ s "&amp;INDEX(CUEs!$B:$B,INT((ROW()-1)/7)*57+MOD(ROW()-1,7)+50),"")</f>
        <v/>
      </c>
    </row>
    <row r="5676" spans="1:1" x14ac:dyDescent="0.25">
      <c r="A5676" t="str" cm="1">
        <f t="array" ref="A5676">IF(INDEX(CUEs!$A:$A,INT((ROW()-1)/7)*57+MOD(ROW()-1,7)+50)&lt;&gt;"","set "&amp;INDEX(CUEs!$A:$A,INT((ROW()-1)/7)*57+MOD(ROW()-1,7)+50)&amp;"=/ s "&amp;INDEX(CUEs!$B:$B,INT((ROW()-1)/7)*57+MOD(ROW()-1,7)+50),"")</f>
        <v/>
      </c>
    </row>
    <row r="5677" spans="1:1" x14ac:dyDescent="0.25">
      <c r="A5677" t="str" cm="1">
        <f t="array" ref="A5677">IF(INDEX(CUEs!$A:$A,INT((ROW()-1)/7)*57+MOD(ROW()-1,7)+50)&lt;&gt;"","set "&amp;INDEX(CUEs!$A:$A,INT((ROW()-1)/7)*57+MOD(ROW()-1,7)+50)&amp;"=/ s "&amp;INDEX(CUEs!$B:$B,INT((ROW()-1)/7)*57+MOD(ROW()-1,7)+50),"")</f>
        <v/>
      </c>
    </row>
    <row r="5678" spans="1:1" x14ac:dyDescent="0.25">
      <c r="A5678" t="str" cm="1">
        <f t="array" ref="A5678">IF(INDEX(CUEs!$A:$A,INT((ROW()-1)/7)*57+MOD(ROW()-1,7)+50)&lt;&gt;"","set "&amp;INDEX(CUEs!$A:$A,INT((ROW()-1)/7)*57+MOD(ROW()-1,7)+50)&amp;"=/ s "&amp;INDEX(CUEs!$B:$B,INT((ROW()-1)/7)*57+MOD(ROW()-1,7)+50),"")</f>
        <v/>
      </c>
    </row>
    <row r="5679" spans="1:1" x14ac:dyDescent="0.25">
      <c r="A5679" t="str" cm="1">
        <f t="array" ref="A5679">IF(INDEX(CUEs!$A:$A,INT((ROW()-1)/7)*57+MOD(ROW()-1,7)+50)&lt;&gt;"","set "&amp;INDEX(CUEs!$A:$A,INT((ROW()-1)/7)*57+MOD(ROW()-1,7)+50)&amp;"=/ s "&amp;INDEX(CUEs!$B:$B,INT((ROW()-1)/7)*57+MOD(ROW()-1,7)+50),"")</f>
        <v/>
      </c>
    </row>
    <row r="5680" spans="1:1" x14ac:dyDescent="0.25">
      <c r="A5680" t="str" cm="1">
        <f t="array" ref="A5680">IF(INDEX(CUEs!$A:$A,INT((ROW()-1)/7)*57+MOD(ROW()-1,7)+50)&lt;&gt;"","set "&amp;INDEX(CUEs!$A:$A,INT((ROW()-1)/7)*57+MOD(ROW()-1,7)+50)&amp;"=/ s "&amp;INDEX(CUEs!$B:$B,INT((ROW()-1)/7)*57+MOD(ROW()-1,7)+50),"")</f>
        <v/>
      </c>
    </row>
    <row r="5681" spans="1:1" x14ac:dyDescent="0.25">
      <c r="A5681" t="str" cm="1">
        <f t="array" ref="A5681">IF(INDEX(CUEs!$A:$A,INT((ROW()-1)/7)*57+MOD(ROW()-1,7)+50)&lt;&gt;"","set "&amp;INDEX(CUEs!$A:$A,INT((ROW()-1)/7)*57+MOD(ROW()-1,7)+50)&amp;"=/ s "&amp;INDEX(CUEs!$B:$B,INT((ROW()-1)/7)*57+MOD(ROW()-1,7)+50),"")</f>
        <v/>
      </c>
    </row>
    <row r="5682" spans="1:1" x14ac:dyDescent="0.25">
      <c r="A5682" t="str" cm="1">
        <f t="array" ref="A5682">IF(INDEX(CUEs!$A:$A,INT((ROW()-1)/7)*57+MOD(ROW()-1,7)+50)&lt;&gt;"","set "&amp;INDEX(CUEs!$A:$A,INT((ROW()-1)/7)*57+MOD(ROW()-1,7)+50)&amp;"=/ s "&amp;INDEX(CUEs!$B:$B,INT((ROW()-1)/7)*57+MOD(ROW()-1,7)+50),"")</f>
        <v/>
      </c>
    </row>
    <row r="5683" spans="1:1" x14ac:dyDescent="0.25">
      <c r="A5683" t="str" cm="1">
        <f t="array" ref="A5683">IF(INDEX(CUEs!$A:$A,INT((ROW()-1)/7)*57+MOD(ROW()-1,7)+50)&lt;&gt;"","set "&amp;INDEX(CUEs!$A:$A,INT((ROW()-1)/7)*57+MOD(ROW()-1,7)+50)&amp;"=/ s "&amp;INDEX(CUEs!$B:$B,INT((ROW()-1)/7)*57+MOD(ROW()-1,7)+50),"")</f>
        <v/>
      </c>
    </row>
    <row r="5684" spans="1:1" x14ac:dyDescent="0.25">
      <c r="A5684" t="str" cm="1">
        <f t="array" ref="A5684">IF(INDEX(CUEs!$A:$A,INT((ROW()-1)/7)*57+MOD(ROW()-1,7)+50)&lt;&gt;"","set "&amp;INDEX(CUEs!$A:$A,INT((ROW()-1)/7)*57+MOD(ROW()-1,7)+50)&amp;"=/ s "&amp;INDEX(CUEs!$B:$B,INT((ROW()-1)/7)*57+MOD(ROW()-1,7)+50),"")</f>
        <v/>
      </c>
    </row>
    <row r="5685" spans="1:1" x14ac:dyDescent="0.25">
      <c r="A5685" t="str" cm="1">
        <f t="array" ref="A5685">IF(INDEX(CUEs!$A:$A,INT((ROW()-1)/7)*57+MOD(ROW()-1,7)+50)&lt;&gt;"","set "&amp;INDEX(CUEs!$A:$A,INT((ROW()-1)/7)*57+MOD(ROW()-1,7)+50)&amp;"=/ s "&amp;INDEX(CUEs!$B:$B,INT((ROW()-1)/7)*57+MOD(ROW()-1,7)+50),"")</f>
        <v/>
      </c>
    </row>
    <row r="5686" spans="1:1" x14ac:dyDescent="0.25">
      <c r="A5686" t="str" cm="1">
        <f t="array" ref="A5686">IF(INDEX(CUEs!$A:$A,INT((ROW()-1)/7)*57+MOD(ROW()-1,7)+50)&lt;&gt;"","set "&amp;INDEX(CUEs!$A:$A,INT((ROW()-1)/7)*57+MOD(ROW()-1,7)+50)&amp;"=/ s "&amp;INDEX(CUEs!$B:$B,INT((ROW()-1)/7)*57+MOD(ROW()-1,7)+50),"")</f>
        <v/>
      </c>
    </row>
    <row r="5687" spans="1:1" x14ac:dyDescent="0.25">
      <c r="A5687" t="str" cm="1">
        <f t="array" ref="A5687">IF(INDEX(CUEs!$A:$A,INT((ROW()-1)/7)*57+MOD(ROW()-1,7)+50)&lt;&gt;"","set "&amp;INDEX(CUEs!$A:$A,INT((ROW()-1)/7)*57+MOD(ROW()-1,7)+50)&amp;"=/ s "&amp;INDEX(CUEs!$B:$B,INT((ROW()-1)/7)*57+MOD(ROW()-1,7)+50),"")</f>
        <v/>
      </c>
    </row>
    <row r="5688" spans="1:1" x14ac:dyDescent="0.25">
      <c r="A5688" t="str" cm="1">
        <f t="array" ref="A5688">IF(INDEX(CUEs!$A:$A,INT((ROW()-1)/7)*57+MOD(ROW()-1,7)+50)&lt;&gt;"","set "&amp;INDEX(CUEs!$A:$A,INT((ROW()-1)/7)*57+MOD(ROW()-1,7)+50)&amp;"=/ s "&amp;INDEX(CUEs!$B:$B,INT((ROW()-1)/7)*57+MOD(ROW()-1,7)+50),"")</f>
        <v/>
      </c>
    </row>
    <row r="5689" spans="1:1" x14ac:dyDescent="0.25">
      <c r="A5689" t="str" cm="1">
        <f t="array" ref="A5689">IF(INDEX(CUEs!$A:$A,INT((ROW()-1)/7)*57+MOD(ROW()-1,7)+50)&lt;&gt;"","set "&amp;INDEX(CUEs!$A:$A,INT((ROW()-1)/7)*57+MOD(ROW()-1,7)+50)&amp;"=/ s "&amp;INDEX(CUEs!$B:$B,INT((ROW()-1)/7)*57+MOD(ROW()-1,7)+50),"")</f>
        <v/>
      </c>
    </row>
    <row r="5690" spans="1:1" x14ac:dyDescent="0.25">
      <c r="A5690" t="str" cm="1">
        <f t="array" ref="A5690">IF(INDEX(CUEs!$A:$A,INT((ROW()-1)/7)*57+MOD(ROW()-1,7)+50)&lt;&gt;"","set "&amp;INDEX(CUEs!$A:$A,INT((ROW()-1)/7)*57+MOD(ROW()-1,7)+50)&amp;"=/ s "&amp;INDEX(CUEs!$B:$B,INT((ROW()-1)/7)*57+MOD(ROW()-1,7)+50),"")</f>
        <v/>
      </c>
    </row>
    <row r="5691" spans="1:1" x14ac:dyDescent="0.25">
      <c r="A5691" t="str" cm="1">
        <f t="array" ref="A5691">IF(INDEX(CUEs!$A:$A,INT((ROW()-1)/7)*57+MOD(ROW()-1,7)+50)&lt;&gt;"","set "&amp;INDEX(CUEs!$A:$A,INT((ROW()-1)/7)*57+MOD(ROW()-1,7)+50)&amp;"=/ s "&amp;INDEX(CUEs!$B:$B,INT((ROW()-1)/7)*57+MOD(ROW()-1,7)+50),"")</f>
        <v/>
      </c>
    </row>
    <row r="5692" spans="1:1" x14ac:dyDescent="0.25">
      <c r="A5692" t="str" cm="1">
        <f t="array" ref="A5692">IF(INDEX(CUEs!$A:$A,INT((ROW()-1)/7)*57+MOD(ROW()-1,7)+50)&lt;&gt;"","set "&amp;INDEX(CUEs!$A:$A,INT((ROW()-1)/7)*57+MOD(ROW()-1,7)+50)&amp;"=/ s "&amp;INDEX(CUEs!$B:$B,INT((ROW()-1)/7)*57+MOD(ROW()-1,7)+50),"")</f>
        <v/>
      </c>
    </row>
    <row r="5693" spans="1:1" x14ac:dyDescent="0.25">
      <c r="A5693" t="str" cm="1">
        <f t="array" ref="A5693">IF(INDEX(CUEs!$A:$A,INT((ROW()-1)/7)*57+MOD(ROW()-1,7)+50)&lt;&gt;"","set "&amp;INDEX(CUEs!$A:$A,INT((ROW()-1)/7)*57+MOD(ROW()-1,7)+50)&amp;"=/ s "&amp;INDEX(CUEs!$B:$B,INT((ROW()-1)/7)*57+MOD(ROW()-1,7)+50),"")</f>
        <v/>
      </c>
    </row>
    <row r="5694" spans="1:1" x14ac:dyDescent="0.25">
      <c r="A5694" t="str" cm="1">
        <f t="array" ref="A5694">IF(INDEX(CUEs!$A:$A,INT((ROW()-1)/7)*57+MOD(ROW()-1,7)+50)&lt;&gt;"","set "&amp;INDEX(CUEs!$A:$A,INT((ROW()-1)/7)*57+MOD(ROW()-1,7)+50)&amp;"=/ s "&amp;INDEX(CUEs!$B:$B,INT((ROW()-1)/7)*57+MOD(ROW()-1,7)+50),"")</f>
        <v/>
      </c>
    </row>
    <row r="5695" spans="1:1" x14ac:dyDescent="0.25">
      <c r="A5695" t="str" cm="1">
        <f t="array" ref="A5695">IF(INDEX(CUEs!$A:$A,INT((ROW()-1)/7)*57+MOD(ROW()-1,7)+50)&lt;&gt;"","set "&amp;INDEX(CUEs!$A:$A,INT((ROW()-1)/7)*57+MOD(ROW()-1,7)+50)&amp;"=/ s "&amp;INDEX(CUEs!$B:$B,INT((ROW()-1)/7)*57+MOD(ROW()-1,7)+50),"")</f>
        <v/>
      </c>
    </row>
    <row r="5696" spans="1:1" x14ac:dyDescent="0.25">
      <c r="A5696" t="str" cm="1">
        <f t="array" ref="A5696">IF(INDEX(CUEs!$A:$A,INT((ROW()-1)/7)*57+MOD(ROW()-1,7)+50)&lt;&gt;"","set "&amp;INDEX(CUEs!$A:$A,INT((ROW()-1)/7)*57+MOD(ROW()-1,7)+50)&amp;"=/ s "&amp;INDEX(CUEs!$B:$B,INT((ROW()-1)/7)*57+MOD(ROW()-1,7)+50),"")</f>
        <v/>
      </c>
    </row>
    <row r="5697" spans="1:1" x14ac:dyDescent="0.25">
      <c r="A5697" t="str" cm="1">
        <f t="array" ref="A5697">IF(INDEX(CUEs!$A:$A,INT((ROW()-1)/7)*57+MOD(ROW()-1,7)+50)&lt;&gt;"","set "&amp;INDEX(CUEs!$A:$A,INT((ROW()-1)/7)*57+MOD(ROW()-1,7)+50)&amp;"=/ s "&amp;INDEX(CUEs!$B:$B,INT((ROW()-1)/7)*57+MOD(ROW()-1,7)+50),"")</f>
        <v/>
      </c>
    </row>
    <row r="5698" spans="1:1" x14ac:dyDescent="0.25">
      <c r="A5698" t="str" cm="1">
        <f t="array" ref="A5698">IF(INDEX(CUEs!$A:$A,INT((ROW()-1)/7)*57+MOD(ROW()-1,7)+50)&lt;&gt;"","set "&amp;INDEX(CUEs!$A:$A,INT((ROW()-1)/7)*57+MOD(ROW()-1,7)+50)&amp;"=/ s "&amp;INDEX(CUEs!$B:$B,INT((ROW()-1)/7)*57+MOD(ROW()-1,7)+50),"")</f>
        <v/>
      </c>
    </row>
    <row r="5699" spans="1:1" x14ac:dyDescent="0.25">
      <c r="A5699" t="str" cm="1">
        <f t="array" ref="A5699">IF(INDEX(CUEs!$A:$A,INT((ROW()-1)/7)*57+MOD(ROW()-1,7)+50)&lt;&gt;"","set "&amp;INDEX(CUEs!$A:$A,INT((ROW()-1)/7)*57+MOD(ROW()-1,7)+50)&amp;"=/ s "&amp;INDEX(CUEs!$B:$B,INT((ROW()-1)/7)*57+MOD(ROW()-1,7)+50),"")</f>
        <v/>
      </c>
    </row>
    <row r="5700" spans="1:1" x14ac:dyDescent="0.25">
      <c r="A5700" t="str" cm="1">
        <f t="array" ref="A5700">IF(INDEX(CUEs!$A:$A,INT((ROW()-1)/7)*57+MOD(ROW()-1,7)+50)&lt;&gt;"","set "&amp;INDEX(CUEs!$A:$A,INT((ROW()-1)/7)*57+MOD(ROW()-1,7)+50)&amp;"=/ s "&amp;INDEX(CUEs!$B:$B,INT((ROW()-1)/7)*57+MOD(ROW()-1,7)+50),"")</f>
        <v/>
      </c>
    </row>
    <row r="5701" spans="1:1" x14ac:dyDescent="0.25">
      <c r="A5701" t="str" cm="1">
        <f t="array" ref="A5701">IF(INDEX(CUEs!$A:$A,INT((ROW()-1)/7)*57+MOD(ROW()-1,7)+50)&lt;&gt;"","set "&amp;INDEX(CUEs!$A:$A,INT((ROW()-1)/7)*57+MOD(ROW()-1,7)+50)&amp;"=/ s "&amp;INDEX(CUEs!$B:$B,INT((ROW()-1)/7)*57+MOD(ROW()-1,7)+50),"")</f>
        <v/>
      </c>
    </row>
    <row r="5702" spans="1:1" x14ac:dyDescent="0.25">
      <c r="A5702" t="str" cm="1">
        <f t="array" ref="A5702">IF(INDEX(CUEs!$A:$A,INT((ROW()-1)/7)*57+MOD(ROW()-1,7)+50)&lt;&gt;"","set "&amp;INDEX(CUEs!$A:$A,INT((ROW()-1)/7)*57+MOD(ROW()-1,7)+50)&amp;"=/ s "&amp;INDEX(CUEs!$B:$B,INT((ROW()-1)/7)*57+MOD(ROW()-1,7)+50),"")</f>
        <v/>
      </c>
    </row>
    <row r="5703" spans="1:1" x14ac:dyDescent="0.25">
      <c r="A5703" t="str" cm="1">
        <f t="array" ref="A5703">IF(INDEX(CUEs!$A:$A,INT((ROW()-1)/7)*57+MOD(ROW()-1,7)+50)&lt;&gt;"","set "&amp;INDEX(CUEs!$A:$A,INT((ROW()-1)/7)*57+MOD(ROW()-1,7)+50)&amp;"=/ s "&amp;INDEX(CUEs!$B:$B,INT((ROW()-1)/7)*57+MOD(ROW()-1,7)+50),"")</f>
        <v/>
      </c>
    </row>
    <row r="5704" spans="1:1" x14ac:dyDescent="0.25">
      <c r="A5704" t="str" cm="1">
        <f t="array" ref="A5704">IF(INDEX(CUEs!$A:$A,INT((ROW()-1)/7)*57+MOD(ROW()-1,7)+50)&lt;&gt;"","set "&amp;INDEX(CUEs!$A:$A,INT((ROW()-1)/7)*57+MOD(ROW()-1,7)+50)&amp;"=/ s "&amp;INDEX(CUEs!$B:$B,INT((ROW()-1)/7)*57+MOD(ROW()-1,7)+50),"")</f>
        <v/>
      </c>
    </row>
    <row r="5705" spans="1:1" x14ac:dyDescent="0.25">
      <c r="A5705" t="str" cm="1">
        <f t="array" ref="A5705">IF(INDEX(CUEs!$A:$A,INT((ROW()-1)/7)*57+MOD(ROW()-1,7)+50)&lt;&gt;"","set "&amp;INDEX(CUEs!$A:$A,INT((ROW()-1)/7)*57+MOD(ROW()-1,7)+50)&amp;"=/ s "&amp;INDEX(CUEs!$B:$B,INT((ROW()-1)/7)*57+MOD(ROW()-1,7)+50),"")</f>
        <v/>
      </c>
    </row>
    <row r="5706" spans="1:1" x14ac:dyDescent="0.25">
      <c r="A5706" t="str" cm="1">
        <f t="array" ref="A5706">IF(INDEX(CUEs!$A:$A,INT((ROW()-1)/7)*57+MOD(ROW()-1,7)+50)&lt;&gt;"","set "&amp;INDEX(CUEs!$A:$A,INT((ROW()-1)/7)*57+MOD(ROW()-1,7)+50)&amp;"=/ s "&amp;INDEX(CUEs!$B:$B,INT((ROW()-1)/7)*57+MOD(ROW()-1,7)+50),"")</f>
        <v/>
      </c>
    </row>
    <row r="5707" spans="1:1" x14ac:dyDescent="0.25">
      <c r="A5707" t="str" cm="1">
        <f t="array" ref="A5707">IF(INDEX(CUEs!$A:$A,INT((ROW()-1)/7)*57+MOD(ROW()-1,7)+50)&lt;&gt;"","set "&amp;INDEX(CUEs!$A:$A,INT((ROW()-1)/7)*57+MOD(ROW()-1,7)+50)&amp;"=/ s "&amp;INDEX(CUEs!$B:$B,INT((ROW()-1)/7)*57+MOD(ROW()-1,7)+50),"")</f>
        <v/>
      </c>
    </row>
    <row r="5708" spans="1:1" x14ac:dyDescent="0.25">
      <c r="A5708" t="str" cm="1">
        <f t="array" ref="A5708">IF(INDEX(CUEs!$A:$A,INT((ROW()-1)/7)*57+MOD(ROW()-1,7)+50)&lt;&gt;"","set "&amp;INDEX(CUEs!$A:$A,INT((ROW()-1)/7)*57+MOD(ROW()-1,7)+50)&amp;"=/ s "&amp;INDEX(CUEs!$B:$B,INT((ROW()-1)/7)*57+MOD(ROW()-1,7)+50),"")</f>
        <v/>
      </c>
    </row>
    <row r="5709" spans="1:1" x14ac:dyDescent="0.25">
      <c r="A5709" t="str" cm="1">
        <f t="array" ref="A5709">IF(INDEX(CUEs!$A:$A,INT((ROW()-1)/7)*57+MOD(ROW()-1,7)+50)&lt;&gt;"","set "&amp;INDEX(CUEs!$A:$A,INT((ROW()-1)/7)*57+MOD(ROW()-1,7)+50)&amp;"=/ s "&amp;INDEX(CUEs!$B:$B,INT((ROW()-1)/7)*57+MOD(ROW()-1,7)+50),"")</f>
        <v/>
      </c>
    </row>
    <row r="5710" spans="1:1" x14ac:dyDescent="0.25">
      <c r="A5710" t="str" cm="1">
        <f t="array" ref="A5710">IF(INDEX(CUEs!$A:$A,INT((ROW()-1)/7)*57+MOD(ROW()-1,7)+50)&lt;&gt;"","set "&amp;INDEX(CUEs!$A:$A,INT((ROW()-1)/7)*57+MOD(ROW()-1,7)+50)&amp;"=/ s "&amp;INDEX(CUEs!$B:$B,INT((ROW()-1)/7)*57+MOD(ROW()-1,7)+50),"")</f>
        <v/>
      </c>
    </row>
    <row r="5711" spans="1:1" x14ac:dyDescent="0.25">
      <c r="A5711" t="str" cm="1">
        <f t="array" ref="A5711">IF(INDEX(CUEs!$A:$A,INT((ROW()-1)/7)*57+MOD(ROW()-1,7)+50)&lt;&gt;"","set "&amp;INDEX(CUEs!$A:$A,INT((ROW()-1)/7)*57+MOD(ROW()-1,7)+50)&amp;"=/ s "&amp;INDEX(CUEs!$B:$B,INT((ROW()-1)/7)*57+MOD(ROW()-1,7)+50),"")</f>
        <v/>
      </c>
    </row>
    <row r="5712" spans="1:1" x14ac:dyDescent="0.25">
      <c r="A5712" t="str" cm="1">
        <f t="array" ref="A5712">IF(INDEX(CUEs!$A:$A,INT((ROW()-1)/7)*57+MOD(ROW()-1,7)+50)&lt;&gt;"","set "&amp;INDEX(CUEs!$A:$A,INT((ROW()-1)/7)*57+MOD(ROW()-1,7)+50)&amp;"=/ s "&amp;INDEX(CUEs!$B:$B,INT((ROW()-1)/7)*57+MOD(ROW()-1,7)+50),"")</f>
        <v/>
      </c>
    </row>
    <row r="5713" spans="1:1" x14ac:dyDescent="0.25">
      <c r="A5713" t="str" cm="1">
        <f t="array" ref="A5713">IF(INDEX(CUEs!$A:$A,INT((ROW()-1)/7)*57+MOD(ROW()-1,7)+50)&lt;&gt;"","set "&amp;INDEX(CUEs!$A:$A,INT((ROW()-1)/7)*57+MOD(ROW()-1,7)+50)&amp;"=/ s "&amp;INDEX(CUEs!$B:$B,INT((ROW()-1)/7)*57+MOD(ROW()-1,7)+50),"")</f>
        <v/>
      </c>
    </row>
    <row r="5714" spans="1:1" x14ac:dyDescent="0.25">
      <c r="A5714" t="str" cm="1">
        <f t="array" ref="A5714">IF(INDEX(CUEs!$A:$A,INT((ROW()-1)/7)*57+MOD(ROW()-1,7)+50)&lt;&gt;"","set "&amp;INDEX(CUEs!$A:$A,INT((ROW()-1)/7)*57+MOD(ROW()-1,7)+50)&amp;"=/ s "&amp;INDEX(CUEs!$B:$B,INT((ROW()-1)/7)*57+MOD(ROW()-1,7)+50),"")</f>
        <v/>
      </c>
    </row>
    <row r="5715" spans="1:1" x14ac:dyDescent="0.25">
      <c r="A5715" t="str" cm="1">
        <f t="array" ref="A5715">IF(INDEX(CUEs!$A:$A,INT((ROW()-1)/7)*57+MOD(ROW()-1,7)+50)&lt;&gt;"","set "&amp;INDEX(CUEs!$A:$A,INT((ROW()-1)/7)*57+MOD(ROW()-1,7)+50)&amp;"=/ s "&amp;INDEX(CUEs!$B:$B,INT((ROW()-1)/7)*57+MOD(ROW()-1,7)+50),"")</f>
        <v/>
      </c>
    </row>
    <row r="5716" spans="1:1" x14ac:dyDescent="0.25">
      <c r="A5716" t="str" cm="1">
        <f t="array" ref="A5716">IF(INDEX(CUEs!$A:$A,INT((ROW()-1)/7)*57+MOD(ROW()-1,7)+50)&lt;&gt;"","set "&amp;INDEX(CUEs!$A:$A,INT((ROW()-1)/7)*57+MOD(ROW()-1,7)+50)&amp;"=/ s "&amp;INDEX(CUEs!$B:$B,INT((ROW()-1)/7)*57+MOD(ROW()-1,7)+50),"")</f>
        <v/>
      </c>
    </row>
    <row r="5717" spans="1:1" x14ac:dyDescent="0.25">
      <c r="A5717" t="str" cm="1">
        <f t="array" ref="A5717">IF(INDEX(CUEs!$A:$A,INT((ROW()-1)/7)*57+MOD(ROW()-1,7)+50)&lt;&gt;"","set "&amp;INDEX(CUEs!$A:$A,INT((ROW()-1)/7)*57+MOD(ROW()-1,7)+50)&amp;"=/ s "&amp;INDEX(CUEs!$B:$B,INT((ROW()-1)/7)*57+MOD(ROW()-1,7)+50),"")</f>
        <v/>
      </c>
    </row>
    <row r="5718" spans="1:1" x14ac:dyDescent="0.25">
      <c r="A5718" t="str" cm="1">
        <f t="array" ref="A5718">IF(INDEX(CUEs!$A:$A,INT((ROW()-1)/7)*57+MOD(ROW()-1,7)+50)&lt;&gt;"","set "&amp;INDEX(CUEs!$A:$A,INT((ROW()-1)/7)*57+MOD(ROW()-1,7)+50)&amp;"=/ s "&amp;INDEX(CUEs!$B:$B,INT((ROW()-1)/7)*57+MOD(ROW()-1,7)+50),"")</f>
        <v/>
      </c>
    </row>
    <row r="5719" spans="1:1" x14ac:dyDescent="0.25">
      <c r="A5719" t="str" cm="1">
        <f t="array" ref="A5719">IF(INDEX(CUEs!$A:$A,INT((ROW()-1)/7)*57+MOD(ROW()-1,7)+50)&lt;&gt;"","set "&amp;INDEX(CUEs!$A:$A,INT((ROW()-1)/7)*57+MOD(ROW()-1,7)+50)&amp;"=/ s "&amp;INDEX(CUEs!$B:$B,INT((ROW()-1)/7)*57+MOD(ROW()-1,7)+50),"")</f>
        <v/>
      </c>
    </row>
    <row r="5720" spans="1:1" x14ac:dyDescent="0.25">
      <c r="A5720" t="str" cm="1">
        <f t="array" ref="A5720">IF(INDEX(CUEs!$A:$A,INT((ROW()-1)/7)*57+MOD(ROW()-1,7)+50)&lt;&gt;"","set "&amp;INDEX(CUEs!$A:$A,INT((ROW()-1)/7)*57+MOD(ROW()-1,7)+50)&amp;"=/ s "&amp;INDEX(CUEs!$B:$B,INT((ROW()-1)/7)*57+MOD(ROW()-1,7)+50),"")</f>
        <v/>
      </c>
    </row>
    <row r="5721" spans="1:1" x14ac:dyDescent="0.25">
      <c r="A5721" t="str" cm="1">
        <f t="array" ref="A5721">IF(INDEX(CUEs!$A:$A,INT((ROW()-1)/7)*57+MOD(ROW()-1,7)+50)&lt;&gt;"","set "&amp;INDEX(CUEs!$A:$A,INT((ROW()-1)/7)*57+MOD(ROW()-1,7)+50)&amp;"=/ s "&amp;INDEX(CUEs!$B:$B,INT((ROW()-1)/7)*57+MOD(ROW()-1,7)+50),"")</f>
        <v/>
      </c>
    </row>
    <row r="5722" spans="1:1" x14ac:dyDescent="0.25">
      <c r="A5722" t="str" cm="1">
        <f t="array" ref="A5722">IF(INDEX(CUEs!$A:$A,INT((ROW()-1)/7)*57+MOD(ROW()-1,7)+50)&lt;&gt;"","set "&amp;INDEX(CUEs!$A:$A,INT((ROW()-1)/7)*57+MOD(ROW()-1,7)+50)&amp;"=/ s "&amp;INDEX(CUEs!$B:$B,INT((ROW()-1)/7)*57+MOD(ROW()-1,7)+50),"")</f>
        <v/>
      </c>
    </row>
    <row r="5723" spans="1:1" x14ac:dyDescent="0.25">
      <c r="A5723" t="str" cm="1">
        <f t="array" ref="A5723">IF(INDEX(CUEs!$A:$A,INT((ROW()-1)/7)*57+MOD(ROW()-1,7)+50)&lt;&gt;"","set "&amp;INDEX(CUEs!$A:$A,INT((ROW()-1)/7)*57+MOD(ROW()-1,7)+50)&amp;"=/ s "&amp;INDEX(CUEs!$B:$B,INT((ROW()-1)/7)*57+MOD(ROW()-1,7)+50),"")</f>
        <v/>
      </c>
    </row>
    <row r="5724" spans="1:1" x14ac:dyDescent="0.25">
      <c r="A5724" t="str" cm="1">
        <f t="array" ref="A5724">IF(INDEX(CUEs!$A:$A,INT((ROW()-1)/7)*57+MOD(ROW()-1,7)+50)&lt;&gt;"","set "&amp;INDEX(CUEs!$A:$A,INT((ROW()-1)/7)*57+MOD(ROW()-1,7)+50)&amp;"=/ s "&amp;INDEX(CUEs!$B:$B,INT((ROW()-1)/7)*57+MOD(ROW()-1,7)+50),"")</f>
        <v/>
      </c>
    </row>
    <row r="5725" spans="1:1" x14ac:dyDescent="0.25">
      <c r="A5725" t="str" cm="1">
        <f t="array" ref="A5725">IF(INDEX(CUEs!$A:$A,INT((ROW()-1)/7)*57+MOD(ROW()-1,7)+50)&lt;&gt;"","set "&amp;INDEX(CUEs!$A:$A,INT((ROW()-1)/7)*57+MOD(ROW()-1,7)+50)&amp;"=/ s "&amp;INDEX(CUEs!$B:$B,INT((ROW()-1)/7)*57+MOD(ROW()-1,7)+50),"")</f>
        <v/>
      </c>
    </row>
    <row r="5726" spans="1:1" x14ac:dyDescent="0.25">
      <c r="A5726" t="str" cm="1">
        <f t="array" ref="A5726">IF(INDEX(CUEs!$A:$A,INT((ROW()-1)/7)*57+MOD(ROW()-1,7)+50)&lt;&gt;"","set "&amp;INDEX(CUEs!$A:$A,INT((ROW()-1)/7)*57+MOD(ROW()-1,7)+50)&amp;"=/ s "&amp;INDEX(CUEs!$B:$B,INT((ROW()-1)/7)*57+MOD(ROW()-1,7)+50),"")</f>
        <v/>
      </c>
    </row>
    <row r="5727" spans="1:1" x14ac:dyDescent="0.25">
      <c r="A5727" t="str" cm="1">
        <f t="array" ref="A5727">IF(INDEX(CUEs!$A:$A,INT((ROW()-1)/7)*57+MOD(ROW()-1,7)+50)&lt;&gt;"","set "&amp;INDEX(CUEs!$A:$A,INT((ROW()-1)/7)*57+MOD(ROW()-1,7)+50)&amp;"=/ s "&amp;INDEX(CUEs!$B:$B,INT((ROW()-1)/7)*57+MOD(ROW()-1,7)+50),"")</f>
        <v/>
      </c>
    </row>
    <row r="5728" spans="1:1" x14ac:dyDescent="0.25">
      <c r="A5728" t="str" cm="1">
        <f t="array" ref="A5728">IF(INDEX(CUEs!$A:$A,INT((ROW()-1)/7)*57+MOD(ROW()-1,7)+50)&lt;&gt;"","set "&amp;INDEX(CUEs!$A:$A,INT((ROW()-1)/7)*57+MOD(ROW()-1,7)+50)&amp;"=/ s "&amp;INDEX(CUEs!$B:$B,INT((ROW()-1)/7)*57+MOD(ROW()-1,7)+50),"")</f>
        <v/>
      </c>
    </row>
    <row r="5729" spans="1:1" x14ac:dyDescent="0.25">
      <c r="A5729" t="str" cm="1">
        <f t="array" ref="A5729">IF(INDEX(CUEs!$A:$A,INT((ROW()-1)/7)*57+MOD(ROW()-1,7)+50)&lt;&gt;"","set "&amp;INDEX(CUEs!$A:$A,INT((ROW()-1)/7)*57+MOD(ROW()-1,7)+50)&amp;"=/ s "&amp;INDEX(CUEs!$B:$B,INT((ROW()-1)/7)*57+MOD(ROW()-1,7)+50),"")</f>
        <v/>
      </c>
    </row>
    <row r="5730" spans="1:1" x14ac:dyDescent="0.25">
      <c r="A5730" t="str" cm="1">
        <f t="array" ref="A5730">IF(INDEX(CUEs!$A:$A,INT((ROW()-1)/7)*57+MOD(ROW()-1,7)+50)&lt;&gt;"","set "&amp;INDEX(CUEs!$A:$A,INT((ROW()-1)/7)*57+MOD(ROW()-1,7)+50)&amp;"=/ s "&amp;INDEX(CUEs!$B:$B,INT((ROW()-1)/7)*57+MOD(ROW()-1,7)+50),"")</f>
        <v/>
      </c>
    </row>
    <row r="5731" spans="1:1" x14ac:dyDescent="0.25">
      <c r="A5731" t="str" cm="1">
        <f t="array" ref="A5731">IF(INDEX(CUEs!$A:$A,INT((ROW()-1)/7)*57+MOD(ROW()-1,7)+50)&lt;&gt;"","set "&amp;INDEX(CUEs!$A:$A,INT((ROW()-1)/7)*57+MOD(ROW()-1,7)+50)&amp;"=/ s "&amp;INDEX(CUEs!$B:$B,INT((ROW()-1)/7)*57+MOD(ROW()-1,7)+50),"")</f>
        <v/>
      </c>
    </row>
    <row r="5732" spans="1:1" x14ac:dyDescent="0.25">
      <c r="A5732" t="str" cm="1">
        <f t="array" ref="A5732">IF(INDEX(CUEs!$A:$A,INT((ROW()-1)/7)*57+MOD(ROW()-1,7)+50)&lt;&gt;"","set "&amp;INDEX(CUEs!$A:$A,INT((ROW()-1)/7)*57+MOD(ROW()-1,7)+50)&amp;"=/ s "&amp;INDEX(CUEs!$B:$B,INT((ROW()-1)/7)*57+MOD(ROW()-1,7)+50),"")</f>
        <v/>
      </c>
    </row>
    <row r="5733" spans="1:1" x14ac:dyDescent="0.25">
      <c r="A5733" t="str" cm="1">
        <f t="array" ref="A5733">IF(INDEX(CUEs!$A:$A,INT((ROW()-1)/7)*57+MOD(ROW()-1,7)+50)&lt;&gt;"","set "&amp;INDEX(CUEs!$A:$A,INT((ROW()-1)/7)*57+MOD(ROW()-1,7)+50)&amp;"=/ s "&amp;INDEX(CUEs!$B:$B,INT((ROW()-1)/7)*57+MOD(ROW()-1,7)+50),"")</f>
        <v/>
      </c>
    </row>
    <row r="5734" spans="1:1" x14ac:dyDescent="0.25">
      <c r="A5734" t="str" cm="1">
        <f t="array" ref="A5734">IF(INDEX(CUEs!$A:$A,INT((ROW()-1)/7)*57+MOD(ROW()-1,7)+50)&lt;&gt;"","set "&amp;INDEX(CUEs!$A:$A,INT((ROW()-1)/7)*57+MOD(ROW()-1,7)+50)&amp;"=/ s "&amp;INDEX(CUEs!$B:$B,INT((ROW()-1)/7)*57+MOD(ROW()-1,7)+50),"")</f>
        <v/>
      </c>
    </row>
    <row r="5735" spans="1:1" x14ac:dyDescent="0.25">
      <c r="A5735" t="str" cm="1">
        <f t="array" ref="A5735">IF(INDEX(CUEs!$A:$A,INT((ROW()-1)/7)*57+MOD(ROW()-1,7)+50)&lt;&gt;"","set "&amp;INDEX(CUEs!$A:$A,INT((ROW()-1)/7)*57+MOD(ROW()-1,7)+50)&amp;"=/ s "&amp;INDEX(CUEs!$B:$B,INT((ROW()-1)/7)*57+MOD(ROW()-1,7)+50),"")</f>
        <v/>
      </c>
    </row>
    <row r="5736" spans="1:1" x14ac:dyDescent="0.25">
      <c r="A5736" t="str" cm="1">
        <f t="array" ref="A5736">IF(INDEX(CUEs!$A:$A,INT((ROW()-1)/7)*57+MOD(ROW()-1,7)+50)&lt;&gt;"","set "&amp;INDEX(CUEs!$A:$A,INT((ROW()-1)/7)*57+MOD(ROW()-1,7)+50)&amp;"=/ s "&amp;INDEX(CUEs!$B:$B,INT((ROW()-1)/7)*57+MOD(ROW()-1,7)+50),"")</f>
        <v/>
      </c>
    </row>
    <row r="5737" spans="1:1" x14ac:dyDescent="0.25">
      <c r="A5737" t="str" cm="1">
        <f t="array" ref="A5737">IF(INDEX(CUEs!$A:$A,INT((ROW()-1)/7)*57+MOD(ROW()-1,7)+50)&lt;&gt;"","set "&amp;INDEX(CUEs!$A:$A,INT((ROW()-1)/7)*57+MOD(ROW()-1,7)+50)&amp;"=/ s "&amp;INDEX(CUEs!$B:$B,INT((ROW()-1)/7)*57+MOD(ROW()-1,7)+50),"")</f>
        <v/>
      </c>
    </row>
    <row r="5738" spans="1:1" x14ac:dyDescent="0.25">
      <c r="A5738" t="str" cm="1">
        <f t="array" ref="A5738">IF(INDEX(CUEs!$A:$A,INT((ROW()-1)/7)*57+MOD(ROW()-1,7)+50)&lt;&gt;"","set "&amp;INDEX(CUEs!$A:$A,INT((ROW()-1)/7)*57+MOD(ROW()-1,7)+50)&amp;"=/ s "&amp;INDEX(CUEs!$B:$B,INT((ROW()-1)/7)*57+MOD(ROW()-1,7)+50),"")</f>
        <v/>
      </c>
    </row>
    <row r="5739" spans="1:1" x14ac:dyDescent="0.25">
      <c r="A5739" t="str" cm="1">
        <f t="array" ref="A5739">IF(INDEX(CUEs!$A:$A,INT((ROW()-1)/7)*57+MOD(ROW()-1,7)+50)&lt;&gt;"","set "&amp;INDEX(CUEs!$A:$A,INT((ROW()-1)/7)*57+MOD(ROW()-1,7)+50)&amp;"=/ s "&amp;INDEX(CUEs!$B:$B,INT((ROW()-1)/7)*57+MOD(ROW()-1,7)+50),"")</f>
        <v/>
      </c>
    </row>
    <row r="5740" spans="1:1" x14ac:dyDescent="0.25">
      <c r="A5740" t="str" cm="1">
        <f t="array" ref="A5740">IF(INDEX(CUEs!$A:$A,INT((ROW()-1)/7)*57+MOD(ROW()-1,7)+50)&lt;&gt;"","set "&amp;INDEX(CUEs!$A:$A,INT((ROW()-1)/7)*57+MOD(ROW()-1,7)+50)&amp;"=/ s "&amp;INDEX(CUEs!$B:$B,INT((ROW()-1)/7)*57+MOD(ROW()-1,7)+50),"")</f>
        <v/>
      </c>
    </row>
    <row r="5741" spans="1:1" x14ac:dyDescent="0.25">
      <c r="A5741" t="str" cm="1">
        <f t="array" ref="A5741">IF(INDEX(CUEs!$A:$A,INT((ROW()-1)/7)*57+MOD(ROW()-1,7)+50)&lt;&gt;"","set "&amp;INDEX(CUEs!$A:$A,INT((ROW()-1)/7)*57+MOD(ROW()-1,7)+50)&amp;"=/ s "&amp;INDEX(CUEs!$B:$B,INT((ROW()-1)/7)*57+MOD(ROW()-1,7)+50),"")</f>
        <v/>
      </c>
    </row>
    <row r="5742" spans="1:1" x14ac:dyDescent="0.25">
      <c r="A5742" t="str" cm="1">
        <f t="array" ref="A5742">IF(INDEX(CUEs!$A:$A,INT((ROW()-1)/7)*57+MOD(ROW()-1,7)+50)&lt;&gt;"","set "&amp;INDEX(CUEs!$A:$A,INT((ROW()-1)/7)*57+MOD(ROW()-1,7)+50)&amp;"=/ s "&amp;INDEX(CUEs!$B:$B,INT((ROW()-1)/7)*57+MOD(ROW()-1,7)+50),"")</f>
        <v/>
      </c>
    </row>
    <row r="5743" spans="1:1" x14ac:dyDescent="0.25">
      <c r="A5743" t="str" cm="1">
        <f t="array" ref="A5743">IF(INDEX(CUEs!$A:$A,INT((ROW()-1)/7)*57+MOD(ROW()-1,7)+50)&lt;&gt;"","set "&amp;INDEX(CUEs!$A:$A,INT((ROW()-1)/7)*57+MOD(ROW()-1,7)+50)&amp;"=/ s "&amp;INDEX(CUEs!$B:$B,INT((ROW()-1)/7)*57+MOD(ROW()-1,7)+50),"")</f>
        <v/>
      </c>
    </row>
    <row r="5744" spans="1:1" x14ac:dyDescent="0.25">
      <c r="A5744" t="str" cm="1">
        <f t="array" ref="A5744">IF(INDEX(CUEs!$A:$A,INT((ROW()-1)/7)*57+MOD(ROW()-1,7)+50)&lt;&gt;"","set "&amp;INDEX(CUEs!$A:$A,INT((ROW()-1)/7)*57+MOD(ROW()-1,7)+50)&amp;"=/ s "&amp;INDEX(CUEs!$B:$B,INT((ROW()-1)/7)*57+MOD(ROW()-1,7)+50),"")</f>
        <v/>
      </c>
    </row>
    <row r="5745" spans="1:1" x14ac:dyDescent="0.25">
      <c r="A5745" t="str" cm="1">
        <f t="array" ref="A5745">IF(INDEX(CUEs!$A:$A,INT((ROW()-1)/7)*57+MOD(ROW()-1,7)+50)&lt;&gt;"","set "&amp;INDEX(CUEs!$A:$A,INT((ROW()-1)/7)*57+MOD(ROW()-1,7)+50)&amp;"=/ s "&amp;INDEX(CUEs!$B:$B,INT((ROW()-1)/7)*57+MOD(ROW()-1,7)+50),"")</f>
        <v/>
      </c>
    </row>
    <row r="5746" spans="1:1" x14ac:dyDescent="0.25">
      <c r="A5746" t="str" cm="1">
        <f t="array" ref="A5746">IF(INDEX(CUEs!$A:$A,INT((ROW()-1)/7)*57+MOD(ROW()-1,7)+50)&lt;&gt;"","set "&amp;INDEX(CUEs!$A:$A,INT((ROW()-1)/7)*57+MOD(ROW()-1,7)+50)&amp;"=/ s "&amp;INDEX(CUEs!$B:$B,INT((ROW()-1)/7)*57+MOD(ROW()-1,7)+50),"")</f>
        <v/>
      </c>
    </row>
    <row r="5747" spans="1:1" x14ac:dyDescent="0.25">
      <c r="A5747" t="str" cm="1">
        <f t="array" ref="A5747">IF(INDEX(CUEs!$A:$A,INT((ROW()-1)/7)*57+MOD(ROW()-1,7)+50)&lt;&gt;"","set "&amp;INDEX(CUEs!$A:$A,INT((ROW()-1)/7)*57+MOD(ROW()-1,7)+50)&amp;"=/ s "&amp;INDEX(CUEs!$B:$B,INT((ROW()-1)/7)*57+MOD(ROW()-1,7)+50),"")</f>
        <v/>
      </c>
    </row>
    <row r="5748" spans="1:1" x14ac:dyDescent="0.25">
      <c r="A5748" t="str" cm="1">
        <f t="array" ref="A5748">IF(INDEX(CUEs!$A:$A,INT((ROW()-1)/7)*57+MOD(ROW()-1,7)+50)&lt;&gt;"","set "&amp;INDEX(CUEs!$A:$A,INT((ROW()-1)/7)*57+MOD(ROW()-1,7)+50)&amp;"=/ s "&amp;INDEX(CUEs!$B:$B,INT((ROW()-1)/7)*57+MOD(ROW()-1,7)+50),"")</f>
        <v/>
      </c>
    </row>
    <row r="5749" spans="1:1" x14ac:dyDescent="0.25">
      <c r="A5749" t="str" cm="1">
        <f t="array" ref="A5749">IF(INDEX(CUEs!$A:$A,INT((ROW()-1)/7)*57+MOD(ROW()-1,7)+50)&lt;&gt;"","set "&amp;INDEX(CUEs!$A:$A,INT((ROW()-1)/7)*57+MOD(ROW()-1,7)+50)&amp;"=/ s "&amp;INDEX(CUEs!$B:$B,INT((ROW()-1)/7)*57+MOD(ROW()-1,7)+50),"")</f>
        <v/>
      </c>
    </row>
    <row r="5750" spans="1:1" x14ac:dyDescent="0.25">
      <c r="A5750" t="str" cm="1">
        <f t="array" ref="A5750">IF(INDEX(CUEs!$A:$A,INT((ROW()-1)/7)*57+MOD(ROW()-1,7)+50)&lt;&gt;"","set "&amp;INDEX(CUEs!$A:$A,INT((ROW()-1)/7)*57+MOD(ROW()-1,7)+50)&amp;"=/ s "&amp;INDEX(CUEs!$B:$B,INT((ROW()-1)/7)*57+MOD(ROW()-1,7)+50),"")</f>
        <v/>
      </c>
    </row>
    <row r="5751" spans="1:1" x14ac:dyDescent="0.25">
      <c r="A5751" t="str" cm="1">
        <f t="array" ref="A5751">IF(INDEX(CUEs!$A:$A,INT((ROW()-1)/7)*57+MOD(ROW()-1,7)+50)&lt;&gt;"","set "&amp;INDEX(CUEs!$A:$A,INT((ROW()-1)/7)*57+MOD(ROW()-1,7)+50)&amp;"=/ s "&amp;INDEX(CUEs!$B:$B,INT((ROW()-1)/7)*57+MOD(ROW()-1,7)+50),"")</f>
        <v/>
      </c>
    </row>
    <row r="5752" spans="1:1" x14ac:dyDescent="0.25">
      <c r="A5752" t="str" cm="1">
        <f t="array" ref="A5752">IF(INDEX(CUEs!$A:$A,INT((ROW()-1)/7)*57+MOD(ROW()-1,7)+50)&lt;&gt;"","set "&amp;INDEX(CUEs!$A:$A,INT((ROW()-1)/7)*57+MOD(ROW()-1,7)+50)&amp;"=/ s "&amp;INDEX(CUEs!$B:$B,INT((ROW()-1)/7)*57+MOD(ROW()-1,7)+50),"")</f>
        <v/>
      </c>
    </row>
    <row r="5753" spans="1:1" x14ac:dyDescent="0.25">
      <c r="A5753" t="str" cm="1">
        <f t="array" ref="A5753">IF(INDEX(CUEs!$A:$A,INT((ROW()-1)/7)*57+MOD(ROW()-1,7)+50)&lt;&gt;"","set "&amp;INDEX(CUEs!$A:$A,INT((ROW()-1)/7)*57+MOD(ROW()-1,7)+50)&amp;"=/ s "&amp;INDEX(CUEs!$B:$B,INT((ROW()-1)/7)*57+MOD(ROW()-1,7)+50),"")</f>
        <v/>
      </c>
    </row>
    <row r="5754" spans="1:1" x14ac:dyDescent="0.25">
      <c r="A5754" t="str" cm="1">
        <f t="array" ref="A5754">IF(INDEX(CUEs!$A:$A,INT((ROW()-1)/7)*57+MOD(ROW()-1,7)+50)&lt;&gt;"","set "&amp;INDEX(CUEs!$A:$A,INT((ROW()-1)/7)*57+MOD(ROW()-1,7)+50)&amp;"=/ s "&amp;INDEX(CUEs!$B:$B,INT((ROW()-1)/7)*57+MOD(ROW()-1,7)+50),"")</f>
        <v/>
      </c>
    </row>
    <row r="5755" spans="1:1" x14ac:dyDescent="0.25">
      <c r="A5755" t="str" cm="1">
        <f t="array" ref="A5755">IF(INDEX(CUEs!$A:$A,INT((ROW()-1)/7)*57+MOD(ROW()-1,7)+50)&lt;&gt;"","set "&amp;INDEX(CUEs!$A:$A,INT((ROW()-1)/7)*57+MOD(ROW()-1,7)+50)&amp;"=/ s "&amp;INDEX(CUEs!$B:$B,INT((ROW()-1)/7)*57+MOD(ROW()-1,7)+50),"")</f>
        <v/>
      </c>
    </row>
    <row r="5756" spans="1:1" x14ac:dyDescent="0.25">
      <c r="A5756" t="str" cm="1">
        <f t="array" ref="A5756">IF(INDEX(CUEs!$A:$A,INT((ROW()-1)/7)*57+MOD(ROW()-1,7)+50)&lt;&gt;"","set "&amp;INDEX(CUEs!$A:$A,INT((ROW()-1)/7)*57+MOD(ROW()-1,7)+50)&amp;"=/ s "&amp;INDEX(CUEs!$B:$B,INT((ROW()-1)/7)*57+MOD(ROW()-1,7)+50),"")</f>
        <v/>
      </c>
    </row>
    <row r="5757" spans="1:1" x14ac:dyDescent="0.25">
      <c r="A5757" t="str" cm="1">
        <f t="array" ref="A5757">IF(INDEX(CUEs!$A:$A,INT((ROW()-1)/7)*57+MOD(ROW()-1,7)+50)&lt;&gt;"","set "&amp;INDEX(CUEs!$A:$A,INT((ROW()-1)/7)*57+MOD(ROW()-1,7)+50)&amp;"=/ s "&amp;INDEX(CUEs!$B:$B,INT((ROW()-1)/7)*57+MOD(ROW()-1,7)+50),"")</f>
        <v/>
      </c>
    </row>
    <row r="5758" spans="1:1" x14ac:dyDescent="0.25">
      <c r="A5758" t="str" cm="1">
        <f t="array" ref="A5758">IF(INDEX(CUEs!$A:$A,INT((ROW()-1)/7)*57+MOD(ROW()-1,7)+50)&lt;&gt;"","set "&amp;INDEX(CUEs!$A:$A,INT((ROW()-1)/7)*57+MOD(ROW()-1,7)+50)&amp;"=/ s "&amp;INDEX(CUEs!$B:$B,INT((ROW()-1)/7)*57+MOD(ROW()-1,7)+50),"")</f>
        <v/>
      </c>
    </row>
    <row r="5759" spans="1:1" x14ac:dyDescent="0.25">
      <c r="A5759" t="str" cm="1">
        <f t="array" ref="A5759">IF(INDEX(CUEs!$A:$A,INT((ROW()-1)/7)*57+MOD(ROW()-1,7)+50)&lt;&gt;"","set "&amp;INDEX(CUEs!$A:$A,INT((ROW()-1)/7)*57+MOD(ROW()-1,7)+50)&amp;"=/ s "&amp;INDEX(CUEs!$B:$B,INT((ROW()-1)/7)*57+MOD(ROW()-1,7)+50),"")</f>
        <v/>
      </c>
    </row>
    <row r="5760" spans="1:1" x14ac:dyDescent="0.25">
      <c r="A5760" t="str" cm="1">
        <f t="array" ref="A5760">IF(INDEX(CUEs!$A:$A,INT((ROW()-1)/7)*57+MOD(ROW()-1,7)+50)&lt;&gt;"","set "&amp;INDEX(CUEs!$A:$A,INT((ROW()-1)/7)*57+MOD(ROW()-1,7)+50)&amp;"=/ s "&amp;INDEX(CUEs!$B:$B,INT((ROW()-1)/7)*57+MOD(ROW()-1,7)+50),"")</f>
        <v/>
      </c>
    </row>
    <row r="5761" spans="1:1" x14ac:dyDescent="0.25">
      <c r="A5761" t="str" cm="1">
        <f t="array" ref="A5761">IF(INDEX(CUEs!$A:$A,INT((ROW()-1)/7)*57+MOD(ROW()-1,7)+50)&lt;&gt;"","set "&amp;INDEX(CUEs!$A:$A,INT((ROW()-1)/7)*57+MOD(ROW()-1,7)+50)&amp;"=/ s "&amp;INDEX(CUEs!$B:$B,INT((ROW()-1)/7)*57+MOD(ROW()-1,7)+50),"")</f>
        <v/>
      </c>
    </row>
    <row r="5762" spans="1:1" x14ac:dyDescent="0.25">
      <c r="A5762" t="str" cm="1">
        <f t="array" ref="A5762">IF(INDEX(CUEs!$A:$A,INT((ROW()-1)/7)*57+MOD(ROW()-1,7)+50)&lt;&gt;"","set "&amp;INDEX(CUEs!$A:$A,INT((ROW()-1)/7)*57+MOD(ROW()-1,7)+50)&amp;"=/ s "&amp;INDEX(CUEs!$B:$B,INT((ROW()-1)/7)*57+MOD(ROW()-1,7)+50),"")</f>
        <v/>
      </c>
    </row>
    <row r="5763" spans="1:1" x14ac:dyDescent="0.25">
      <c r="A5763" t="str" cm="1">
        <f t="array" ref="A5763">IF(INDEX(CUEs!$A:$A,INT((ROW()-1)/7)*57+MOD(ROW()-1,7)+50)&lt;&gt;"","set "&amp;INDEX(CUEs!$A:$A,INT((ROW()-1)/7)*57+MOD(ROW()-1,7)+50)&amp;"=/ s "&amp;INDEX(CUEs!$B:$B,INT((ROW()-1)/7)*57+MOD(ROW()-1,7)+50),"")</f>
        <v/>
      </c>
    </row>
    <row r="5764" spans="1:1" x14ac:dyDescent="0.25">
      <c r="A5764" t="str" cm="1">
        <f t="array" ref="A5764">IF(INDEX(CUEs!$A:$A,INT((ROW()-1)/7)*57+MOD(ROW()-1,7)+50)&lt;&gt;"","set "&amp;INDEX(CUEs!$A:$A,INT((ROW()-1)/7)*57+MOD(ROW()-1,7)+50)&amp;"=/ s "&amp;INDEX(CUEs!$B:$B,INT((ROW()-1)/7)*57+MOD(ROW()-1,7)+50),"")</f>
        <v/>
      </c>
    </row>
    <row r="5765" spans="1:1" x14ac:dyDescent="0.25">
      <c r="A5765" t="str" cm="1">
        <f t="array" ref="A5765">IF(INDEX(CUEs!$A:$A,INT((ROW()-1)/7)*57+MOD(ROW()-1,7)+50)&lt;&gt;"","set "&amp;INDEX(CUEs!$A:$A,INT((ROW()-1)/7)*57+MOD(ROW()-1,7)+50)&amp;"=/ s "&amp;INDEX(CUEs!$B:$B,INT((ROW()-1)/7)*57+MOD(ROW()-1,7)+50),"")</f>
        <v/>
      </c>
    </row>
    <row r="5766" spans="1:1" x14ac:dyDescent="0.25">
      <c r="A5766" t="str" cm="1">
        <f t="array" ref="A5766">IF(INDEX(CUEs!$A:$A,INT((ROW()-1)/7)*57+MOD(ROW()-1,7)+50)&lt;&gt;"","set "&amp;INDEX(CUEs!$A:$A,INT((ROW()-1)/7)*57+MOD(ROW()-1,7)+50)&amp;"=/ s "&amp;INDEX(CUEs!$B:$B,INT((ROW()-1)/7)*57+MOD(ROW()-1,7)+50),"")</f>
        <v/>
      </c>
    </row>
    <row r="5767" spans="1:1" x14ac:dyDescent="0.25">
      <c r="A5767" t="str" cm="1">
        <f t="array" ref="A5767">IF(INDEX(CUEs!$A:$A,INT((ROW()-1)/7)*57+MOD(ROW()-1,7)+50)&lt;&gt;"","set "&amp;INDEX(CUEs!$A:$A,INT((ROW()-1)/7)*57+MOD(ROW()-1,7)+50)&amp;"=/ s "&amp;INDEX(CUEs!$B:$B,INT((ROW()-1)/7)*57+MOD(ROW()-1,7)+50),"")</f>
        <v/>
      </c>
    </row>
    <row r="5768" spans="1:1" x14ac:dyDescent="0.25">
      <c r="A5768" t="str" cm="1">
        <f t="array" ref="A5768">IF(INDEX(CUEs!$A:$A,INT((ROW()-1)/7)*57+MOD(ROW()-1,7)+50)&lt;&gt;"","set "&amp;INDEX(CUEs!$A:$A,INT((ROW()-1)/7)*57+MOD(ROW()-1,7)+50)&amp;"=/ s "&amp;INDEX(CUEs!$B:$B,INT((ROW()-1)/7)*57+MOD(ROW()-1,7)+50),"")</f>
        <v/>
      </c>
    </row>
    <row r="5769" spans="1:1" x14ac:dyDescent="0.25">
      <c r="A5769" t="str" cm="1">
        <f t="array" ref="A5769">IF(INDEX(CUEs!$A:$A,INT((ROW()-1)/7)*57+MOD(ROW()-1,7)+50)&lt;&gt;"","set "&amp;INDEX(CUEs!$A:$A,INT((ROW()-1)/7)*57+MOD(ROW()-1,7)+50)&amp;"=/ s "&amp;INDEX(CUEs!$B:$B,INT((ROW()-1)/7)*57+MOD(ROW()-1,7)+50),"")</f>
        <v/>
      </c>
    </row>
    <row r="5770" spans="1:1" x14ac:dyDescent="0.25">
      <c r="A5770" t="str" cm="1">
        <f t="array" ref="A5770">IF(INDEX(CUEs!$A:$A,INT((ROW()-1)/7)*57+MOD(ROW()-1,7)+50)&lt;&gt;"","set "&amp;INDEX(CUEs!$A:$A,INT((ROW()-1)/7)*57+MOD(ROW()-1,7)+50)&amp;"=/ s "&amp;INDEX(CUEs!$B:$B,INT((ROW()-1)/7)*57+MOD(ROW()-1,7)+50),"")</f>
        <v/>
      </c>
    </row>
    <row r="5771" spans="1:1" x14ac:dyDescent="0.25">
      <c r="A5771" t="str" cm="1">
        <f t="array" ref="A5771">IF(INDEX(CUEs!$A:$A,INT((ROW()-1)/7)*57+MOD(ROW()-1,7)+50)&lt;&gt;"","set "&amp;INDEX(CUEs!$A:$A,INT((ROW()-1)/7)*57+MOD(ROW()-1,7)+50)&amp;"=/ s "&amp;INDEX(CUEs!$B:$B,INT((ROW()-1)/7)*57+MOD(ROW()-1,7)+50),"")</f>
        <v/>
      </c>
    </row>
    <row r="5772" spans="1:1" x14ac:dyDescent="0.25">
      <c r="A5772" t="str" cm="1">
        <f t="array" ref="A5772">IF(INDEX(CUEs!$A:$A,INT((ROW()-1)/7)*57+MOD(ROW()-1,7)+50)&lt;&gt;"","set "&amp;INDEX(CUEs!$A:$A,INT((ROW()-1)/7)*57+MOD(ROW()-1,7)+50)&amp;"=/ s "&amp;INDEX(CUEs!$B:$B,INT((ROW()-1)/7)*57+MOD(ROW()-1,7)+50),"")</f>
        <v/>
      </c>
    </row>
    <row r="5773" spans="1:1" x14ac:dyDescent="0.25">
      <c r="A5773" t="str" cm="1">
        <f t="array" ref="A5773">IF(INDEX(CUEs!$A:$A,INT((ROW()-1)/7)*57+MOD(ROW()-1,7)+50)&lt;&gt;"","set "&amp;INDEX(CUEs!$A:$A,INT((ROW()-1)/7)*57+MOD(ROW()-1,7)+50)&amp;"=/ s "&amp;INDEX(CUEs!$B:$B,INT((ROW()-1)/7)*57+MOD(ROW()-1,7)+50),"")</f>
        <v/>
      </c>
    </row>
    <row r="5774" spans="1:1" x14ac:dyDescent="0.25">
      <c r="A5774" t="str" cm="1">
        <f t="array" ref="A5774">IF(INDEX(CUEs!$A:$A,INT((ROW()-1)/7)*57+MOD(ROW()-1,7)+50)&lt;&gt;"","set "&amp;INDEX(CUEs!$A:$A,INT((ROW()-1)/7)*57+MOD(ROW()-1,7)+50)&amp;"=/ s "&amp;INDEX(CUEs!$B:$B,INT((ROW()-1)/7)*57+MOD(ROW()-1,7)+50),"")</f>
        <v/>
      </c>
    </row>
    <row r="5775" spans="1:1" x14ac:dyDescent="0.25">
      <c r="A5775" t="str" cm="1">
        <f t="array" ref="A5775">IF(INDEX(CUEs!$A:$A,INT((ROW()-1)/7)*57+MOD(ROW()-1,7)+50)&lt;&gt;"","set "&amp;INDEX(CUEs!$A:$A,INT((ROW()-1)/7)*57+MOD(ROW()-1,7)+50)&amp;"=/ s "&amp;INDEX(CUEs!$B:$B,INT((ROW()-1)/7)*57+MOD(ROW()-1,7)+50),"")</f>
        <v/>
      </c>
    </row>
    <row r="5776" spans="1:1" x14ac:dyDescent="0.25">
      <c r="A5776" t="str" cm="1">
        <f t="array" ref="A5776">IF(INDEX(CUEs!$A:$A,INT((ROW()-1)/7)*57+MOD(ROW()-1,7)+50)&lt;&gt;"","set "&amp;INDEX(CUEs!$A:$A,INT((ROW()-1)/7)*57+MOD(ROW()-1,7)+50)&amp;"=/ s "&amp;INDEX(CUEs!$B:$B,INT((ROW()-1)/7)*57+MOD(ROW()-1,7)+50),"")</f>
        <v/>
      </c>
    </row>
    <row r="5777" spans="1:1" x14ac:dyDescent="0.25">
      <c r="A5777" t="str" cm="1">
        <f t="array" ref="A5777">IF(INDEX(CUEs!$A:$A,INT((ROW()-1)/7)*57+MOD(ROW()-1,7)+50)&lt;&gt;"","set "&amp;INDEX(CUEs!$A:$A,INT((ROW()-1)/7)*57+MOD(ROW()-1,7)+50)&amp;"=/ s "&amp;INDEX(CUEs!$B:$B,INT((ROW()-1)/7)*57+MOD(ROW()-1,7)+50),"")</f>
        <v/>
      </c>
    </row>
    <row r="5778" spans="1:1" x14ac:dyDescent="0.25">
      <c r="A5778" t="str" cm="1">
        <f t="array" ref="A5778">IF(INDEX(CUEs!$A:$A,INT((ROW()-1)/7)*57+MOD(ROW()-1,7)+50)&lt;&gt;"","set "&amp;INDEX(CUEs!$A:$A,INT((ROW()-1)/7)*57+MOD(ROW()-1,7)+50)&amp;"=/ s "&amp;INDEX(CUEs!$B:$B,INT((ROW()-1)/7)*57+MOD(ROW()-1,7)+50),"")</f>
        <v/>
      </c>
    </row>
    <row r="5779" spans="1:1" x14ac:dyDescent="0.25">
      <c r="A5779" t="str" cm="1">
        <f t="array" ref="A5779">IF(INDEX(CUEs!$A:$A,INT((ROW()-1)/7)*57+MOD(ROW()-1,7)+50)&lt;&gt;"","set "&amp;INDEX(CUEs!$A:$A,INT((ROW()-1)/7)*57+MOD(ROW()-1,7)+50)&amp;"=/ s "&amp;INDEX(CUEs!$B:$B,INT((ROW()-1)/7)*57+MOD(ROW()-1,7)+50),"")</f>
        <v/>
      </c>
    </row>
    <row r="5780" spans="1:1" x14ac:dyDescent="0.25">
      <c r="A5780" t="str" cm="1">
        <f t="array" ref="A5780">IF(INDEX(CUEs!$A:$A,INT((ROW()-1)/7)*57+MOD(ROW()-1,7)+50)&lt;&gt;"","set "&amp;INDEX(CUEs!$A:$A,INT((ROW()-1)/7)*57+MOD(ROW()-1,7)+50)&amp;"=/ s "&amp;INDEX(CUEs!$B:$B,INT((ROW()-1)/7)*57+MOD(ROW()-1,7)+50),"")</f>
        <v/>
      </c>
    </row>
    <row r="5781" spans="1:1" x14ac:dyDescent="0.25">
      <c r="A5781" t="str" cm="1">
        <f t="array" ref="A5781">IF(INDEX(CUEs!$A:$A,INT((ROW()-1)/7)*57+MOD(ROW()-1,7)+50)&lt;&gt;"","set "&amp;INDEX(CUEs!$A:$A,INT((ROW()-1)/7)*57+MOD(ROW()-1,7)+50)&amp;"=/ s "&amp;INDEX(CUEs!$B:$B,INT((ROW()-1)/7)*57+MOD(ROW()-1,7)+50),"")</f>
        <v/>
      </c>
    </row>
    <row r="5782" spans="1:1" x14ac:dyDescent="0.25">
      <c r="A5782" t="str" cm="1">
        <f t="array" ref="A5782">IF(INDEX(CUEs!$A:$A,INT((ROW()-1)/7)*57+MOD(ROW()-1,7)+50)&lt;&gt;"","set "&amp;INDEX(CUEs!$A:$A,INT((ROW()-1)/7)*57+MOD(ROW()-1,7)+50)&amp;"=/ s "&amp;INDEX(CUEs!$B:$B,INT((ROW()-1)/7)*57+MOD(ROW()-1,7)+50),"")</f>
        <v/>
      </c>
    </row>
    <row r="5783" spans="1:1" x14ac:dyDescent="0.25">
      <c r="A5783" t="str" cm="1">
        <f t="array" ref="A5783">IF(INDEX(CUEs!$A:$A,INT((ROW()-1)/7)*57+MOD(ROW()-1,7)+50)&lt;&gt;"","set "&amp;INDEX(CUEs!$A:$A,INT((ROW()-1)/7)*57+MOD(ROW()-1,7)+50)&amp;"=/ s "&amp;INDEX(CUEs!$B:$B,INT((ROW()-1)/7)*57+MOD(ROW()-1,7)+50),"")</f>
        <v/>
      </c>
    </row>
    <row r="5784" spans="1:1" x14ac:dyDescent="0.25">
      <c r="A5784" t="str" cm="1">
        <f t="array" ref="A5784">IF(INDEX(CUEs!$A:$A,INT((ROW()-1)/7)*57+MOD(ROW()-1,7)+50)&lt;&gt;"","set "&amp;INDEX(CUEs!$A:$A,INT((ROW()-1)/7)*57+MOD(ROW()-1,7)+50)&amp;"=/ s "&amp;INDEX(CUEs!$B:$B,INT((ROW()-1)/7)*57+MOD(ROW()-1,7)+50),"")</f>
        <v/>
      </c>
    </row>
    <row r="5785" spans="1:1" x14ac:dyDescent="0.25">
      <c r="A5785" t="str" cm="1">
        <f t="array" ref="A5785">IF(INDEX(CUEs!$A:$A,INT((ROW()-1)/7)*57+MOD(ROW()-1,7)+50)&lt;&gt;"","set "&amp;INDEX(CUEs!$A:$A,INT((ROW()-1)/7)*57+MOD(ROW()-1,7)+50)&amp;"=/ s "&amp;INDEX(CUEs!$B:$B,INT((ROW()-1)/7)*57+MOD(ROW()-1,7)+50),"")</f>
        <v/>
      </c>
    </row>
    <row r="5786" spans="1:1" x14ac:dyDescent="0.25">
      <c r="A5786" t="str" cm="1">
        <f t="array" ref="A5786">IF(INDEX(CUEs!$A:$A,INT((ROW()-1)/7)*57+MOD(ROW()-1,7)+50)&lt;&gt;"","set "&amp;INDEX(CUEs!$A:$A,INT((ROW()-1)/7)*57+MOD(ROW()-1,7)+50)&amp;"=/ s "&amp;INDEX(CUEs!$B:$B,INT((ROW()-1)/7)*57+MOD(ROW()-1,7)+50),"")</f>
        <v/>
      </c>
    </row>
    <row r="5787" spans="1:1" x14ac:dyDescent="0.25">
      <c r="A5787" t="str" cm="1">
        <f t="array" ref="A5787">IF(INDEX(CUEs!$A:$A,INT((ROW()-1)/7)*57+MOD(ROW()-1,7)+50)&lt;&gt;"","set "&amp;INDEX(CUEs!$A:$A,INT((ROW()-1)/7)*57+MOD(ROW()-1,7)+50)&amp;"=/ s "&amp;INDEX(CUEs!$B:$B,INT((ROW()-1)/7)*57+MOD(ROW()-1,7)+50),"")</f>
        <v/>
      </c>
    </row>
    <row r="5788" spans="1:1" x14ac:dyDescent="0.25">
      <c r="A5788" t="str" cm="1">
        <f t="array" ref="A5788">IF(INDEX(CUEs!$A:$A,INT((ROW()-1)/7)*57+MOD(ROW()-1,7)+50)&lt;&gt;"","set "&amp;INDEX(CUEs!$A:$A,INT((ROW()-1)/7)*57+MOD(ROW()-1,7)+50)&amp;"=/ s "&amp;INDEX(CUEs!$B:$B,INT((ROW()-1)/7)*57+MOD(ROW()-1,7)+50),"")</f>
        <v/>
      </c>
    </row>
    <row r="5789" spans="1:1" x14ac:dyDescent="0.25">
      <c r="A5789" t="str" cm="1">
        <f t="array" ref="A5789">IF(INDEX(CUEs!$A:$A,INT((ROW()-1)/7)*57+MOD(ROW()-1,7)+50)&lt;&gt;"","set "&amp;INDEX(CUEs!$A:$A,INT((ROW()-1)/7)*57+MOD(ROW()-1,7)+50)&amp;"=/ s "&amp;INDEX(CUEs!$B:$B,INT((ROW()-1)/7)*57+MOD(ROW()-1,7)+50),"")</f>
        <v/>
      </c>
    </row>
    <row r="5790" spans="1:1" x14ac:dyDescent="0.25">
      <c r="A5790" t="str" cm="1">
        <f t="array" ref="A5790">IF(INDEX(CUEs!$A:$A,INT((ROW()-1)/7)*57+MOD(ROW()-1,7)+50)&lt;&gt;"","set "&amp;INDEX(CUEs!$A:$A,INT((ROW()-1)/7)*57+MOD(ROW()-1,7)+50)&amp;"=/ s "&amp;INDEX(CUEs!$B:$B,INT((ROW()-1)/7)*57+MOD(ROW()-1,7)+50),"")</f>
        <v/>
      </c>
    </row>
    <row r="5791" spans="1:1" x14ac:dyDescent="0.25">
      <c r="A5791" t="str" cm="1">
        <f t="array" ref="A5791">IF(INDEX(CUEs!$A:$A,INT((ROW()-1)/7)*57+MOD(ROW()-1,7)+50)&lt;&gt;"","set "&amp;INDEX(CUEs!$A:$A,INT((ROW()-1)/7)*57+MOD(ROW()-1,7)+50)&amp;"=/ s "&amp;INDEX(CUEs!$B:$B,INT((ROW()-1)/7)*57+MOD(ROW()-1,7)+50),"")</f>
        <v/>
      </c>
    </row>
    <row r="5792" spans="1:1" x14ac:dyDescent="0.25">
      <c r="A5792" t="str" cm="1">
        <f t="array" ref="A5792">IF(INDEX(CUEs!$A:$A,INT((ROW()-1)/7)*57+MOD(ROW()-1,7)+50)&lt;&gt;"","set "&amp;INDEX(CUEs!$A:$A,INT((ROW()-1)/7)*57+MOD(ROW()-1,7)+50)&amp;"=/ s "&amp;INDEX(CUEs!$B:$B,INT((ROW()-1)/7)*57+MOD(ROW()-1,7)+50),"")</f>
        <v/>
      </c>
    </row>
    <row r="5793" spans="1:1" x14ac:dyDescent="0.25">
      <c r="A5793" t="str" cm="1">
        <f t="array" ref="A5793">IF(INDEX(CUEs!$A:$A,INT((ROW()-1)/7)*57+MOD(ROW()-1,7)+50)&lt;&gt;"","set "&amp;INDEX(CUEs!$A:$A,INT((ROW()-1)/7)*57+MOD(ROW()-1,7)+50)&amp;"=/ s "&amp;INDEX(CUEs!$B:$B,INT((ROW()-1)/7)*57+MOD(ROW()-1,7)+50),"")</f>
        <v/>
      </c>
    </row>
    <row r="5794" spans="1:1" x14ac:dyDescent="0.25">
      <c r="A5794" t="str" cm="1">
        <f t="array" ref="A5794">IF(INDEX(CUEs!$A:$A,INT((ROW()-1)/7)*57+MOD(ROW()-1,7)+50)&lt;&gt;"","set "&amp;INDEX(CUEs!$A:$A,INT((ROW()-1)/7)*57+MOD(ROW()-1,7)+50)&amp;"=/ s "&amp;INDEX(CUEs!$B:$B,INT((ROW()-1)/7)*57+MOD(ROW()-1,7)+50),"")</f>
        <v/>
      </c>
    </row>
    <row r="5795" spans="1:1" x14ac:dyDescent="0.25">
      <c r="A5795" t="str" cm="1">
        <f t="array" ref="A5795">IF(INDEX(CUEs!$A:$A,INT((ROW()-1)/7)*57+MOD(ROW()-1,7)+50)&lt;&gt;"","set "&amp;INDEX(CUEs!$A:$A,INT((ROW()-1)/7)*57+MOD(ROW()-1,7)+50)&amp;"=/ s "&amp;INDEX(CUEs!$B:$B,INT((ROW()-1)/7)*57+MOD(ROW()-1,7)+50),"")</f>
        <v/>
      </c>
    </row>
    <row r="5796" spans="1:1" x14ac:dyDescent="0.25">
      <c r="A5796" t="str" cm="1">
        <f t="array" ref="A5796">IF(INDEX(CUEs!$A:$A,INT((ROW()-1)/7)*57+MOD(ROW()-1,7)+50)&lt;&gt;"","set "&amp;INDEX(CUEs!$A:$A,INT((ROW()-1)/7)*57+MOD(ROW()-1,7)+50)&amp;"=/ s "&amp;INDEX(CUEs!$B:$B,INT((ROW()-1)/7)*57+MOD(ROW()-1,7)+50),"")</f>
        <v/>
      </c>
    </row>
    <row r="5797" spans="1:1" x14ac:dyDescent="0.25">
      <c r="A5797" t="str" cm="1">
        <f t="array" ref="A5797">IF(INDEX(CUEs!$A:$A,INT((ROW()-1)/7)*57+MOD(ROW()-1,7)+50)&lt;&gt;"","set "&amp;INDEX(CUEs!$A:$A,INT((ROW()-1)/7)*57+MOD(ROW()-1,7)+50)&amp;"=/ s "&amp;INDEX(CUEs!$B:$B,INT((ROW()-1)/7)*57+MOD(ROW()-1,7)+50),"")</f>
        <v/>
      </c>
    </row>
    <row r="5798" spans="1:1" x14ac:dyDescent="0.25">
      <c r="A5798" t="str" cm="1">
        <f t="array" ref="A5798">IF(INDEX(CUEs!$A:$A,INT((ROW()-1)/7)*57+MOD(ROW()-1,7)+50)&lt;&gt;"","set "&amp;INDEX(CUEs!$A:$A,INT((ROW()-1)/7)*57+MOD(ROW()-1,7)+50)&amp;"=/ s "&amp;INDEX(CUEs!$B:$B,INT((ROW()-1)/7)*57+MOD(ROW()-1,7)+50),"")</f>
        <v/>
      </c>
    </row>
    <row r="5799" spans="1:1" x14ac:dyDescent="0.25">
      <c r="A5799" t="str" cm="1">
        <f t="array" ref="A5799">IF(INDEX(CUEs!$A:$A,INT((ROW()-1)/7)*57+MOD(ROW()-1,7)+50)&lt;&gt;"","set "&amp;INDEX(CUEs!$A:$A,INT((ROW()-1)/7)*57+MOD(ROW()-1,7)+50)&amp;"=/ s "&amp;INDEX(CUEs!$B:$B,INT((ROW()-1)/7)*57+MOD(ROW()-1,7)+50),"")</f>
        <v/>
      </c>
    </row>
    <row r="5800" spans="1:1" x14ac:dyDescent="0.25">
      <c r="A5800" t="str" cm="1">
        <f t="array" ref="A5800">IF(INDEX(CUEs!$A:$A,INT((ROW()-1)/7)*57+MOD(ROW()-1,7)+50)&lt;&gt;"","set "&amp;INDEX(CUEs!$A:$A,INT((ROW()-1)/7)*57+MOD(ROW()-1,7)+50)&amp;"=/ s "&amp;INDEX(CUEs!$B:$B,INT((ROW()-1)/7)*57+MOD(ROW()-1,7)+50),"")</f>
        <v/>
      </c>
    </row>
    <row r="5801" spans="1:1" x14ac:dyDescent="0.25">
      <c r="A5801" t="str" cm="1">
        <f t="array" ref="A5801">IF(INDEX(CUEs!$A:$A,INT((ROW()-1)/7)*57+MOD(ROW()-1,7)+50)&lt;&gt;"","set "&amp;INDEX(CUEs!$A:$A,INT((ROW()-1)/7)*57+MOD(ROW()-1,7)+50)&amp;"=/ s "&amp;INDEX(CUEs!$B:$B,INT((ROW()-1)/7)*57+MOD(ROW()-1,7)+50),"")</f>
        <v/>
      </c>
    </row>
    <row r="5802" spans="1:1" x14ac:dyDescent="0.25">
      <c r="A5802" t="str" cm="1">
        <f t="array" ref="A5802">IF(INDEX(CUEs!$A:$A,INT((ROW()-1)/7)*57+MOD(ROW()-1,7)+50)&lt;&gt;"","set "&amp;INDEX(CUEs!$A:$A,INT((ROW()-1)/7)*57+MOD(ROW()-1,7)+50)&amp;"=/ s "&amp;INDEX(CUEs!$B:$B,INT((ROW()-1)/7)*57+MOD(ROW()-1,7)+50),"")</f>
        <v/>
      </c>
    </row>
    <row r="5803" spans="1:1" x14ac:dyDescent="0.25">
      <c r="A5803" t="str" cm="1">
        <f t="array" ref="A5803">IF(INDEX(CUEs!$A:$A,INT((ROW()-1)/7)*57+MOD(ROW()-1,7)+50)&lt;&gt;"","set "&amp;INDEX(CUEs!$A:$A,INT((ROW()-1)/7)*57+MOD(ROW()-1,7)+50)&amp;"=/ s "&amp;INDEX(CUEs!$B:$B,INT((ROW()-1)/7)*57+MOD(ROW()-1,7)+50),"")</f>
        <v/>
      </c>
    </row>
    <row r="5804" spans="1:1" x14ac:dyDescent="0.25">
      <c r="A5804" t="str" cm="1">
        <f t="array" ref="A5804">IF(INDEX(CUEs!$A:$A,INT((ROW()-1)/7)*57+MOD(ROW()-1,7)+50)&lt;&gt;"","set "&amp;INDEX(CUEs!$A:$A,INT((ROW()-1)/7)*57+MOD(ROW()-1,7)+50)&amp;"=/ s "&amp;INDEX(CUEs!$B:$B,INT((ROW()-1)/7)*57+MOD(ROW()-1,7)+50),"")</f>
        <v/>
      </c>
    </row>
    <row r="5805" spans="1:1" x14ac:dyDescent="0.25">
      <c r="A5805" t="str" cm="1">
        <f t="array" ref="A5805">IF(INDEX(CUEs!$A:$A,INT((ROW()-1)/7)*57+MOD(ROW()-1,7)+50)&lt;&gt;"","set "&amp;INDEX(CUEs!$A:$A,INT((ROW()-1)/7)*57+MOD(ROW()-1,7)+50)&amp;"=/ s "&amp;INDEX(CUEs!$B:$B,INT((ROW()-1)/7)*57+MOD(ROW()-1,7)+50),"")</f>
        <v/>
      </c>
    </row>
    <row r="5806" spans="1:1" x14ac:dyDescent="0.25">
      <c r="A5806" t="str" cm="1">
        <f t="array" ref="A5806">IF(INDEX(CUEs!$A:$A,INT((ROW()-1)/7)*57+MOD(ROW()-1,7)+50)&lt;&gt;"","set "&amp;INDEX(CUEs!$A:$A,INT((ROW()-1)/7)*57+MOD(ROW()-1,7)+50)&amp;"=/ s "&amp;INDEX(CUEs!$B:$B,INT((ROW()-1)/7)*57+MOD(ROW()-1,7)+50),"")</f>
        <v/>
      </c>
    </row>
    <row r="5807" spans="1:1" x14ac:dyDescent="0.25">
      <c r="A5807" t="str" cm="1">
        <f t="array" ref="A5807">IF(INDEX(CUEs!$A:$A,INT((ROW()-1)/7)*57+MOD(ROW()-1,7)+50)&lt;&gt;"","set "&amp;INDEX(CUEs!$A:$A,INT((ROW()-1)/7)*57+MOD(ROW()-1,7)+50)&amp;"=/ s "&amp;INDEX(CUEs!$B:$B,INT((ROW()-1)/7)*57+MOD(ROW()-1,7)+50),"")</f>
        <v/>
      </c>
    </row>
    <row r="5808" spans="1:1" x14ac:dyDescent="0.25">
      <c r="A5808" t="str" cm="1">
        <f t="array" ref="A5808">IF(INDEX(CUEs!$A:$A,INT((ROW()-1)/7)*57+MOD(ROW()-1,7)+50)&lt;&gt;"","set "&amp;INDEX(CUEs!$A:$A,INT((ROW()-1)/7)*57+MOD(ROW()-1,7)+50)&amp;"=/ s "&amp;INDEX(CUEs!$B:$B,INT((ROW()-1)/7)*57+MOD(ROW()-1,7)+50),"")</f>
        <v/>
      </c>
    </row>
    <row r="5809" spans="1:1" x14ac:dyDescent="0.25">
      <c r="A5809" t="str" cm="1">
        <f t="array" ref="A5809">IF(INDEX(CUEs!$A:$A,INT((ROW()-1)/7)*57+MOD(ROW()-1,7)+50)&lt;&gt;"","set "&amp;INDEX(CUEs!$A:$A,INT((ROW()-1)/7)*57+MOD(ROW()-1,7)+50)&amp;"=/ s "&amp;INDEX(CUEs!$B:$B,INT((ROW()-1)/7)*57+MOD(ROW()-1,7)+50),"")</f>
        <v/>
      </c>
    </row>
    <row r="5810" spans="1:1" x14ac:dyDescent="0.25">
      <c r="A5810" t="str" cm="1">
        <f t="array" ref="A5810">IF(INDEX(CUEs!$A:$A,INT((ROW()-1)/7)*57+MOD(ROW()-1,7)+50)&lt;&gt;"","set "&amp;INDEX(CUEs!$A:$A,INT((ROW()-1)/7)*57+MOD(ROW()-1,7)+50)&amp;"=/ s "&amp;INDEX(CUEs!$B:$B,INT((ROW()-1)/7)*57+MOD(ROW()-1,7)+50),"")</f>
        <v/>
      </c>
    </row>
    <row r="5811" spans="1:1" x14ac:dyDescent="0.25">
      <c r="A5811" t="str" cm="1">
        <f t="array" ref="A5811">IF(INDEX(CUEs!$A:$A,INT((ROW()-1)/7)*57+MOD(ROW()-1,7)+50)&lt;&gt;"","set "&amp;INDEX(CUEs!$A:$A,INT((ROW()-1)/7)*57+MOD(ROW()-1,7)+50)&amp;"=/ s "&amp;INDEX(CUEs!$B:$B,INT((ROW()-1)/7)*57+MOD(ROW()-1,7)+50),"")</f>
        <v/>
      </c>
    </row>
    <row r="5812" spans="1:1" x14ac:dyDescent="0.25">
      <c r="A5812" t="str" cm="1">
        <f t="array" ref="A5812">IF(INDEX(CUEs!$A:$A,INT((ROW()-1)/7)*57+MOD(ROW()-1,7)+50)&lt;&gt;"","set "&amp;INDEX(CUEs!$A:$A,INT((ROW()-1)/7)*57+MOD(ROW()-1,7)+50)&amp;"=/ s "&amp;INDEX(CUEs!$B:$B,INT((ROW()-1)/7)*57+MOD(ROW()-1,7)+50),"")</f>
        <v/>
      </c>
    </row>
    <row r="5813" spans="1:1" x14ac:dyDescent="0.25">
      <c r="A5813" t="str" cm="1">
        <f t="array" ref="A5813">IF(INDEX(CUEs!$A:$A,INT((ROW()-1)/7)*57+MOD(ROW()-1,7)+50)&lt;&gt;"","set "&amp;INDEX(CUEs!$A:$A,INT((ROW()-1)/7)*57+MOD(ROW()-1,7)+50)&amp;"=/ s "&amp;INDEX(CUEs!$B:$B,INT((ROW()-1)/7)*57+MOD(ROW()-1,7)+50),"")</f>
        <v/>
      </c>
    </row>
    <row r="5814" spans="1:1" x14ac:dyDescent="0.25">
      <c r="A5814" t="str" cm="1">
        <f t="array" ref="A5814">IF(INDEX(CUEs!$A:$A,INT((ROW()-1)/7)*57+MOD(ROW()-1,7)+50)&lt;&gt;"","set "&amp;INDEX(CUEs!$A:$A,INT((ROW()-1)/7)*57+MOD(ROW()-1,7)+50)&amp;"=/ s "&amp;INDEX(CUEs!$B:$B,INT((ROW()-1)/7)*57+MOD(ROW()-1,7)+50),"")</f>
        <v/>
      </c>
    </row>
    <row r="5815" spans="1:1" x14ac:dyDescent="0.25">
      <c r="A5815" t="str" cm="1">
        <f t="array" ref="A5815">IF(INDEX(CUEs!$A:$A,INT((ROW()-1)/7)*57+MOD(ROW()-1,7)+50)&lt;&gt;"","set "&amp;INDEX(CUEs!$A:$A,INT((ROW()-1)/7)*57+MOD(ROW()-1,7)+50)&amp;"=/ s "&amp;INDEX(CUEs!$B:$B,INT((ROW()-1)/7)*57+MOD(ROW()-1,7)+50),"")</f>
        <v/>
      </c>
    </row>
    <row r="5816" spans="1:1" x14ac:dyDescent="0.25">
      <c r="A5816" t="str" cm="1">
        <f t="array" ref="A5816">IF(INDEX(CUEs!$A:$A,INT((ROW()-1)/7)*57+MOD(ROW()-1,7)+50)&lt;&gt;"","set "&amp;INDEX(CUEs!$A:$A,INT((ROW()-1)/7)*57+MOD(ROW()-1,7)+50)&amp;"=/ s "&amp;INDEX(CUEs!$B:$B,INT((ROW()-1)/7)*57+MOD(ROW()-1,7)+50),"")</f>
        <v/>
      </c>
    </row>
    <row r="5817" spans="1:1" x14ac:dyDescent="0.25">
      <c r="A5817" t="str" cm="1">
        <f t="array" ref="A5817">IF(INDEX(CUEs!$A:$A,INT((ROW()-1)/7)*57+MOD(ROW()-1,7)+50)&lt;&gt;"","set "&amp;INDEX(CUEs!$A:$A,INT((ROW()-1)/7)*57+MOD(ROW()-1,7)+50)&amp;"=/ s "&amp;INDEX(CUEs!$B:$B,INT((ROW()-1)/7)*57+MOD(ROW()-1,7)+50),"")</f>
        <v/>
      </c>
    </row>
    <row r="5818" spans="1:1" x14ac:dyDescent="0.25">
      <c r="A5818" t="str" cm="1">
        <f t="array" ref="A5818">IF(INDEX(CUEs!$A:$A,INT((ROW()-1)/7)*57+MOD(ROW()-1,7)+50)&lt;&gt;"","set "&amp;INDEX(CUEs!$A:$A,INT((ROW()-1)/7)*57+MOD(ROW()-1,7)+50)&amp;"=/ s "&amp;INDEX(CUEs!$B:$B,INT((ROW()-1)/7)*57+MOD(ROW()-1,7)+50),"")</f>
        <v/>
      </c>
    </row>
    <row r="5819" spans="1:1" x14ac:dyDescent="0.25">
      <c r="A5819" t="str" cm="1">
        <f t="array" ref="A5819">IF(INDEX(CUEs!$A:$A,INT((ROW()-1)/7)*57+MOD(ROW()-1,7)+50)&lt;&gt;"","set "&amp;INDEX(CUEs!$A:$A,INT((ROW()-1)/7)*57+MOD(ROW()-1,7)+50)&amp;"=/ s "&amp;INDEX(CUEs!$B:$B,INT((ROW()-1)/7)*57+MOD(ROW()-1,7)+50),"")</f>
        <v/>
      </c>
    </row>
    <row r="5820" spans="1:1" x14ac:dyDescent="0.25">
      <c r="A5820" t="str" cm="1">
        <f t="array" ref="A5820">IF(INDEX(CUEs!$A:$A,INT((ROW()-1)/7)*57+MOD(ROW()-1,7)+50)&lt;&gt;"","set "&amp;INDEX(CUEs!$A:$A,INT((ROW()-1)/7)*57+MOD(ROW()-1,7)+50)&amp;"=/ s "&amp;INDEX(CUEs!$B:$B,INT((ROW()-1)/7)*57+MOD(ROW()-1,7)+50),"")</f>
        <v/>
      </c>
    </row>
    <row r="5821" spans="1:1" x14ac:dyDescent="0.25">
      <c r="A5821" t="str" cm="1">
        <f t="array" ref="A5821">IF(INDEX(CUEs!$A:$A,INT((ROW()-1)/7)*57+MOD(ROW()-1,7)+50)&lt;&gt;"","set "&amp;INDEX(CUEs!$A:$A,INT((ROW()-1)/7)*57+MOD(ROW()-1,7)+50)&amp;"=/ s "&amp;INDEX(CUEs!$B:$B,INT((ROW()-1)/7)*57+MOD(ROW()-1,7)+50),"")</f>
        <v/>
      </c>
    </row>
    <row r="5822" spans="1:1" x14ac:dyDescent="0.25">
      <c r="A5822" t="str" cm="1">
        <f t="array" ref="A5822">IF(INDEX(CUEs!$A:$A,INT((ROW()-1)/7)*57+MOD(ROW()-1,7)+50)&lt;&gt;"","set "&amp;INDEX(CUEs!$A:$A,INT((ROW()-1)/7)*57+MOD(ROW()-1,7)+50)&amp;"=/ s "&amp;INDEX(CUEs!$B:$B,INT((ROW()-1)/7)*57+MOD(ROW()-1,7)+50),"")</f>
        <v/>
      </c>
    </row>
    <row r="5823" spans="1:1" x14ac:dyDescent="0.25">
      <c r="A5823" t="str" cm="1">
        <f t="array" ref="A5823">IF(INDEX(CUEs!$A:$A,INT((ROW()-1)/7)*57+MOD(ROW()-1,7)+50)&lt;&gt;"","set "&amp;INDEX(CUEs!$A:$A,INT((ROW()-1)/7)*57+MOD(ROW()-1,7)+50)&amp;"=/ s "&amp;INDEX(CUEs!$B:$B,INT((ROW()-1)/7)*57+MOD(ROW()-1,7)+50),"")</f>
        <v/>
      </c>
    </row>
    <row r="5824" spans="1:1" x14ac:dyDescent="0.25">
      <c r="A5824" t="str" cm="1">
        <f t="array" ref="A5824">IF(INDEX(CUEs!$A:$A,INT((ROW()-1)/7)*57+MOD(ROW()-1,7)+50)&lt;&gt;"","set "&amp;INDEX(CUEs!$A:$A,INT((ROW()-1)/7)*57+MOD(ROW()-1,7)+50)&amp;"=/ s "&amp;INDEX(CUEs!$B:$B,INT((ROW()-1)/7)*57+MOD(ROW()-1,7)+50),"")</f>
        <v/>
      </c>
    </row>
    <row r="5825" spans="1:1" x14ac:dyDescent="0.25">
      <c r="A5825" t="str" cm="1">
        <f t="array" ref="A5825">IF(INDEX(CUEs!$A:$A,INT((ROW()-1)/7)*57+MOD(ROW()-1,7)+50)&lt;&gt;"","set "&amp;INDEX(CUEs!$A:$A,INT((ROW()-1)/7)*57+MOD(ROW()-1,7)+50)&amp;"=/ s "&amp;INDEX(CUEs!$B:$B,INT((ROW()-1)/7)*57+MOD(ROW()-1,7)+50),"")</f>
        <v/>
      </c>
    </row>
    <row r="5826" spans="1:1" x14ac:dyDescent="0.25">
      <c r="A5826" t="str" cm="1">
        <f t="array" ref="A5826">IF(INDEX(CUEs!$A:$A,INT((ROW()-1)/7)*57+MOD(ROW()-1,7)+50)&lt;&gt;"","set "&amp;INDEX(CUEs!$A:$A,INT((ROW()-1)/7)*57+MOD(ROW()-1,7)+50)&amp;"=/ s "&amp;INDEX(CUEs!$B:$B,INT((ROW()-1)/7)*57+MOD(ROW()-1,7)+50),"")</f>
        <v/>
      </c>
    </row>
    <row r="5827" spans="1:1" x14ac:dyDescent="0.25">
      <c r="A5827" t="str" cm="1">
        <f t="array" ref="A5827">IF(INDEX(CUEs!$A:$A,INT((ROW()-1)/7)*57+MOD(ROW()-1,7)+50)&lt;&gt;"","set "&amp;INDEX(CUEs!$A:$A,INT((ROW()-1)/7)*57+MOD(ROW()-1,7)+50)&amp;"=/ s "&amp;INDEX(CUEs!$B:$B,INT((ROW()-1)/7)*57+MOD(ROW()-1,7)+50),"")</f>
        <v/>
      </c>
    </row>
    <row r="5828" spans="1:1" x14ac:dyDescent="0.25">
      <c r="A5828" t="str" cm="1">
        <f t="array" ref="A5828">IF(INDEX(CUEs!$A:$A,INT((ROW()-1)/7)*57+MOD(ROW()-1,7)+50)&lt;&gt;"","set "&amp;INDEX(CUEs!$A:$A,INT((ROW()-1)/7)*57+MOD(ROW()-1,7)+50)&amp;"=/ s "&amp;INDEX(CUEs!$B:$B,INT((ROW()-1)/7)*57+MOD(ROW()-1,7)+50),"")</f>
        <v/>
      </c>
    </row>
    <row r="5829" spans="1:1" x14ac:dyDescent="0.25">
      <c r="A5829" t="str" cm="1">
        <f t="array" ref="A5829">IF(INDEX(CUEs!$A:$A,INT((ROW()-1)/7)*57+MOD(ROW()-1,7)+50)&lt;&gt;"","set "&amp;INDEX(CUEs!$A:$A,INT((ROW()-1)/7)*57+MOD(ROW()-1,7)+50)&amp;"=/ s "&amp;INDEX(CUEs!$B:$B,INT((ROW()-1)/7)*57+MOD(ROW()-1,7)+50),"")</f>
        <v/>
      </c>
    </row>
    <row r="5830" spans="1:1" x14ac:dyDescent="0.25">
      <c r="A5830" t="str" cm="1">
        <f t="array" ref="A5830">IF(INDEX(CUEs!$A:$A,INT((ROW()-1)/7)*57+MOD(ROW()-1,7)+50)&lt;&gt;"","set "&amp;INDEX(CUEs!$A:$A,INT((ROW()-1)/7)*57+MOD(ROW()-1,7)+50)&amp;"=/ s "&amp;INDEX(CUEs!$B:$B,INT((ROW()-1)/7)*57+MOD(ROW()-1,7)+50),"")</f>
        <v/>
      </c>
    </row>
    <row r="5831" spans="1:1" x14ac:dyDescent="0.25">
      <c r="A5831" t="str" cm="1">
        <f t="array" ref="A5831">IF(INDEX(CUEs!$A:$A,INT((ROW()-1)/7)*57+MOD(ROW()-1,7)+50)&lt;&gt;"","set "&amp;INDEX(CUEs!$A:$A,INT((ROW()-1)/7)*57+MOD(ROW()-1,7)+50)&amp;"=/ s "&amp;INDEX(CUEs!$B:$B,INT((ROW()-1)/7)*57+MOD(ROW()-1,7)+50),"")</f>
        <v/>
      </c>
    </row>
    <row r="5832" spans="1:1" x14ac:dyDescent="0.25">
      <c r="A5832" t="str" cm="1">
        <f t="array" ref="A5832">IF(INDEX(CUEs!$A:$A,INT((ROW()-1)/7)*57+MOD(ROW()-1,7)+50)&lt;&gt;"","set "&amp;INDEX(CUEs!$A:$A,INT((ROW()-1)/7)*57+MOD(ROW()-1,7)+50)&amp;"=/ s "&amp;INDEX(CUEs!$B:$B,INT((ROW()-1)/7)*57+MOD(ROW()-1,7)+50),"")</f>
        <v/>
      </c>
    </row>
    <row r="5833" spans="1:1" x14ac:dyDescent="0.25">
      <c r="A5833" t="str" cm="1">
        <f t="array" ref="A5833">IF(INDEX(CUEs!$A:$A,INT((ROW()-1)/7)*57+MOD(ROW()-1,7)+50)&lt;&gt;"","set "&amp;INDEX(CUEs!$A:$A,INT((ROW()-1)/7)*57+MOD(ROW()-1,7)+50)&amp;"=/ s "&amp;INDEX(CUEs!$B:$B,INT((ROW()-1)/7)*57+MOD(ROW()-1,7)+50),"")</f>
        <v/>
      </c>
    </row>
    <row r="5834" spans="1:1" x14ac:dyDescent="0.25">
      <c r="A5834" t="str" cm="1">
        <f t="array" ref="A5834">IF(INDEX(CUEs!$A:$A,INT((ROW()-1)/7)*57+MOD(ROW()-1,7)+50)&lt;&gt;"","set "&amp;INDEX(CUEs!$A:$A,INT((ROW()-1)/7)*57+MOD(ROW()-1,7)+50)&amp;"=/ s "&amp;INDEX(CUEs!$B:$B,INT((ROW()-1)/7)*57+MOD(ROW()-1,7)+50),"")</f>
        <v/>
      </c>
    </row>
    <row r="5835" spans="1:1" x14ac:dyDescent="0.25">
      <c r="A5835" t="str" cm="1">
        <f t="array" ref="A5835">IF(INDEX(CUEs!$A:$A,INT((ROW()-1)/7)*57+MOD(ROW()-1,7)+50)&lt;&gt;"","set "&amp;INDEX(CUEs!$A:$A,INT((ROW()-1)/7)*57+MOD(ROW()-1,7)+50)&amp;"=/ s "&amp;INDEX(CUEs!$B:$B,INT((ROW()-1)/7)*57+MOD(ROW()-1,7)+50),"")</f>
        <v/>
      </c>
    </row>
    <row r="5836" spans="1:1" x14ac:dyDescent="0.25">
      <c r="A5836" t="str" cm="1">
        <f t="array" ref="A5836">IF(INDEX(CUEs!$A:$A,INT((ROW()-1)/7)*57+MOD(ROW()-1,7)+50)&lt;&gt;"","set "&amp;INDEX(CUEs!$A:$A,INT((ROW()-1)/7)*57+MOD(ROW()-1,7)+50)&amp;"=/ s "&amp;INDEX(CUEs!$B:$B,INT((ROW()-1)/7)*57+MOD(ROW()-1,7)+50),"")</f>
        <v/>
      </c>
    </row>
    <row r="5837" spans="1:1" x14ac:dyDescent="0.25">
      <c r="A5837" t="str" cm="1">
        <f t="array" ref="A5837">IF(INDEX(CUEs!$A:$A,INT((ROW()-1)/7)*57+MOD(ROW()-1,7)+50)&lt;&gt;"","set "&amp;INDEX(CUEs!$A:$A,INT((ROW()-1)/7)*57+MOD(ROW()-1,7)+50)&amp;"=/ s "&amp;INDEX(CUEs!$B:$B,INT((ROW()-1)/7)*57+MOD(ROW()-1,7)+50),"")</f>
        <v/>
      </c>
    </row>
    <row r="5838" spans="1:1" x14ac:dyDescent="0.25">
      <c r="A5838" t="str" cm="1">
        <f t="array" ref="A5838">IF(INDEX(CUEs!$A:$A,INT((ROW()-1)/7)*57+MOD(ROW()-1,7)+50)&lt;&gt;"","set "&amp;INDEX(CUEs!$A:$A,INT((ROW()-1)/7)*57+MOD(ROW()-1,7)+50)&amp;"=/ s "&amp;INDEX(CUEs!$B:$B,INT((ROW()-1)/7)*57+MOD(ROW()-1,7)+50),"")</f>
        <v/>
      </c>
    </row>
    <row r="5839" spans="1:1" x14ac:dyDescent="0.25">
      <c r="A5839" t="str" cm="1">
        <f t="array" ref="A5839">IF(INDEX(CUEs!$A:$A,INT((ROW()-1)/7)*57+MOD(ROW()-1,7)+50)&lt;&gt;"","set "&amp;INDEX(CUEs!$A:$A,INT((ROW()-1)/7)*57+MOD(ROW()-1,7)+50)&amp;"=/ s "&amp;INDEX(CUEs!$B:$B,INT((ROW()-1)/7)*57+MOD(ROW()-1,7)+50),"")</f>
        <v/>
      </c>
    </row>
    <row r="5840" spans="1:1" x14ac:dyDescent="0.25">
      <c r="A5840" t="str" cm="1">
        <f t="array" ref="A5840">IF(INDEX(CUEs!$A:$A,INT((ROW()-1)/7)*57+MOD(ROW()-1,7)+50)&lt;&gt;"","set "&amp;INDEX(CUEs!$A:$A,INT((ROW()-1)/7)*57+MOD(ROW()-1,7)+50)&amp;"=/ s "&amp;INDEX(CUEs!$B:$B,INT((ROW()-1)/7)*57+MOD(ROW()-1,7)+50),"")</f>
        <v/>
      </c>
    </row>
    <row r="5841" spans="1:1" x14ac:dyDescent="0.25">
      <c r="A5841" t="str" cm="1">
        <f t="array" ref="A5841">IF(INDEX(CUEs!$A:$A,INT((ROW()-1)/7)*57+MOD(ROW()-1,7)+50)&lt;&gt;"","set "&amp;INDEX(CUEs!$A:$A,INT((ROW()-1)/7)*57+MOD(ROW()-1,7)+50)&amp;"=/ s "&amp;INDEX(CUEs!$B:$B,INT((ROW()-1)/7)*57+MOD(ROW()-1,7)+50),"")</f>
        <v/>
      </c>
    </row>
    <row r="5842" spans="1:1" x14ac:dyDescent="0.25">
      <c r="A5842" t="str" cm="1">
        <f t="array" ref="A5842">IF(INDEX(CUEs!$A:$A,INT((ROW()-1)/7)*57+MOD(ROW()-1,7)+50)&lt;&gt;"","set "&amp;INDEX(CUEs!$A:$A,INT((ROW()-1)/7)*57+MOD(ROW()-1,7)+50)&amp;"=/ s "&amp;INDEX(CUEs!$B:$B,INT((ROW()-1)/7)*57+MOD(ROW()-1,7)+50),"")</f>
        <v/>
      </c>
    </row>
    <row r="5843" spans="1:1" x14ac:dyDescent="0.25">
      <c r="A5843" t="str" cm="1">
        <f t="array" ref="A5843">IF(INDEX(CUEs!$A:$A,INT((ROW()-1)/7)*57+MOD(ROW()-1,7)+50)&lt;&gt;"","set "&amp;INDEX(CUEs!$A:$A,INT((ROW()-1)/7)*57+MOD(ROW()-1,7)+50)&amp;"=/ s "&amp;INDEX(CUEs!$B:$B,INT((ROW()-1)/7)*57+MOD(ROW()-1,7)+50),"")</f>
        <v/>
      </c>
    </row>
    <row r="5844" spans="1:1" x14ac:dyDescent="0.25">
      <c r="A5844" t="str" cm="1">
        <f t="array" ref="A5844">IF(INDEX(CUEs!$A:$A,INT((ROW()-1)/7)*57+MOD(ROW()-1,7)+50)&lt;&gt;"","set "&amp;INDEX(CUEs!$A:$A,INT((ROW()-1)/7)*57+MOD(ROW()-1,7)+50)&amp;"=/ s "&amp;INDEX(CUEs!$B:$B,INT((ROW()-1)/7)*57+MOD(ROW()-1,7)+50),"")</f>
        <v/>
      </c>
    </row>
    <row r="5845" spans="1:1" x14ac:dyDescent="0.25">
      <c r="A5845" t="str" cm="1">
        <f t="array" ref="A5845">IF(INDEX(CUEs!$A:$A,INT((ROW()-1)/7)*57+MOD(ROW()-1,7)+50)&lt;&gt;"","set "&amp;INDEX(CUEs!$A:$A,INT((ROW()-1)/7)*57+MOD(ROW()-1,7)+50)&amp;"=/ s "&amp;INDEX(CUEs!$B:$B,INT((ROW()-1)/7)*57+MOD(ROW()-1,7)+50),"")</f>
        <v/>
      </c>
    </row>
    <row r="5846" spans="1:1" x14ac:dyDescent="0.25">
      <c r="A5846" t="str" cm="1">
        <f t="array" ref="A5846">IF(INDEX(CUEs!$A:$A,INT((ROW()-1)/7)*57+MOD(ROW()-1,7)+50)&lt;&gt;"","set "&amp;INDEX(CUEs!$A:$A,INT((ROW()-1)/7)*57+MOD(ROW()-1,7)+50)&amp;"=/ s "&amp;INDEX(CUEs!$B:$B,INT((ROW()-1)/7)*57+MOD(ROW()-1,7)+50),"")</f>
        <v/>
      </c>
    </row>
    <row r="5847" spans="1:1" x14ac:dyDescent="0.25">
      <c r="A5847" t="str" cm="1">
        <f t="array" ref="A5847">IF(INDEX(CUEs!$A:$A,INT((ROW()-1)/7)*57+MOD(ROW()-1,7)+50)&lt;&gt;"","set "&amp;INDEX(CUEs!$A:$A,INT((ROW()-1)/7)*57+MOD(ROW()-1,7)+50)&amp;"=/ s "&amp;INDEX(CUEs!$B:$B,INT((ROW()-1)/7)*57+MOD(ROW()-1,7)+50),"")</f>
        <v/>
      </c>
    </row>
    <row r="5848" spans="1:1" x14ac:dyDescent="0.25">
      <c r="A5848" t="str" cm="1">
        <f t="array" ref="A5848">IF(INDEX(CUEs!$A:$A,INT((ROW()-1)/7)*57+MOD(ROW()-1,7)+50)&lt;&gt;"","set "&amp;INDEX(CUEs!$A:$A,INT((ROW()-1)/7)*57+MOD(ROW()-1,7)+50)&amp;"=/ s "&amp;INDEX(CUEs!$B:$B,INT((ROW()-1)/7)*57+MOD(ROW()-1,7)+50),"")</f>
        <v/>
      </c>
    </row>
    <row r="5849" spans="1:1" x14ac:dyDescent="0.25">
      <c r="A5849" t="str" cm="1">
        <f t="array" ref="A5849">IF(INDEX(CUEs!$A:$A,INT((ROW()-1)/7)*57+MOD(ROW()-1,7)+50)&lt;&gt;"","set "&amp;INDEX(CUEs!$A:$A,INT((ROW()-1)/7)*57+MOD(ROW()-1,7)+50)&amp;"=/ s "&amp;INDEX(CUEs!$B:$B,INT((ROW()-1)/7)*57+MOD(ROW()-1,7)+50),"")</f>
        <v/>
      </c>
    </row>
    <row r="5850" spans="1:1" x14ac:dyDescent="0.25">
      <c r="A5850" t="str" cm="1">
        <f t="array" ref="A5850">IF(INDEX(CUEs!$A:$A,INT((ROW()-1)/7)*57+MOD(ROW()-1,7)+50)&lt;&gt;"","set "&amp;INDEX(CUEs!$A:$A,INT((ROW()-1)/7)*57+MOD(ROW()-1,7)+50)&amp;"=/ s "&amp;INDEX(CUEs!$B:$B,INT((ROW()-1)/7)*57+MOD(ROW()-1,7)+50),"")</f>
        <v/>
      </c>
    </row>
    <row r="5851" spans="1:1" x14ac:dyDescent="0.25">
      <c r="A5851" t="str" cm="1">
        <f t="array" ref="A5851">IF(INDEX(CUEs!$A:$A,INT((ROW()-1)/7)*57+MOD(ROW()-1,7)+50)&lt;&gt;"","set "&amp;INDEX(CUEs!$A:$A,INT((ROW()-1)/7)*57+MOD(ROW()-1,7)+50)&amp;"=/ s "&amp;INDEX(CUEs!$B:$B,INT((ROW()-1)/7)*57+MOD(ROW()-1,7)+50),"")</f>
        <v/>
      </c>
    </row>
    <row r="5852" spans="1:1" x14ac:dyDescent="0.25">
      <c r="A5852" t="str" cm="1">
        <f t="array" ref="A5852">IF(INDEX(CUEs!$A:$A,INT((ROW()-1)/7)*57+MOD(ROW()-1,7)+50)&lt;&gt;"","set "&amp;INDEX(CUEs!$A:$A,INT((ROW()-1)/7)*57+MOD(ROW()-1,7)+50)&amp;"=/ s "&amp;INDEX(CUEs!$B:$B,INT((ROW()-1)/7)*57+MOD(ROW()-1,7)+50),"")</f>
        <v/>
      </c>
    </row>
    <row r="5853" spans="1:1" x14ac:dyDescent="0.25">
      <c r="A5853" t="str" cm="1">
        <f t="array" ref="A5853">IF(INDEX(CUEs!$A:$A,INT((ROW()-1)/7)*57+MOD(ROW()-1,7)+50)&lt;&gt;"","set "&amp;INDEX(CUEs!$A:$A,INT((ROW()-1)/7)*57+MOD(ROW()-1,7)+50)&amp;"=/ s "&amp;INDEX(CUEs!$B:$B,INT((ROW()-1)/7)*57+MOD(ROW()-1,7)+50),"")</f>
        <v/>
      </c>
    </row>
    <row r="5854" spans="1:1" x14ac:dyDescent="0.25">
      <c r="A5854" t="str" cm="1">
        <f t="array" ref="A5854">IF(INDEX(CUEs!$A:$A,INT((ROW()-1)/7)*57+MOD(ROW()-1,7)+50)&lt;&gt;"","set "&amp;INDEX(CUEs!$A:$A,INT((ROW()-1)/7)*57+MOD(ROW()-1,7)+50)&amp;"=/ s "&amp;INDEX(CUEs!$B:$B,INT((ROW()-1)/7)*57+MOD(ROW()-1,7)+50),"")</f>
        <v/>
      </c>
    </row>
    <row r="5855" spans="1:1" x14ac:dyDescent="0.25">
      <c r="A5855" t="str" cm="1">
        <f t="array" ref="A5855">IF(INDEX(CUEs!$A:$A,INT((ROW()-1)/7)*57+MOD(ROW()-1,7)+50)&lt;&gt;"","set "&amp;INDEX(CUEs!$A:$A,INT((ROW()-1)/7)*57+MOD(ROW()-1,7)+50)&amp;"=/ s "&amp;INDEX(CUEs!$B:$B,INT((ROW()-1)/7)*57+MOD(ROW()-1,7)+50),"")</f>
        <v/>
      </c>
    </row>
    <row r="5856" spans="1:1" x14ac:dyDescent="0.25">
      <c r="A5856" t="str" cm="1">
        <f t="array" ref="A5856">IF(INDEX(CUEs!$A:$A,INT((ROW()-1)/7)*57+MOD(ROW()-1,7)+50)&lt;&gt;"","set "&amp;INDEX(CUEs!$A:$A,INT((ROW()-1)/7)*57+MOD(ROW()-1,7)+50)&amp;"=/ s "&amp;INDEX(CUEs!$B:$B,INT((ROW()-1)/7)*57+MOD(ROW()-1,7)+50),"")</f>
        <v/>
      </c>
    </row>
    <row r="5857" spans="1:1" x14ac:dyDescent="0.25">
      <c r="A5857" t="str" cm="1">
        <f t="array" ref="A5857">IF(INDEX(CUEs!$A:$A,INT((ROW()-1)/7)*57+MOD(ROW()-1,7)+50)&lt;&gt;"","set "&amp;INDEX(CUEs!$A:$A,INT((ROW()-1)/7)*57+MOD(ROW()-1,7)+50)&amp;"=/ s "&amp;INDEX(CUEs!$B:$B,INT((ROW()-1)/7)*57+MOD(ROW()-1,7)+50),"")</f>
        <v/>
      </c>
    </row>
    <row r="5858" spans="1:1" x14ac:dyDescent="0.25">
      <c r="A5858" t="str" cm="1">
        <f t="array" ref="A5858">IF(INDEX(CUEs!$A:$A,INT((ROW()-1)/7)*57+MOD(ROW()-1,7)+50)&lt;&gt;"","set "&amp;INDEX(CUEs!$A:$A,INT((ROW()-1)/7)*57+MOD(ROW()-1,7)+50)&amp;"=/ s "&amp;INDEX(CUEs!$B:$B,INT((ROW()-1)/7)*57+MOD(ROW()-1,7)+50),"")</f>
        <v/>
      </c>
    </row>
    <row r="5859" spans="1:1" x14ac:dyDescent="0.25">
      <c r="A5859" t="str" cm="1">
        <f t="array" ref="A5859">IF(INDEX(CUEs!$A:$A,INT((ROW()-1)/7)*57+MOD(ROW()-1,7)+50)&lt;&gt;"","set "&amp;INDEX(CUEs!$A:$A,INT((ROW()-1)/7)*57+MOD(ROW()-1,7)+50)&amp;"=/ s "&amp;INDEX(CUEs!$B:$B,INT((ROW()-1)/7)*57+MOD(ROW()-1,7)+50),"")</f>
        <v/>
      </c>
    </row>
    <row r="5860" spans="1:1" x14ac:dyDescent="0.25">
      <c r="A5860" t="str" cm="1">
        <f t="array" ref="A5860">IF(INDEX(CUEs!$A:$A,INT((ROW()-1)/7)*57+MOD(ROW()-1,7)+50)&lt;&gt;"","set "&amp;INDEX(CUEs!$A:$A,INT((ROW()-1)/7)*57+MOD(ROW()-1,7)+50)&amp;"=/ s "&amp;INDEX(CUEs!$B:$B,INT((ROW()-1)/7)*57+MOD(ROW()-1,7)+50),"")</f>
        <v/>
      </c>
    </row>
    <row r="5861" spans="1:1" x14ac:dyDescent="0.25">
      <c r="A5861" t="str" cm="1">
        <f t="array" ref="A5861">IF(INDEX(CUEs!$A:$A,INT((ROW()-1)/7)*57+MOD(ROW()-1,7)+50)&lt;&gt;"","set "&amp;INDEX(CUEs!$A:$A,INT((ROW()-1)/7)*57+MOD(ROW()-1,7)+50)&amp;"=/ s "&amp;INDEX(CUEs!$B:$B,INT((ROW()-1)/7)*57+MOD(ROW()-1,7)+50),"")</f>
        <v/>
      </c>
    </row>
    <row r="5862" spans="1:1" x14ac:dyDescent="0.25">
      <c r="A5862" t="str" cm="1">
        <f t="array" ref="A5862">IF(INDEX(CUEs!$A:$A,INT((ROW()-1)/7)*57+MOD(ROW()-1,7)+50)&lt;&gt;"","set "&amp;INDEX(CUEs!$A:$A,INT((ROW()-1)/7)*57+MOD(ROW()-1,7)+50)&amp;"=/ s "&amp;INDEX(CUEs!$B:$B,INT((ROW()-1)/7)*57+MOD(ROW()-1,7)+50),"")</f>
        <v/>
      </c>
    </row>
    <row r="5863" spans="1:1" x14ac:dyDescent="0.25">
      <c r="A5863" t="str" cm="1">
        <f t="array" ref="A5863">IF(INDEX(CUEs!$A:$A,INT((ROW()-1)/7)*57+MOD(ROW()-1,7)+50)&lt;&gt;"","set "&amp;INDEX(CUEs!$A:$A,INT((ROW()-1)/7)*57+MOD(ROW()-1,7)+50)&amp;"=/ s "&amp;INDEX(CUEs!$B:$B,INT((ROW()-1)/7)*57+MOD(ROW()-1,7)+50),"")</f>
        <v/>
      </c>
    </row>
    <row r="5864" spans="1:1" x14ac:dyDescent="0.25">
      <c r="A5864" t="str" cm="1">
        <f t="array" ref="A5864">IF(INDEX(CUEs!$A:$A,INT((ROW()-1)/7)*57+MOD(ROW()-1,7)+50)&lt;&gt;"","set "&amp;INDEX(CUEs!$A:$A,INT((ROW()-1)/7)*57+MOD(ROW()-1,7)+50)&amp;"=/ s "&amp;INDEX(CUEs!$B:$B,INT((ROW()-1)/7)*57+MOD(ROW()-1,7)+50),"")</f>
        <v/>
      </c>
    </row>
    <row r="5865" spans="1:1" x14ac:dyDescent="0.25">
      <c r="A5865" t="str" cm="1">
        <f t="array" ref="A5865">IF(INDEX(CUEs!$A:$A,INT((ROW()-1)/7)*57+MOD(ROW()-1,7)+50)&lt;&gt;"","set "&amp;INDEX(CUEs!$A:$A,INT((ROW()-1)/7)*57+MOD(ROW()-1,7)+50)&amp;"=/ s "&amp;INDEX(CUEs!$B:$B,INT((ROW()-1)/7)*57+MOD(ROW()-1,7)+50),"")</f>
        <v/>
      </c>
    </row>
    <row r="5866" spans="1:1" x14ac:dyDescent="0.25">
      <c r="A5866" t="str" cm="1">
        <f t="array" ref="A5866">IF(INDEX(CUEs!$A:$A,INT((ROW()-1)/7)*57+MOD(ROW()-1,7)+50)&lt;&gt;"","set "&amp;INDEX(CUEs!$A:$A,INT((ROW()-1)/7)*57+MOD(ROW()-1,7)+50)&amp;"=/ s "&amp;INDEX(CUEs!$B:$B,INT((ROW()-1)/7)*57+MOD(ROW()-1,7)+50),"")</f>
        <v/>
      </c>
    </row>
    <row r="5867" spans="1:1" x14ac:dyDescent="0.25">
      <c r="A5867" t="str" cm="1">
        <f t="array" ref="A5867">IF(INDEX(CUEs!$A:$A,INT((ROW()-1)/7)*57+MOD(ROW()-1,7)+50)&lt;&gt;"","set "&amp;INDEX(CUEs!$A:$A,INT((ROW()-1)/7)*57+MOD(ROW()-1,7)+50)&amp;"=/ s "&amp;INDEX(CUEs!$B:$B,INT((ROW()-1)/7)*57+MOD(ROW()-1,7)+50),"")</f>
        <v/>
      </c>
    </row>
    <row r="5868" spans="1:1" x14ac:dyDescent="0.25">
      <c r="A5868" t="str" cm="1">
        <f t="array" ref="A5868">IF(INDEX(CUEs!$A:$A,INT((ROW()-1)/7)*57+MOD(ROW()-1,7)+50)&lt;&gt;"","set "&amp;INDEX(CUEs!$A:$A,INT((ROW()-1)/7)*57+MOD(ROW()-1,7)+50)&amp;"=/ s "&amp;INDEX(CUEs!$B:$B,INT((ROW()-1)/7)*57+MOD(ROW()-1,7)+50),"")</f>
        <v/>
      </c>
    </row>
    <row r="5869" spans="1:1" x14ac:dyDescent="0.25">
      <c r="A5869" t="str" cm="1">
        <f t="array" ref="A5869">IF(INDEX(CUEs!$A:$A,INT((ROW()-1)/7)*57+MOD(ROW()-1,7)+50)&lt;&gt;"","set "&amp;INDEX(CUEs!$A:$A,INT((ROW()-1)/7)*57+MOD(ROW()-1,7)+50)&amp;"=/ s "&amp;INDEX(CUEs!$B:$B,INT((ROW()-1)/7)*57+MOD(ROW()-1,7)+50),"")</f>
        <v/>
      </c>
    </row>
    <row r="5870" spans="1:1" x14ac:dyDescent="0.25">
      <c r="A5870" t="str" cm="1">
        <f t="array" ref="A5870">IF(INDEX(CUEs!$A:$A,INT((ROW()-1)/7)*57+MOD(ROW()-1,7)+50)&lt;&gt;"","set "&amp;INDEX(CUEs!$A:$A,INT((ROW()-1)/7)*57+MOD(ROW()-1,7)+50)&amp;"=/ s "&amp;INDEX(CUEs!$B:$B,INT((ROW()-1)/7)*57+MOD(ROW()-1,7)+50),"")</f>
        <v/>
      </c>
    </row>
    <row r="5871" spans="1:1" x14ac:dyDescent="0.25">
      <c r="A5871" t="str" cm="1">
        <f t="array" ref="A5871">IF(INDEX(CUEs!$A:$A,INT((ROW()-1)/7)*57+MOD(ROW()-1,7)+50)&lt;&gt;"","set "&amp;INDEX(CUEs!$A:$A,INT((ROW()-1)/7)*57+MOD(ROW()-1,7)+50)&amp;"=/ s "&amp;INDEX(CUEs!$B:$B,INT((ROW()-1)/7)*57+MOD(ROW()-1,7)+50),"")</f>
        <v/>
      </c>
    </row>
    <row r="5872" spans="1:1" x14ac:dyDescent="0.25">
      <c r="A5872" t="str" cm="1">
        <f t="array" ref="A5872">IF(INDEX(CUEs!$A:$A,INT((ROW()-1)/7)*57+MOD(ROW()-1,7)+50)&lt;&gt;"","set "&amp;INDEX(CUEs!$A:$A,INT((ROW()-1)/7)*57+MOD(ROW()-1,7)+50)&amp;"=/ s "&amp;INDEX(CUEs!$B:$B,INT((ROW()-1)/7)*57+MOD(ROW()-1,7)+50),"")</f>
        <v/>
      </c>
    </row>
    <row r="5873" spans="1:1" x14ac:dyDescent="0.25">
      <c r="A5873" t="str" cm="1">
        <f t="array" ref="A5873">IF(INDEX(CUEs!$A:$A,INT((ROW()-1)/7)*57+MOD(ROW()-1,7)+50)&lt;&gt;"","set "&amp;INDEX(CUEs!$A:$A,INT((ROW()-1)/7)*57+MOD(ROW()-1,7)+50)&amp;"=/ s "&amp;INDEX(CUEs!$B:$B,INT((ROW()-1)/7)*57+MOD(ROW()-1,7)+50),"")</f>
        <v/>
      </c>
    </row>
    <row r="5874" spans="1:1" x14ac:dyDescent="0.25">
      <c r="A5874" t="str" cm="1">
        <f t="array" ref="A5874">IF(INDEX(CUEs!$A:$A,INT((ROW()-1)/7)*57+MOD(ROW()-1,7)+50)&lt;&gt;"","set "&amp;INDEX(CUEs!$A:$A,INT((ROW()-1)/7)*57+MOD(ROW()-1,7)+50)&amp;"=/ s "&amp;INDEX(CUEs!$B:$B,INT((ROW()-1)/7)*57+MOD(ROW()-1,7)+50),"")</f>
        <v/>
      </c>
    </row>
    <row r="5875" spans="1:1" x14ac:dyDescent="0.25">
      <c r="A5875" t="str" cm="1">
        <f t="array" ref="A5875">IF(INDEX(CUEs!$A:$A,INT((ROW()-1)/7)*57+MOD(ROW()-1,7)+50)&lt;&gt;"","set "&amp;INDEX(CUEs!$A:$A,INT((ROW()-1)/7)*57+MOD(ROW()-1,7)+50)&amp;"=/ s "&amp;INDEX(CUEs!$B:$B,INT((ROW()-1)/7)*57+MOD(ROW()-1,7)+50),"")</f>
        <v/>
      </c>
    </row>
    <row r="5876" spans="1:1" x14ac:dyDescent="0.25">
      <c r="A5876" t="str" cm="1">
        <f t="array" ref="A5876">IF(INDEX(CUEs!$A:$A,INT((ROW()-1)/7)*57+MOD(ROW()-1,7)+50)&lt;&gt;"","set "&amp;INDEX(CUEs!$A:$A,INT((ROW()-1)/7)*57+MOD(ROW()-1,7)+50)&amp;"=/ s "&amp;INDEX(CUEs!$B:$B,INT((ROW()-1)/7)*57+MOD(ROW()-1,7)+50),"")</f>
        <v/>
      </c>
    </row>
    <row r="5877" spans="1:1" x14ac:dyDescent="0.25">
      <c r="A5877" t="str" cm="1">
        <f t="array" ref="A5877">IF(INDEX(CUEs!$A:$A,INT((ROW()-1)/7)*57+MOD(ROW()-1,7)+50)&lt;&gt;"","set "&amp;INDEX(CUEs!$A:$A,INT((ROW()-1)/7)*57+MOD(ROW()-1,7)+50)&amp;"=/ s "&amp;INDEX(CUEs!$B:$B,INT((ROW()-1)/7)*57+MOD(ROW()-1,7)+50),"")</f>
        <v/>
      </c>
    </row>
    <row r="5878" spans="1:1" x14ac:dyDescent="0.25">
      <c r="A5878" t="str" cm="1">
        <f t="array" ref="A5878">IF(INDEX(CUEs!$A:$A,INT((ROW()-1)/7)*57+MOD(ROW()-1,7)+50)&lt;&gt;"","set "&amp;INDEX(CUEs!$A:$A,INT((ROW()-1)/7)*57+MOD(ROW()-1,7)+50)&amp;"=/ s "&amp;INDEX(CUEs!$B:$B,INT((ROW()-1)/7)*57+MOD(ROW()-1,7)+50),"")</f>
        <v/>
      </c>
    </row>
    <row r="5879" spans="1:1" x14ac:dyDescent="0.25">
      <c r="A5879" t="str" cm="1">
        <f t="array" ref="A5879">IF(INDEX(CUEs!$A:$A,INT((ROW()-1)/7)*57+MOD(ROW()-1,7)+50)&lt;&gt;"","set "&amp;INDEX(CUEs!$A:$A,INT((ROW()-1)/7)*57+MOD(ROW()-1,7)+50)&amp;"=/ s "&amp;INDEX(CUEs!$B:$B,INT((ROW()-1)/7)*57+MOD(ROW()-1,7)+50),"")</f>
        <v/>
      </c>
    </row>
    <row r="5880" spans="1:1" x14ac:dyDescent="0.25">
      <c r="A5880" t="str" cm="1">
        <f t="array" ref="A5880">IF(INDEX(CUEs!$A:$A,INT((ROW()-1)/7)*57+MOD(ROW()-1,7)+50)&lt;&gt;"","set "&amp;INDEX(CUEs!$A:$A,INT((ROW()-1)/7)*57+MOD(ROW()-1,7)+50)&amp;"=/ s "&amp;INDEX(CUEs!$B:$B,INT((ROW()-1)/7)*57+MOD(ROW()-1,7)+50),"")</f>
        <v/>
      </c>
    </row>
    <row r="5881" spans="1:1" x14ac:dyDescent="0.25">
      <c r="A5881" t="str" cm="1">
        <f t="array" ref="A5881">IF(INDEX(CUEs!$A:$A,INT((ROW()-1)/7)*57+MOD(ROW()-1,7)+50)&lt;&gt;"","set "&amp;INDEX(CUEs!$A:$A,INT((ROW()-1)/7)*57+MOD(ROW()-1,7)+50)&amp;"=/ s "&amp;INDEX(CUEs!$B:$B,INT((ROW()-1)/7)*57+MOD(ROW()-1,7)+50),"")</f>
        <v/>
      </c>
    </row>
    <row r="5882" spans="1:1" x14ac:dyDescent="0.25">
      <c r="A5882" t="str" cm="1">
        <f t="array" ref="A5882">IF(INDEX(CUEs!$A:$A,INT((ROW()-1)/7)*57+MOD(ROW()-1,7)+50)&lt;&gt;"","set "&amp;INDEX(CUEs!$A:$A,INT((ROW()-1)/7)*57+MOD(ROW()-1,7)+50)&amp;"=/ s "&amp;INDEX(CUEs!$B:$B,INT((ROW()-1)/7)*57+MOD(ROW()-1,7)+50),"")</f>
        <v/>
      </c>
    </row>
    <row r="5883" spans="1:1" x14ac:dyDescent="0.25">
      <c r="A5883" t="str" cm="1">
        <f t="array" ref="A5883">IF(INDEX(CUEs!$A:$A,INT((ROW()-1)/7)*57+MOD(ROW()-1,7)+50)&lt;&gt;"","set "&amp;INDEX(CUEs!$A:$A,INT((ROW()-1)/7)*57+MOD(ROW()-1,7)+50)&amp;"=/ s "&amp;INDEX(CUEs!$B:$B,INT((ROW()-1)/7)*57+MOD(ROW()-1,7)+50),"")</f>
        <v/>
      </c>
    </row>
    <row r="5884" spans="1:1" x14ac:dyDescent="0.25">
      <c r="A5884" t="str" cm="1">
        <f t="array" ref="A5884">IF(INDEX(CUEs!$A:$A,INT((ROW()-1)/7)*57+MOD(ROW()-1,7)+50)&lt;&gt;"","set "&amp;INDEX(CUEs!$A:$A,INT((ROW()-1)/7)*57+MOD(ROW()-1,7)+50)&amp;"=/ s "&amp;INDEX(CUEs!$B:$B,INT((ROW()-1)/7)*57+MOD(ROW()-1,7)+50),"")</f>
        <v/>
      </c>
    </row>
    <row r="5885" spans="1:1" x14ac:dyDescent="0.25">
      <c r="A5885" t="str" cm="1">
        <f t="array" ref="A5885">IF(INDEX(CUEs!$A:$A,INT((ROW()-1)/7)*57+MOD(ROW()-1,7)+50)&lt;&gt;"","set "&amp;INDEX(CUEs!$A:$A,INT((ROW()-1)/7)*57+MOD(ROW()-1,7)+50)&amp;"=/ s "&amp;INDEX(CUEs!$B:$B,INT((ROW()-1)/7)*57+MOD(ROW()-1,7)+50),"")</f>
        <v/>
      </c>
    </row>
    <row r="5886" spans="1:1" x14ac:dyDescent="0.25">
      <c r="A5886" t="str" cm="1">
        <f t="array" ref="A5886">IF(INDEX(CUEs!$A:$A,INT((ROW()-1)/7)*57+MOD(ROW()-1,7)+50)&lt;&gt;"","set "&amp;INDEX(CUEs!$A:$A,INT((ROW()-1)/7)*57+MOD(ROW()-1,7)+50)&amp;"=/ s "&amp;INDEX(CUEs!$B:$B,INT((ROW()-1)/7)*57+MOD(ROW()-1,7)+50),"")</f>
        <v/>
      </c>
    </row>
    <row r="5887" spans="1:1" x14ac:dyDescent="0.25">
      <c r="A5887" t="str" cm="1">
        <f t="array" ref="A5887">IF(INDEX(CUEs!$A:$A,INT((ROW()-1)/7)*57+MOD(ROW()-1,7)+50)&lt;&gt;"","set "&amp;INDEX(CUEs!$A:$A,INT((ROW()-1)/7)*57+MOD(ROW()-1,7)+50)&amp;"=/ s "&amp;INDEX(CUEs!$B:$B,INT((ROW()-1)/7)*57+MOD(ROW()-1,7)+50),"")</f>
        <v/>
      </c>
    </row>
    <row r="5888" spans="1:1" x14ac:dyDescent="0.25">
      <c r="A5888" t="str" cm="1">
        <f t="array" ref="A5888">IF(INDEX(CUEs!$A:$A,INT((ROW()-1)/7)*57+MOD(ROW()-1,7)+50)&lt;&gt;"","set "&amp;INDEX(CUEs!$A:$A,INT((ROW()-1)/7)*57+MOD(ROW()-1,7)+50)&amp;"=/ s "&amp;INDEX(CUEs!$B:$B,INT((ROW()-1)/7)*57+MOD(ROW()-1,7)+50),"")</f>
        <v/>
      </c>
    </row>
    <row r="5889" spans="1:1" x14ac:dyDescent="0.25">
      <c r="A5889" t="str" cm="1">
        <f t="array" ref="A5889">IF(INDEX(CUEs!$A:$A,INT((ROW()-1)/7)*57+MOD(ROW()-1,7)+50)&lt;&gt;"","set "&amp;INDEX(CUEs!$A:$A,INT((ROW()-1)/7)*57+MOD(ROW()-1,7)+50)&amp;"=/ s "&amp;INDEX(CUEs!$B:$B,INT((ROW()-1)/7)*57+MOD(ROW()-1,7)+50),"")</f>
        <v/>
      </c>
    </row>
    <row r="5890" spans="1:1" x14ac:dyDescent="0.25">
      <c r="A5890" t="str" cm="1">
        <f t="array" ref="A5890">IF(INDEX(CUEs!$A:$A,INT((ROW()-1)/7)*57+MOD(ROW()-1,7)+50)&lt;&gt;"","set "&amp;INDEX(CUEs!$A:$A,INT((ROW()-1)/7)*57+MOD(ROW()-1,7)+50)&amp;"=/ s "&amp;INDEX(CUEs!$B:$B,INT((ROW()-1)/7)*57+MOD(ROW()-1,7)+50),"")</f>
        <v/>
      </c>
    </row>
    <row r="5891" spans="1:1" x14ac:dyDescent="0.25">
      <c r="A5891" t="str" cm="1">
        <f t="array" ref="A5891">IF(INDEX(CUEs!$A:$A,INT((ROW()-1)/7)*57+MOD(ROW()-1,7)+50)&lt;&gt;"","set "&amp;INDEX(CUEs!$A:$A,INT((ROW()-1)/7)*57+MOD(ROW()-1,7)+50)&amp;"=/ s "&amp;INDEX(CUEs!$B:$B,INT((ROW()-1)/7)*57+MOD(ROW()-1,7)+50),"")</f>
        <v/>
      </c>
    </row>
    <row r="5892" spans="1:1" x14ac:dyDescent="0.25">
      <c r="A5892" t="str" cm="1">
        <f t="array" ref="A5892">IF(INDEX(CUEs!$A:$A,INT((ROW()-1)/7)*57+MOD(ROW()-1,7)+50)&lt;&gt;"","set "&amp;INDEX(CUEs!$A:$A,INT((ROW()-1)/7)*57+MOD(ROW()-1,7)+50)&amp;"=/ s "&amp;INDEX(CUEs!$B:$B,INT((ROW()-1)/7)*57+MOD(ROW()-1,7)+50),"")</f>
        <v/>
      </c>
    </row>
    <row r="5893" spans="1:1" x14ac:dyDescent="0.25">
      <c r="A5893" t="str" cm="1">
        <f t="array" ref="A5893">IF(INDEX(CUEs!$A:$A,INT((ROW()-1)/7)*57+MOD(ROW()-1,7)+50)&lt;&gt;"","set "&amp;INDEX(CUEs!$A:$A,INT((ROW()-1)/7)*57+MOD(ROW()-1,7)+50)&amp;"=/ s "&amp;INDEX(CUEs!$B:$B,INT((ROW()-1)/7)*57+MOD(ROW()-1,7)+50),"")</f>
        <v/>
      </c>
    </row>
    <row r="5894" spans="1:1" x14ac:dyDescent="0.25">
      <c r="A5894" t="str" cm="1">
        <f t="array" ref="A5894">IF(INDEX(CUEs!$A:$A,INT((ROW()-1)/7)*57+MOD(ROW()-1,7)+50)&lt;&gt;"","set "&amp;INDEX(CUEs!$A:$A,INT((ROW()-1)/7)*57+MOD(ROW()-1,7)+50)&amp;"=/ s "&amp;INDEX(CUEs!$B:$B,INT((ROW()-1)/7)*57+MOD(ROW()-1,7)+50),"")</f>
        <v/>
      </c>
    </row>
    <row r="5895" spans="1:1" x14ac:dyDescent="0.25">
      <c r="A5895" t="str" cm="1">
        <f t="array" ref="A5895">IF(INDEX(CUEs!$A:$A,INT((ROW()-1)/7)*57+MOD(ROW()-1,7)+50)&lt;&gt;"","set "&amp;INDEX(CUEs!$A:$A,INT((ROW()-1)/7)*57+MOD(ROW()-1,7)+50)&amp;"=/ s "&amp;INDEX(CUEs!$B:$B,INT((ROW()-1)/7)*57+MOD(ROW()-1,7)+50),"")</f>
        <v/>
      </c>
    </row>
    <row r="5896" spans="1:1" x14ac:dyDescent="0.25">
      <c r="A5896" t="str" cm="1">
        <f t="array" ref="A5896">IF(INDEX(CUEs!$A:$A,INT((ROW()-1)/7)*57+MOD(ROW()-1,7)+50)&lt;&gt;"","set "&amp;INDEX(CUEs!$A:$A,INT((ROW()-1)/7)*57+MOD(ROW()-1,7)+50)&amp;"=/ s "&amp;INDEX(CUEs!$B:$B,INT((ROW()-1)/7)*57+MOD(ROW()-1,7)+50),"")</f>
        <v/>
      </c>
    </row>
    <row r="5897" spans="1:1" x14ac:dyDescent="0.25">
      <c r="A5897" t="str" cm="1">
        <f t="array" ref="A5897">IF(INDEX(CUEs!$A:$A,INT((ROW()-1)/7)*57+MOD(ROW()-1,7)+50)&lt;&gt;"","set "&amp;INDEX(CUEs!$A:$A,INT((ROW()-1)/7)*57+MOD(ROW()-1,7)+50)&amp;"=/ s "&amp;INDEX(CUEs!$B:$B,INT((ROW()-1)/7)*57+MOD(ROW()-1,7)+50),"")</f>
        <v/>
      </c>
    </row>
    <row r="5898" spans="1:1" x14ac:dyDescent="0.25">
      <c r="A5898" t="str" cm="1">
        <f t="array" ref="A5898">IF(INDEX(CUEs!$A:$A,INT((ROW()-1)/7)*57+MOD(ROW()-1,7)+50)&lt;&gt;"","set "&amp;INDEX(CUEs!$A:$A,INT((ROW()-1)/7)*57+MOD(ROW()-1,7)+50)&amp;"=/ s "&amp;INDEX(CUEs!$B:$B,INT((ROW()-1)/7)*57+MOD(ROW()-1,7)+50),"")</f>
        <v/>
      </c>
    </row>
    <row r="5899" spans="1:1" x14ac:dyDescent="0.25">
      <c r="A5899" t="str" cm="1">
        <f t="array" ref="A5899">IF(INDEX(CUEs!$A:$A,INT((ROW()-1)/7)*57+MOD(ROW()-1,7)+50)&lt;&gt;"","set "&amp;INDEX(CUEs!$A:$A,INT((ROW()-1)/7)*57+MOD(ROW()-1,7)+50)&amp;"=/ s "&amp;INDEX(CUEs!$B:$B,INT((ROW()-1)/7)*57+MOD(ROW()-1,7)+50),"")</f>
        <v/>
      </c>
    </row>
    <row r="5900" spans="1:1" x14ac:dyDescent="0.25">
      <c r="A5900" t="str" cm="1">
        <f t="array" ref="A5900">IF(INDEX(CUEs!$A:$A,INT((ROW()-1)/7)*57+MOD(ROW()-1,7)+50)&lt;&gt;"","set "&amp;INDEX(CUEs!$A:$A,INT((ROW()-1)/7)*57+MOD(ROW()-1,7)+50)&amp;"=/ s "&amp;INDEX(CUEs!$B:$B,INT((ROW()-1)/7)*57+MOD(ROW()-1,7)+50),"")</f>
        <v/>
      </c>
    </row>
    <row r="5901" spans="1:1" x14ac:dyDescent="0.25">
      <c r="A5901" t="str" cm="1">
        <f t="array" ref="A5901">IF(INDEX(CUEs!$A:$A,INT((ROW()-1)/7)*57+MOD(ROW()-1,7)+50)&lt;&gt;"","set "&amp;INDEX(CUEs!$A:$A,INT((ROW()-1)/7)*57+MOD(ROW()-1,7)+50)&amp;"=/ s "&amp;INDEX(CUEs!$B:$B,INT((ROW()-1)/7)*57+MOD(ROW()-1,7)+50),"")</f>
        <v/>
      </c>
    </row>
    <row r="5902" spans="1:1" x14ac:dyDescent="0.25">
      <c r="A5902" t="str" cm="1">
        <f t="array" ref="A5902">IF(INDEX(CUEs!$A:$A,INT((ROW()-1)/7)*57+MOD(ROW()-1,7)+50)&lt;&gt;"","set "&amp;INDEX(CUEs!$A:$A,INT((ROW()-1)/7)*57+MOD(ROW()-1,7)+50)&amp;"=/ s "&amp;INDEX(CUEs!$B:$B,INT((ROW()-1)/7)*57+MOD(ROW()-1,7)+50),"")</f>
        <v/>
      </c>
    </row>
    <row r="5903" spans="1:1" x14ac:dyDescent="0.25">
      <c r="A5903" t="str" cm="1">
        <f t="array" ref="A5903">IF(INDEX(CUEs!$A:$A,INT((ROW()-1)/7)*57+MOD(ROW()-1,7)+50)&lt;&gt;"","set "&amp;INDEX(CUEs!$A:$A,INT((ROW()-1)/7)*57+MOD(ROW()-1,7)+50)&amp;"=/ s "&amp;INDEX(CUEs!$B:$B,INT((ROW()-1)/7)*57+MOD(ROW()-1,7)+50),"")</f>
        <v/>
      </c>
    </row>
    <row r="5904" spans="1:1" x14ac:dyDescent="0.25">
      <c r="A5904" t="str" cm="1">
        <f t="array" ref="A5904">IF(INDEX(CUEs!$A:$A,INT((ROW()-1)/7)*57+MOD(ROW()-1,7)+50)&lt;&gt;"","set "&amp;INDEX(CUEs!$A:$A,INT((ROW()-1)/7)*57+MOD(ROW()-1,7)+50)&amp;"=/ s "&amp;INDEX(CUEs!$B:$B,INT((ROW()-1)/7)*57+MOD(ROW()-1,7)+50),"")</f>
        <v/>
      </c>
    </row>
    <row r="5905" spans="1:1" x14ac:dyDescent="0.25">
      <c r="A5905" t="str" cm="1">
        <f t="array" ref="A5905">IF(INDEX(CUEs!$A:$A,INT((ROW()-1)/7)*57+MOD(ROW()-1,7)+50)&lt;&gt;"","set "&amp;INDEX(CUEs!$A:$A,INT((ROW()-1)/7)*57+MOD(ROW()-1,7)+50)&amp;"=/ s "&amp;INDEX(CUEs!$B:$B,INT((ROW()-1)/7)*57+MOD(ROW()-1,7)+50),"")</f>
        <v/>
      </c>
    </row>
    <row r="5906" spans="1:1" x14ac:dyDescent="0.25">
      <c r="A5906" t="str" cm="1">
        <f t="array" ref="A5906">IF(INDEX(CUEs!$A:$A,INT((ROW()-1)/7)*57+MOD(ROW()-1,7)+50)&lt;&gt;"","set "&amp;INDEX(CUEs!$A:$A,INT((ROW()-1)/7)*57+MOD(ROW()-1,7)+50)&amp;"=/ s "&amp;INDEX(CUEs!$B:$B,INT((ROW()-1)/7)*57+MOD(ROW()-1,7)+50),"")</f>
        <v/>
      </c>
    </row>
    <row r="5907" spans="1:1" x14ac:dyDescent="0.25">
      <c r="A5907" t="str" cm="1">
        <f t="array" ref="A5907">IF(INDEX(CUEs!$A:$A,INT((ROW()-1)/7)*57+MOD(ROW()-1,7)+50)&lt;&gt;"","set "&amp;INDEX(CUEs!$A:$A,INT((ROW()-1)/7)*57+MOD(ROW()-1,7)+50)&amp;"=/ s "&amp;INDEX(CUEs!$B:$B,INT((ROW()-1)/7)*57+MOD(ROW()-1,7)+50),"")</f>
        <v/>
      </c>
    </row>
    <row r="5908" spans="1:1" x14ac:dyDescent="0.25">
      <c r="A5908" t="str" cm="1">
        <f t="array" ref="A5908">IF(INDEX(CUEs!$A:$A,INT((ROW()-1)/7)*57+MOD(ROW()-1,7)+50)&lt;&gt;"","set "&amp;INDEX(CUEs!$A:$A,INT((ROW()-1)/7)*57+MOD(ROW()-1,7)+50)&amp;"=/ s "&amp;INDEX(CUEs!$B:$B,INT((ROW()-1)/7)*57+MOD(ROW()-1,7)+50),"")</f>
        <v/>
      </c>
    </row>
    <row r="5909" spans="1:1" x14ac:dyDescent="0.25">
      <c r="A5909" t="str" cm="1">
        <f t="array" ref="A5909">IF(INDEX(CUEs!$A:$A,INT((ROW()-1)/7)*57+MOD(ROW()-1,7)+50)&lt;&gt;"","set "&amp;INDEX(CUEs!$A:$A,INT((ROW()-1)/7)*57+MOD(ROW()-1,7)+50)&amp;"=/ s "&amp;INDEX(CUEs!$B:$B,INT((ROW()-1)/7)*57+MOD(ROW()-1,7)+50),"")</f>
        <v/>
      </c>
    </row>
    <row r="5910" spans="1:1" x14ac:dyDescent="0.25">
      <c r="A5910" t="str" cm="1">
        <f t="array" ref="A5910">IF(INDEX(CUEs!$A:$A,INT((ROW()-1)/7)*57+MOD(ROW()-1,7)+50)&lt;&gt;"","set "&amp;INDEX(CUEs!$A:$A,INT((ROW()-1)/7)*57+MOD(ROW()-1,7)+50)&amp;"=/ s "&amp;INDEX(CUEs!$B:$B,INT((ROW()-1)/7)*57+MOD(ROW()-1,7)+50),"")</f>
        <v/>
      </c>
    </row>
    <row r="5911" spans="1:1" x14ac:dyDescent="0.25">
      <c r="A5911" t="str" cm="1">
        <f t="array" ref="A5911">IF(INDEX(CUEs!$A:$A,INT((ROW()-1)/7)*57+MOD(ROW()-1,7)+50)&lt;&gt;"","set "&amp;INDEX(CUEs!$A:$A,INT((ROW()-1)/7)*57+MOD(ROW()-1,7)+50)&amp;"=/ s "&amp;INDEX(CUEs!$B:$B,INT((ROW()-1)/7)*57+MOD(ROW()-1,7)+50),"")</f>
        <v/>
      </c>
    </row>
    <row r="5912" spans="1:1" x14ac:dyDescent="0.25">
      <c r="A5912" t="str" cm="1">
        <f t="array" ref="A5912">IF(INDEX(CUEs!$A:$A,INT((ROW()-1)/7)*57+MOD(ROW()-1,7)+50)&lt;&gt;"","set "&amp;INDEX(CUEs!$A:$A,INT((ROW()-1)/7)*57+MOD(ROW()-1,7)+50)&amp;"=/ s "&amp;INDEX(CUEs!$B:$B,INT((ROW()-1)/7)*57+MOD(ROW()-1,7)+50),"")</f>
        <v/>
      </c>
    </row>
    <row r="5913" spans="1:1" x14ac:dyDescent="0.25">
      <c r="A5913" t="str" cm="1">
        <f t="array" ref="A5913">IF(INDEX(CUEs!$A:$A,INT((ROW()-1)/7)*57+MOD(ROW()-1,7)+50)&lt;&gt;"","set "&amp;INDEX(CUEs!$A:$A,INT((ROW()-1)/7)*57+MOD(ROW()-1,7)+50)&amp;"=/ s "&amp;INDEX(CUEs!$B:$B,INT((ROW()-1)/7)*57+MOD(ROW()-1,7)+50),"")</f>
        <v/>
      </c>
    </row>
    <row r="5914" spans="1:1" x14ac:dyDescent="0.25">
      <c r="A5914" t="str" cm="1">
        <f t="array" ref="A5914">IF(INDEX(CUEs!$A:$A,INT((ROW()-1)/7)*57+MOD(ROW()-1,7)+50)&lt;&gt;"","set "&amp;INDEX(CUEs!$A:$A,INT((ROW()-1)/7)*57+MOD(ROW()-1,7)+50)&amp;"=/ s "&amp;INDEX(CUEs!$B:$B,INT((ROW()-1)/7)*57+MOD(ROW()-1,7)+50),"")</f>
        <v/>
      </c>
    </row>
    <row r="5915" spans="1:1" x14ac:dyDescent="0.25">
      <c r="A5915" t="str" cm="1">
        <f t="array" ref="A5915">IF(INDEX(CUEs!$A:$A,INT((ROW()-1)/7)*57+MOD(ROW()-1,7)+50)&lt;&gt;"","set "&amp;INDEX(CUEs!$A:$A,INT((ROW()-1)/7)*57+MOD(ROW()-1,7)+50)&amp;"=/ s "&amp;INDEX(CUEs!$B:$B,INT((ROW()-1)/7)*57+MOD(ROW()-1,7)+50),"")</f>
        <v/>
      </c>
    </row>
    <row r="5916" spans="1:1" x14ac:dyDescent="0.25">
      <c r="A5916" t="str" cm="1">
        <f t="array" ref="A5916">IF(INDEX(CUEs!$A:$A,INT((ROW()-1)/7)*57+MOD(ROW()-1,7)+50)&lt;&gt;"","set "&amp;INDEX(CUEs!$A:$A,INT((ROW()-1)/7)*57+MOD(ROW()-1,7)+50)&amp;"=/ s "&amp;INDEX(CUEs!$B:$B,INT((ROW()-1)/7)*57+MOD(ROW()-1,7)+50),"")</f>
        <v/>
      </c>
    </row>
    <row r="5917" spans="1:1" x14ac:dyDescent="0.25">
      <c r="A5917" t="str" cm="1">
        <f t="array" ref="A5917">IF(INDEX(CUEs!$A:$A,INT((ROW()-1)/7)*57+MOD(ROW()-1,7)+50)&lt;&gt;"","set "&amp;INDEX(CUEs!$A:$A,INT((ROW()-1)/7)*57+MOD(ROW()-1,7)+50)&amp;"=/ s "&amp;INDEX(CUEs!$B:$B,INT((ROW()-1)/7)*57+MOD(ROW()-1,7)+50),"")</f>
        <v/>
      </c>
    </row>
    <row r="5918" spans="1:1" x14ac:dyDescent="0.25">
      <c r="A5918" t="str" cm="1">
        <f t="array" ref="A5918">IF(INDEX(CUEs!$A:$A,INT((ROW()-1)/7)*57+MOD(ROW()-1,7)+50)&lt;&gt;"","set "&amp;INDEX(CUEs!$A:$A,INT((ROW()-1)/7)*57+MOD(ROW()-1,7)+50)&amp;"=/ s "&amp;INDEX(CUEs!$B:$B,INT((ROW()-1)/7)*57+MOD(ROW()-1,7)+50),"")</f>
        <v/>
      </c>
    </row>
    <row r="5919" spans="1:1" x14ac:dyDescent="0.25">
      <c r="A5919" t="str" cm="1">
        <f t="array" ref="A5919">IF(INDEX(CUEs!$A:$A,INT((ROW()-1)/7)*57+MOD(ROW()-1,7)+50)&lt;&gt;"","set "&amp;INDEX(CUEs!$A:$A,INT((ROW()-1)/7)*57+MOD(ROW()-1,7)+50)&amp;"=/ s "&amp;INDEX(CUEs!$B:$B,INT((ROW()-1)/7)*57+MOD(ROW()-1,7)+50),"")</f>
        <v/>
      </c>
    </row>
    <row r="5920" spans="1:1" x14ac:dyDescent="0.25">
      <c r="A5920" t="str" cm="1">
        <f t="array" ref="A5920">IF(INDEX(CUEs!$A:$A,INT((ROW()-1)/7)*57+MOD(ROW()-1,7)+50)&lt;&gt;"","set "&amp;INDEX(CUEs!$A:$A,INT((ROW()-1)/7)*57+MOD(ROW()-1,7)+50)&amp;"=/ s "&amp;INDEX(CUEs!$B:$B,INT((ROW()-1)/7)*57+MOD(ROW()-1,7)+50),"")</f>
        <v/>
      </c>
    </row>
    <row r="5921" spans="1:1" x14ac:dyDescent="0.25">
      <c r="A5921" t="str" cm="1">
        <f t="array" ref="A5921">IF(INDEX(CUEs!$A:$A,INT((ROW()-1)/7)*57+MOD(ROW()-1,7)+50)&lt;&gt;"","set "&amp;INDEX(CUEs!$A:$A,INT((ROW()-1)/7)*57+MOD(ROW()-1,7)+50)&amp;"=/ s "&amp;INDEX(CUEs!$B:$B,INT((ROW()-1)/7)*57+MOD(ROW()-1,7)+50),"")</f>
        <v/>
      </c>
    </row>
    <row r="5922" spans="1:1" x14ac:dyDescent="0.25">
      <c r="A5922" t="str" cm="1">
        <f t="array" ref="A5922">IF(INDEX(CUEs!$A:$A,INT((ROW()-1)/7)*57+MOD(ROW()-1,7)+50)&lt;&gt;"","set "&amp;INDEX(CUEs!$A:$A,INT((ROW()-1)/7)*57+MOD(ROW()-1,7)+50)&amp;"=/ s "&amp;INDEX(CUEs!$B:$B,INT((ROW()-1)/7)*57+MOD(ROW()-1,7)+50),"")</f>
        <v/>
      </c>
    </row>
    <row r="5923" spans="1:1" x14ac:dyDescent="0.25">
      <c r="A5923" t="str" cm="1">
        <f t="array" ref="A5923">IF(INDEX(CUEs!$A:$A,INT((ROW()-1)/7)*57+MOD(ROW()-1,7)+50)&lt;&gt;"","set "&amp;INDEX(CUEs!$A:$A,INT((ROW()-1)/7)*57+MOD(ROW()-1,7)+50)&amp;"=/ s "&amp;INDEX(CUEs!$B:$B,INT((ROW()-1)/7)*57+MOD(ROW()-1,7)+50),"")</f>
        <v/>
      </c>
    </row>
    <row r="5924" spans="1:1" x14ac:dyDescent="0.25">
      <c r="A5924" t="str" cm="1">
        <f t="array" ref="A5924">IF(INDEX(CUEs!$A:$A,INT((ROW()-1)/7)*57+MOD(ROW()-1,7)+50)&lt;&gt;"","set "&amp;INDEX(CUEs!$A:$A,INT((ROW()-1)/7)*57+MOD(ROW()-1,7)+50)&amp;"=/ s "&amp;INDEX(CUEs!$B:$B,INT((ROW()-1)/7)*57+MOD(ROW()-1,7)+50),"")</f>
        <v/>
      </c>
    </row>
    <row r="5925" spans="1:1" x14ac:dyDescent="0.25">
      <c r="A5925" t="str" cm="1">
        <f t="array" ref="A5925">IF(INDEX(CUEs!$A:$A,INT((ROW()-1)/7)*57+MOD(ROW()-1,7)+50)&lt;&gt;"","set "&amp;INDEX(CUEs!$A:$A,INT((ROW()-1)/7)*57+MOD(ROW()-1,7)+50)&amp;"=/ s "&amp;INDEX(CUEs!$B:$B,INT((ROW()-1)/7)*57+MOD(ROW()-1,7)+50),"")</f>
        <v/>
      </c>
    </row>
    <row r="5926" spans="1:1" x14ac:dyDescent="0.25">
      <c r="A5926" t="str" cm="1">
        <f t="array" ref="A5926">IF(INDEX(CUEs!$A:$A,INT((ROW()-1)/7)*57+MOD(ROW()-1,7)+50)&lt;&gt;"","set "&amp;INDEX(CUEs!$A:$A,INT((ROW()-1)/7)*57+MOD(ROW()-1,7)+50)&amp;"=/ s "&amp;INDEX(CUEs!$B:$B,INT((ROW()-1)/7)*57+MOD(ROW()-1,7)+50),"")</f>
        <v/>
      </c>
    </row>
    <row r="5927" spans="1:1" x14ac:dyDescent="0.25">
      <c r="A5927" t="str" cm="1">
        <f t="array" ref="A5927">IF(INDEX(CUEs!$A:$A,INT((ROW()-1)/7)*57+MOD(ROW()-1,7)+50)&lt;&gt;"","set "&amp;INDEX(CUEs!$A:$A,INT((ROW()-1)/7)*57+MOD(ROW()-1,7)+50)&amp;"=/ s "&amp;INDEX(CUEs!$B:$B,INT((ROW()-1)/7)*57+MOD(ROW()-1,7)+50),"")</f>
        <v/>
      </c>
    </row>
    <row r="5928" spans="1:1" x14ac:dyDescent="0.25">
      <c r="A5928" t="str" cm="1">
        <f t="array" ref="A5928">IF(INDEX(CUEs!$A:$A,INT((ROW()-1)/7)*57+MOD(ROW()-1,7)+50)&lt;&gt;"","set "&amp;INDEX(CUEs!$A:$A,INT((ROW()-1)/7)*57+MOD(ROW()-1,7)+50)&amp;"=/ s "&amp;INDEX(CUEs!$B:$B,INT((ROW()-1)/7)*57+MOD(ROW()-1,7)+50),"")</f>
        <v/>
      </c>
    </row>
    <row r="5929" spans="1:1" x14ac:dyDescent="0.25">
      <c r="A5929" t="str" cm="1">
        <f t="array" ref="A5929">IF(INDEX(CUEs!$A:$A,INT((ROW()-1)/7)*57+MOD(ROW()-1,7)+50)&lt;&gt;"","set "&amp;INDEX(CUEs!$A:$A,INT((ROW()-1)/7)*57+MOD(ROW()-1,7)+50)&amp;"=/ s "&amp;INDEX(CUEs!$B:$B,INT((ROW()-1)/7)*57+MOD(ROW()-1,7)+50),"")</f>
        <v/>
      </c>
    </row>
    <row r="5930" spans="1:1" x14ac:dyDescent="0.25">
      <c r="A5930" t="str" cm="1">
        <f t="array" ref="A5930">IF(INDEX(CUEs!$A:$A,INT((ROW()-1)/7)*57+MOD(ROW()-1,7)+50)&lt;&gt;"","set "&amp;INDEX(CUEs!$A:$A,INT((ROW()-1)/7)*57+MOD(ROW()-1,7)+50)&amp;"=/ s "&amp;INDEX(CUEs!$B:$B,INT((ROW()-1)/7)*57+MOD(ROW()-1,7)+50),"")</f>
        <v/>
      </c>
    </row>
    <row r="5931" spans="1:1" x14ac:dyDescent="0.25">
      <c r="A5931" t="str" cm="1">
        <f t="array" ref="A5931">IF(INDEX(CUEs!$A:$A,INT((ROW()-1)/7)*57+MOD(ROW()-1,7)+50)&lt;&gt;"","set "&amp;INDEX(CUEs!$A:$A,INT((ROW()-1)/7)*57+MOD(ROW()-1,7)+50)&amp;"=/ s "&amp;INDEX(CUEs!$B:$B,INT((ROW()-1)/7)*57+MOD(ROW()-1,7)+50),"")</f>
        <v/>
      </c>
    </row>
    <row r="5932" spans="1:1" x14ac:dyDescent="0.25">
      <c r="A5932" t="str" cm="1">
        <f t="array" ref="A5932">IF(INDEX(CUEs!$A:$A,INT((ROW()-1)/7)*57+MOD(ROW()-1,7)+50)&lt;&gt;"","set "&amp;INDEX(CUEs!$A:$A,INT((ROW()-1)/7)*57+MOD(ROW()-1,7)+50)&amp;"=/ s "&amp;INDEX(CUEs!$B:$B,INT((ROW()-1)/7)*57+MOD(ROW()-1,7)+50),"")</f>
        <v/>
      </c>
    </row>
    <row r="5933" spans="1:1" x14ac:dyDescent="0.25">
      <c r="A5933" t="str" cm="1">
        <f t="array" ref="A5933">IF(INDEX(CUEs!$A:$A,INT((ROW()-1)/7)*57+MOD(ROW()-1,7)+50)&lt;&gt;"","set "&amp;INDEX(CUEs!$A:$A,INT((ROW()-1)/7)*57+MOD(ROW()-1,7)+50)&amp;"=/ s "&amp;INDEX(CUEs!$B:$B,INT((ROW()-1)/7)*57+MOD(ROW()-1,7)+50),"")</f>
        <v/>
      </c>
    </row>
    <row r="5934" spans="1:1" x14ac:dyDescent="0.25">
      <c r="A5934" t="str" cm="1">
        <f t="array" ref="A5934">IF(INDEX(CUEs!$A:$A,INT((ROW()-1)/7)*57+MOD(ROW()-1,7)+50)&lt;&gt;"","set "&amp;INDEX(CUEs!$A:$A,INT((ROW()-1)/7)*57+MOD(ROW()-1,7)+50)&amp;"=/ s "&amp;INDEX(CUEs!$B:$B,INT((ROW()-1)/7)*57+MOD(ROW()-1,7)+50),"")</f>
        <v/>
      </c>
    </row>
    <row r="5935" spans="1:1" x14ac:dyDescent="0.25">
      <c r="A5935" t="str" cm="1">
        <f t="array" ref="A5935">IF(INDEX(CUEs!$A:$A,INT((ROW()-1)/7)*57+MOD(ROW()-1,7)+50)&lt;&gt;"","set "&amp;INDEX(CUEs!$A:$A,INT((ROW()-1)/7)*57+MOD(ROW()-1,7)+50)&amp;"=/ s "&amp;INDEX(CUEs!$B:$B,INT((ROW()-1)/7)*57+MOD(ROW()-1,7)+50),"")</f>
        <v/>
      </c>
    </row>
    <row r="5936" spans="1:1" x14ac:dyDescent="0.25">
      <c r="A5936" t="str" cm="1">
        <f t="array" ref="A5936">IF(INDEX(CUEs!$A:$A,INT((ROW()-1)/7)*57+MOD(ROW()-1,7)+50)&lt;&gt;"","set "&amp;INDEX(CUEs!$A:$A,INT((ROW()-1)/7)*57+MOD(ROW()-1,7)+50)&amp;"=/ s "&amp;INDEX(CUEs!$B:$B,INT((ROW()-1)/7)*57+MOD(ROW()-1,7)+50),"")</f>
        <v/>
      </c>
    </row>
    <row r="5937" spans="1:1" x14ac:dyDescent="0.25">
      <c r="A5937" t="str" cm="1">
        <f t="array" ref="A5937">IF(INDEX(CUEs!$A:$A,INT((ROW()-1)/7)*57+MOD(ROW()-1,7)+50)&lt;&gt;"","set "&amp;INDEX(CUEs!$A:$A,INT((ROW()-1)/7)*57+MOD(ROW()-1,7)+50)&amp;"=/ s "&amp;INDEX(CUEs!$B:$B,INT((ROW()-1)/7)*57+MOD(ROW()-1,7)+50),"")</f>
        <v/>
      </c>
    </row>
    <row r="5938" spans="1:1" x14ac:dyDescent="0.25">
      <c r="A5938" t="str" cm="1">
        <f t="array" ref="A5938">IF(INDEX(CUEs!$A:$A,INT((ROW()-1)/7)*57+MOD(ROW()-1,7)+50)&lt;&gt;"","set "&amp;INDEX(CUEs!$A:$A,INT((ROW()-1)/7)*57+MOD(ROW()-1,7)+50)&amp;"=/ s "&amp;INDEX(CUEs!$B:$B,INT((ROW()-1)/7)*57+MOD(ROW()-1,7)+50),"")</f>
        <v/>
      </c>
    </row>
    <row r="5939" spans="1:1" x14ac:dyDescent="0.25">
      <c r="A5939" t="str" cm="1">
        <f t="array" ref="A5939">IF(INDEX(CUEs!$A:$A,INT((ROW()-1)/7)*57+MOD(ROW()-1,7)+50)&lt;&gt;"","set "&amp;INDEX(CUEs!$A:$A,INT((ROW()-1)/7)*57+MOD(ROW()-1,7)+50)&amp;"=/ s "&amp;INDEX(CUEs!$B:$B,INT((ROW()-1)/7)*57+MOD(ROW()-1,7)+50),"")</f>
        <v/>
      </c>
    </row>
    <row r="5940" spans="1:1" x14ac:dyDescent="0.25">
      <c r="A5940" t="str" cm="1">
        <f t="array" ref="A5940">IF(INDEX(CUEs!$A:$A,INT((ROW()-1)/7)*57+MOD(ROW()-1,7)+50)&lt;&gt;"","set "&amp;INDEX(CUEs!$A:$A,INT((ROW()-1)/7)*57+MOD(ROW()-1,7)+50)&amp;"=/ s "&amp;INDEX(CUEs!$B:$B,INT((ROW()-1)/7)*57+MOD(ROW()-1,7)+50),"")</f>
        <v/>
      </c>
    </row>
    <row r="5941" spans="1:1" x14ac:dyDescent="0.25">
      <c r="A5941" t="str" cm="1">
        <f t="array" ref="A5941">IF(INDEX(CUEs!$A:$A,INT((ROW()-1)/7)*57+MOD(ROW()-1,7)+50)&lt;&gt;"","set "&amp;INDEX(CUEs!$A:$A,INT((ROW()-1)/7)*57+MOD(ROW()-1,7)+50)&amp;"=/ s "&amp;INDEX(CUEs!$B:$B,INT((ROW()-1)/7)*57+MOD(ROW()-1,7)+50),"")</f>
        <v/>
      </c>
    </row>
    <row r="5942" spans="1:1" x14ac:dyDescent="0.25">
      <c r="A5942" t="str" cm="1">
        <f t="array" ref="A5942">IF(INDEX(CUEs!$A:$A,INT((ROW()-1)/7)*57+MOD(ROW()-1,7)+50)&lt;&gt;"","set "&amp;INDEX(CUEs!$A:$A,INT((ROW()-1)/7)*57+MOD(ROW()-1,7)+50)&amp;"=/ s "&amp;INDEX(CUEs!$B:$B,INT((ROW()-1)/7)*57+MOD(ROW()-1,7)+50),"")</f>
        <v/>
      </c>
    </row>
    <row r="5943" spans="1:1" x14ac:dyDescent="0.25">
      <c r="A5943" t="str" cm="1">
        <f t="array" ref="A5943">IF(INDEX(CUEs!$A:$A,INT((ROW()-1)/7)*57+MOD(ROW()-1,7)+50)&lt;&gt;"","set "&amp;INDEX(CUEs!$A:$A,INT((ROW()-1)/7)*57+MOD(ROW()-1,7)+50)&amp;"=/ s "&amp;INDEX(CUEs!$B:$B,INT((ROW()-1)/7)*57+MOD(ROW()-1,7)+50),"")</f>
        <v/>
      </c>
    </row>
    <row r="5944" spans="1:1" x14ac:dyDescent="0.25">
      <c r="A5944" t="str" cm="1">
        <f t="array" ref="A5944">IF(INDEX(CUEs!$A:$A,INT((ROW()-1)/7)*57+MOD(ROW()-1,7)+50)&lt;&gt;"","set "&amp;INDEX(CUEs!$A:$A,INT((ROW()-1)/7)*57+MOD(ROW()-1,7)+50)&amp;"=/ s "&amp;INDEX(CUEs!$B:$B,INT((ROW()-1)/7)*57+MOD(ROW()-1,7)+50),"")</f>
        <v/>
      </c>
    </row>
    <row r="5945" spans="1:1" x14ac:dyDescent="0.25">
      <c r="A5945" t="str" cm="1">
        <f t="array" ref="A5945">IF(INDEX(CUEs!$A:$A,INT((ROW()-1)/7)*57+MOD(ROW()-1,7)+50)&lt;&gt;"","set "&amp;INDEX(CUEs!$A:$A,INT((ROW()-1)/7)*57+MOD(ROW()-1,7)+50)&amp;"=/ s "&amp;INDEX(CUEs!$B:$B,INT((ROW()-1)/7)*57+MOD(ROW()-1,7)+50),"")</f>
        <v/>
      </c>
    </row>
    <row r="5946" spans="1:1" x14ac:dyDescent="0.25">
      <c r="A5946" t="str" cm="1">
        <f t="array" ref="A5946">IF(INDEX(CUEs!$A:$A,INT((ROW()-1)/7)*57+MOD(ROW()-1,7)+50)&lt;&gt;"","set "&amp;INDEX(CUEs!$A:$A,INT((ROW()-1)/7)*57+MOD(ROW()-1,7)+50)&amp;"=/ s "&amp;INDEX(CUEs!$B:$B,INT((ROW()-1)/7)*57+MOD(ROW()-1,7)+50),"")</f>
        <v/>
      </c>
    </row>
    <row r="5947" spans="1:1" x14ac:dyDescent="0.25">
      <c r="A5947" t="str" cm="1">
        <f t="array" ref="A5947">IF(INDEX(CUEs!$A:$A,INT((ROW()-1)/7)*57+MOD(ROW()-1,7)+50)&lt;&gt;"","set "&amp;INDEX(CUEs!$A:$A,INT((ROW()-1)/7)*57+MOD(ROW()-1,7)+50)&amp;"=/ s "&amp;INDEX(CUEs!$B:$B,INT((ROW()-1)/7)*57+MOD(ROW()-1,7)+50),"")</f>
        <v/>
      </c>
    </row>
    <row r="5948" spans="1:1" x14ac:dyDescent="0.25">
      <c r="A5948" t="str" cm="1">
        <f t="array" ref="A5948">IF(INDEX(CUEs!$A:$A,INT((ROW()-1)/7)*57+MOD(ROW()-1,7)+50)&lt;&gt;"","set "&amp;INDEX(CUEs!$A:$A,INT((ROW()-1)/7)*57+MOD(ROW()-1,7)+50)&amp;"=/ s "&amp;INDEX(CUEs!$B:$B,INT((ROW()-1)/7)*57+MOD(ROW()-1,7)+50),"")</f>
        <v/>
      </c>
    </row>
    <row r="5949" spans="1:1" x14ac:dyDescent="0.25">
      <c r="A5949" t="str" cm="1">
        <f t="array" ref="A5949">IF(INDEX(CUEs!$A:$A,INT((ROW()-1)/7)*57+MOD(ROW()-1,7)+50)&lt;&gt;"","set "&amp;INDEX(CUEs!$A:$A,INT((ROW()-1)/7)*57+MOD(ROW()-1,7)+50)&amp;"=/ s "&amp;INDEX(CUEs!$B:$B,INT((ROW()-1)/7)*57+MOD(ROW()-1,7)+50),"")</f>
        <v/>
      </c>
    </row>
    <row r="5950" spans="1:1" x14ac:dyDescent="0.25">
      <c r="A5950" t="str" cm="1">
        <f t="array" ref="A5950">IF(INDEX(CUEs!$A:$A,INT((ROW()-1)/7)*57+MOD(ROW()-1,7)+50)&lt;&gt;"","set "&amp;INDEX(CUEs!$A:$A,INT((ROW()-1)/7)*57+MOD(ROW()-1,7)+50)&amp;"=/ s "&amp;INDEX(CUEs!$B:$B,INT((ROW()-1)/7)*57+MOD(ROW()-1,7)+50),"")</f>
        <v/>
      </c>
    </row>
    <row r="5951" spans="1:1" x14ac:dyDescent="0.25">
      <c r="A5951" t="str" cm="1">
        <f t="array" ref="A5951">IF(INDEX(CUEs!$A:$A,INT((ROW()-1)/7)*57+MOD(ROW()-1,7)+50)&lt;&gt;"","set "&amp;INDEX(CUEs!$A:$A,INT((ROW()-1)/7)*57+MOD(ROW()-1,7)+50)&amp;"=/ s "&amp;INDEX(CUEs!$B:$B,INT((ROW()-1)/7)*57+MOD(ROW()-1,7)+50),"")</f>
        <v/>
      </c>
    </row>
    <row r="5952" spans="1:1" x14ac:dyDescent="0.25">
      <c r="A5952" t="str" cm="1">
        <f t="array" ref="A5952">IF(INDEX(CUEs!$A:$A,INT((ROW()-1)/7)*57+MOD(ROW()-1,7)+50)&lt;&gt;"","set "&amp;INDEX(CUEs!$A:$A,INT((ROW()-1)/7)*57+MOD(ROW()-1,7)+50)&amp;"=/ s "&amp;INDEX(CUEs!$B:$B,INT((ROW()-1)/7)*57+MOD(ROW()-1,7)+50),"")</f>
        <v/>
      </c>
    </row>
    <row r="5953" spans="1:1" x14ac:dyDescent="0.25">
      <c r="A5953" t="str" cm="1">
        <f t="array" ref="A5953">IF(INDEX(CUEs!$A:$A,INT((ROW()-1)/7)*57+MOD(ROW()-1,7)+50)&lt;&gt;"","set "&amp;INDEX(CUEs!$A:$A,INT((ROW()-1)/7)*57+MOD(ROW()-1,7)+50)&amp;"=/ s "&amp;INDEX(CUEs!$B:$B,INT((ROW()-1)/7)*57+MOD(ROW()-1,7)+50),"")</f>
        <v/>
      </c>
    </row>
    <row r="5954" spans="1:1" x14ac:dyDescent="0.25">
      <c r="A5954" t="str" cm="1">
        <f t="array" ref="A5954">IF(INDEX(CUEs!$A:$A,INT((ROW()-1)/7)*57+MOD(ROW()-1,7)+50)&lt;&gt;"","set "&amp;INDEX(CUEs!$A:$A,INT((ROW()-1)/7)*57+MOD(ROW()-1,7)+50)&amp;"=/ s "&amp;INDEX(CUEs!$B:$B,INT((ROW()-1)/7)*57+MOD(ROW()-1,7)+50),"")</f>
        <v/>
      </c>
    </row>
    <row r="5955" spans="1:1" x14ac:dyDescent="0.25">
      <c r="A5955" t="str" cm="1">
        <f t="array" ref="A5955">IF(INDEX(CUEs!$A:$A,INT((ROW()-1)/7)*57+MOD(ROW()-1,7)+50)&lt;&gt;"","set "&amp;INDEX(CUEs!$A:$A,INT((ROW()-1)/7)*57+MOD(ROW()-1,7)+50)&amp;"=/ s "&amp;INDEX(CUEs!$B:$B,INT((ROW()-1)/7)*57+MOD(ROW()-1,7)+50),"")</f>
        <v/>
      </c>
    </row>
    <row r="5956" spans="1:1" x14ac:dyDescent="0.25">
      <c r="A5956" t="str" cm="1">
        <f t="array" ref="A5956">IF(INDEX(CUEs!$A:$A,INT((ROW()-1)/7)*57+MOD(ROW()-1,7)+50)&lt;&gt;"","set "&amp;INDEX(CUEs!$A:$A,INT((ROW()-1)/7)*57+MOD(ROW()-1,7)+50)&amp;"=/ s "&amp;INDEX(CUEs!$B:$B,INT((ROW()-1)/7)*57+MOD(ROW()-1,7)+50),"")</f>
        <v/>
      </c>
    </row>
    <row r="5957" spans="1:1" x14ac:dyDescent="0.25">
      <c r="A5957" t="str" cm="1">
        <f t="array" ref="A5957">IF(INDEX(CUEs!$A:$A,INT((ROW()-1)/7)*57+MOD(ROW()-1,7)+50)&lt;&gt;"","set "&amp;INDEX(CUEs!$A:$A,INT((ROW()-1)/7)*57+MOD(ROW()-1,7)+50)&amp;"=/ s "&amp;INDEX(CUEs!$B:$B,INT((ROW()-1)/7)*57+MOD(ROW()-1,7)+50),"")</f>
        <v/>
      </c>
    </row>
    <row r="5958" spans="1:1" x14ac:dyDescent="0.25">
      <c r="A5958" t="str" cm="1">
        <f t="array" ref="A5958">IF(INDEX(CUEs!$A:$A,INT((ROW()-1)/7)*57+MOD(ROW()-1,7)+50)&lt;&gt;"","set "&amp;INDEX(CUEs!$A:$A,INT((ROW()-1)/7)*57+MOD(ROW()-1,7)+50)&amp;"=/ s "&amp;INDEX(CUEs!$B:$B,INT((ROW()-1)/7)*57+MOD(ROW()-1,7)+50),"")</f>
        <v/>
      </c>
    </row>
    <row r="5959" spans="1:1" x14ac:dyDescent="0.25">
      <c r="A5959" t="str" cm="1">
        <f t="array" ref="A5959">IF(INDEX(CUEs!$A:$A,INT((ROW()-1)/7)*57+MOD(ROW()-1,7)+50)&lt;&gt;"","set "&amp;INDEX(CUEs!$A:$A,INT((ROW()-1)/7)*57+MOD(ROW()-1,7)+50)&amp;"=/ s "&amp;INDEX(CUEs!$B:$B,INT((ROW()-1)/7)*57+MOD(ROW()-1,7)+50),"")</f>
        <v/>
      </c>
    </row>
    <row r="5960" spans="1:1" x14ac:dyDescent="0.25">
      <c r="A5960" t="str" cm="1">
        <f t="array" ref="A5960">IF(INDEX(CUEs!$A:$A,INT((ROW()-1)/7)*57+MOD(ROW()-1,7)+50)&lt;&gt;"","set "&amp;INDEX(CUEs!$A:$A,INT((ROW()-1)/7)*57+MOD(ROW()-1,7)+50)&amp;"=/ s "&amp;INDEX(CUEs!$B:$B,INT((ROW()-1)/7)*57+MOD(ROW()-1,7)+50),"")</f>
        <v/>
      </c>
    </row>
    <row r="5961" spans="1:1" x14ac:dyDescent="0.25">
      <c r="A5961" t="str" cm="1">
        <f t="array" ref="A5961">IF(INDEX(CUEs!$A:$A,INT((ROW()-1)/7)*57+MOD(ROW()-1,7)+50)&lt;&gt;"","set "&amp;INDEX(CUEs!$A:$A,INT((ROW()-1)/7)*57+MOD(ROW()-1,7)+50)&amp;"=/ s "&amp;INDEX(CUEs!$B:$B,INT((ROW()-1)/7)*57+MOD(ROW()-1,7)+50),"")</f>
        <v/>
      </c>
    </row>
    <row r="5962" spans="1:1" x14ac:dyDescent="0.25">
      <c r="A5962" t="str" cm="1">
        <f t="array" ref="A5962">IF(INDEX(CUEs!$A:$A,INT((ROW()-1)/7)*57+MOD(ROW()-1,7)+50)&lt;&gt;"","set "&amp;INDEX(CUEs!$A:$A,INT((ROW()-1)/7)*57+MOD(ROW()-1,7)+50)&amp;"=/ s "&amp;INDEX(CUEs!$B:$B,INT((ROW()-1)/7)*57+MOD(ROW()-1,7)+50),"")</f>
        <v/>
      </c>
    </row>
    <row r="5963" spans="1:1" x14ac:dyDescent="0.25">
      <c r="A5963" t="str" cm="1">
        <f t="array" ref="A5963">IF(INDEX(CUEs!$A:$A,INT((ROW()-1)/7)*57+MOD(ROW()-1,7)+50)&lt;&gt;"","set "&amp;INDEX(CUEs!$A:$A,INT((ROW()-1)/7)*57+MOD(ROW()-1,7)+50)&amp;"=/ s "&amp;INDEX(CUEs!$B:$B,INT((ROW()-1)/7)*57+MOD(ROW()-1,7)+50),"")</f>
        <v/>
      </c>
    </row>
    <row r="5964" spans="1:1" x14ac:dyDescent="0.25">
      <c r="A5964" t="str" cm="1">
        <f t="array" ref="A5964">IF(INDEX(CUEs!$A:$A,INT((ROW()-1)/7)*57+MOD(ROW()-1,7)+50)&lt;&gt;"","set "&amp;INDEX(CUEs!$A:$A,INT((ROW()-1)/7)*57+MOD(ROW()-1,7)+50)&amp;"=/ s "&amp;INDEX(CUEs!$B:$B,INT((ROW()-1)/7)*57+MOD(ROW()-1,7)+50),"")</f>
        <v/>
      </c>
    </row>
    <row r="5965" spans="1:1" x14ac:dyDescent="0.25">
      <c r="A5965" t="str" cm="1">
        <f t="array" ref="A5965">IF(INDEX(CUEs!$A:$A,INT((ROW()-1)/7)*57+MOD(ROW()-1,7)+50)&lt;&gt;"","set "&amp;INDEX(CUEs!$A:$A,INT((ROW()-1)/7)*57+MOD(ROW()-1,7)+50)&amp;"=/ s "&amp;INDEX(CUEs!$B:$B,INT((ROW()-1)/7)*57+MOD(ROW()-1,7)+50),"")</f>
        <v/>
      </c>
    </row>
    <row r="5966" spans="1:1" x14ac:dyDescent="0.25">
      <c r="A5966" t="str" cm="1">
        <f t="array" ref="A5966">IF(INDEX(CUEs!$A:$A,INT((ROW()-1)/7)*57+MOD(ROW()-1,7)+50)&lt;&gt;"","set "&amp;INDEX(CUEs!$A:$A,INT((ROW()-1)/7)*57+MOD(ROW()-1,7)+50)&amp;"=/ s "&amp;INDEX(CUEs!$B:$B,INT((ROW()-1)/7)*57+MOD(ROW()-1,7)+50),"")</f>
        <v/>
      </c>
    </row>
    <row r="5967" spans="1:1" x14ac:dyDescent="0.25">
      <c r="A5967" t="str" cm="1">
        <f t="array" ref="A5967">IF(INDEX(CUEs!$A:$A,INT((ROW()-1)/7)*57+MOD(ROW()-1,7)+50)&lt;&gt;"","set "&amp;INDEX(CUEs!$A:$A,INT((ROW()-1)/7)*57+MOD(ROW()-1,7)+50)&amp;"=/ s "&amp;INDEX(CUEs!$B:$B,INT((ROW()-1)/7)*57+MOD(ROW()-1,7)+50),"")</f>
        <v/>
      </c>
    </row>
    <row r="5968" spans="1:1" x14ac:dyDescent="0.25">
      <c r="A5968" t="str" cm="1">
        <f t="array" ref="A5968">IF(INDEX(CUEs!$A:$A,INT((ROW()-1)/7)*57+MOD(ROW()-1,7)+50)&lt;&gt;"","set "&amp;INDEX(CUEs!$A:$A,INT((ROW()-1)/7)*57+MOD(ROW()-1,7)+50)&amp;"=/ s "&amp;INDEX(CUEs!$B:$B,INT((ROW()-1)/7)*57+MOD(ROW()-1,7)+50),"")</f>
        <v/>
      </c>
    </row>
    <row r="5969" spans="1:1" x14ac:dyDescent="0.25">
      <c r="A5969" t="str" cm="1">
        <f t="array" ref="A5969">IF(INDEX(CUEs!$A:$A,INT((ROW()-1)/7)*57+MOD(ROW()-1,7)+50)&lt;&gt;"","set "&amp;INDEX(CUEs!$A:$A,INT((ROW()-1)/7)*57+MOD(ROW()-1,7)+50)&amp;"=/ s "&amp;INDEX(CUEs!$B:$B,INT((ROW()-1)/7)*57+MOD(ROW()-1,7)+50),"")</f>
        <v/>
      </c>
    </row>
    <row r="5970" spans="1:1" x14ac:dyDescent="0.25">
      <c r="A5970" t="str" cm="1">
        <f t="array" ref="A5970">IF(INDEX(CUEs!$A:$A,INT((ROW()-1)/7)*57+MOD(ROW()-1,7)+50)&lt;&gt;"","set "&amp;INDEX(CUEs!$A:$A,INT((ROW()-1)/7)*57+MOD(ROW()-1,7)+50)&amp;"=/ s "&amp;INDEX(CUEs!$B:$B,INT((ROW()-1)/7)*57+MOD(ROW()-1,7)+50),"")</f>
        <v/>
      </c>
    </row>
    <row r="5971" spans="1:1" x14ac:dyDescent="0.25">
      <c r="A5971" t="str" cm="1">
        <f t="array" ref="A5971">IF(INDEX(CUEs!$A:$A,INT((ROW()-1)/7)*57+MOD(ROW()-1,7)+50)&lt;&gt;"","set "&amp;INDEX(CUEs!$A:$A,INT((ROW()-1)/7)*57+MOD(ROW()-1,7)+50)&amp;"=/ s "&amp;INDEX(CUEs!$B:$B,INT((ROW()-1)/7)*57+MOD(ROW()-1,7)+50),"")</f>
        <v/>
      </c>
    </row>
    <row r="5972" spans="1:1" x14ac:dyDescent="0.25">
      <c r="A5972" t="str" cm="1">
        <f t="array" ref="A5972">IF(INDEX(CUEs!$A:$A,INT((ROW()-1)/7)*57+MOD(ROW()-1,7)+50)&lt;&gt;"","set "&amp;INDEX(CUEs!$A:$A,INT((ROW()-1)/7)*57+MOD(ROW()-1,7)+50)&amp;"=/ s "&amp;INDEX(CUEs!$B:$B,INT((ROW()-1)/7)*57+MOD(ROW()-1,7)+50),"")</f>
        <v/>
      </c>
    </row>
    <row r="5973" spans="1:1" x14ac:dyDescent="0.25">
      <c r="A5973" t="str" cm="1">
        <f t="array" ref="A5973">IF(INDEX(CUEs!$A:$A,INT((ROW()-1)/7)*57+MOD(ROW()-1,7)+50)&lt;&gt;"","set "&amp;INDEX(CUEs!$A:$A,INT((ROW()-1)/7)*57+MOD(ROW()-1,7)+50)&amp;"=/ s "&amp;INDEX(CUEs!$B:$B,INT((ROW()-1)/7)*57+MOD(ROW()-1,7)+50),"")</f>
        <v/>
      </c>
    </row>
    <row r="5974" spans="1:1" x14ac:dyDescent="0.25">
      <c r="A5974" t="str" cm="1">
        <f t="array" ref="A5974">IF(INDEX(CUEs!$A:$A,INT((ROW()-1)/7)*57+MOD(ROW()-1,7)+50)&lt;&gt;"","set "&amp;INDEX(CUEs!$A:$A,INT((ROW()-1)/7)*57+MOD(ROW()-1,7)+50)&amp;"=/ s "&amp;INDEX(CUEs!$B:$B,INT((ROW()-1)/7)*57+MOD(ROW()-1,7)+50),"")</f>
        <v/>
      </c>
    </row>
    <row r="5975" spans="1:1" x14ac:dyDescent="0.25">
      <c r="A5975" t="str" cm="1">
        <f t="array" ref="A5975">IF(INDEX(CUEs!$A:$A,INT((ROW()-1)/7)*57+MOD(ROW()-1,7)+50)&lt;&gt;"","set "&amp;INDEX(CUEs!$A:$A,INT((ROW()-1)/7)*57+MOD(ROW()-1,7)+50)&amp;"=/ s "&amp;INDEX(CUEs!$B:$B,INT((ROW()-1)/7)*57+MOD(ROW()-1,7)+50),"")</f>
        <v/>
      </c>
    </row>
    <row r="5976" spans="1:1" x14ac:dyDescent="0.25">
      <c r="A5976" t="str" cm="1">
        <f t="array" ref="A5976">IF(INDEX(CUEs!$A:$A,INT((ROW()-1)/7)*57+MOD(ROW()-1,7)+50)&lt;&gt;"","set "&amp;INDEX(CUEs!$A:$A,INT((ROW()-1)/7)*57+MOD(ROW()-1,7)+50)&amp;"=/ s "&amp;INDEX(CUEs!$B:$B,INT((ROW()-1)/7)*57+MOD(ROW()-1,7)+50),"")</f>
        <v/>
      </c>
    </row>
    <row r="5977" spans="1:1" x14ac:dyDescent="0.25">
      <c r="A5977" t="str" cm="1">
        <f t="array" ref="A5977">IF(INDEX(CUEs!$A:$A,INT((ROW()-1)/7)*57+MOD(ROW()-1,7)+50)&lt;&gt;"","set "&amp;INDEX(CUEs!$A:$A,INT((ROW()-1)/7)*57+MOD(ROW()-1,7)+50)&amp;"=/ s "&amp;INDEX(CUEs!$B:$B,INT((ROW()-1)/7)*57+MOD(ROW()-1,7)+50),"")</f>
        <v/>
      </c>
    </row>
    <row r="5978" spans="1:1" x14ac:dyDescent="0.25">
      <c r="A5978" t="str" cm="1">
        <f t="array" ref="A5978">IF(INDEX(CUEs!$A:$A,INT((ROW()-1)/7)*57+MOD(ROW()-1,7)+50)&lt;&gt;"","set "&amp;INDEX(CUEs!$A:$A,INT((ROW()-1)/7)*57+MOD(ROW()-1,7)+50)&amp;"=/ s "&amp;INDEX(CUEs!$B:$B,INT((ROW()-1)/7)*57+MOD(ROW()-1,7)+50),"")</f>
        <v/>
      </c>
    </row>
    <row r="5979" spans="1:1" x14ac:dyDescent="0.25">
      <c r="A5979" t="str" cm="1">
        <f t="array" ref="A5979">IF(INDEX(CUEs!$A:$A,INT((ROW()-1)/7)*57+MOD(ROW()-1,7)+50)&lt;&gt;"","set "&amp;INDEX(CUEs!$A:$A,INT((ROW()-1)/7)*57+MOD(ROW()-1,7)+50)&amp;"=/ s "&amp;INDEX(CUEs!$B:$B,INT((ROW()-1)/7)*57+MOD(ROW()-1,7)+50),"")</f>
        <v/>
      </c>
    </row>
    <row r="5980" spans="1:1" x14ac:dyDescent="0.25">
      <c r="A5980" t="str" cm="1">
        <f t="array" ref="A5980">IF(INDEX(CUEs!$A:$A,INT((ROW()-1)/7)*57+MOD(ROW()-1,7)+50)&lt;&gt;"","set "&amp;INDEX(CUEs!$A:$A,INT((ROW()-1)/7)*57+MOD(ROW()-1,7)+50)&amp;"=/ s "&amp;INDEX(CUEs!$B:$B,INT((ROW()-1)/7)*57+MOD(ROW()-1,7)+50),"")</f>
        <v/>
      </c>
    </row>
    <row r="5981" spans="1:1" x14ac:dyDescent="0.25">
      <c r="A5981" t="str" cm="1">
        <f t="array" ref="A5981">IF(INDEX(CUEs!$A:$A,INT((ROW()-1)/7)*57+MOD(ROW()-1,7)+50)&lt;&gt;"","set "&amp;INDEX(CUEs!$A:$A,INT((ROW()-1)/7)*57+MOD(ROW()-1,7)+50)&amp;"=/ s "&amp;INDEX(CUEs!$B:$B,INT((ROW()-1)/7)*57+MOD(ROW()-1,7)+50),"")</f>
        <v/>
      </c>
    </row>
    <row r="5982" spans="1:1" x14ac:dyDescent="0.25">
      <c r="A5982" t="str" cm="1">
        <f t="array" ref="A5982">IF(INDEX(CUEs!$A:$A,INT((ROW()-1)/7)*57+MOD(ROW()-1,7)+50)&lt;&gt;"","set "&amp;INDEX(CUEs!$A:$A,INT((ROW()-1)/7)*57+MOD(ROW()-1,7)+50)&amp;"=/ s "&amp;INDEX(CUEs!$B:$B,INT((ROW()-1)/7)*57+MOD(ROW()-1,7)+50),"")</f>
        <v/>
      </c>
    </row>
    <row r="5983" spans="1:1" x14ac:dyDescent="0.25">
      <c r="A5983" t="str" cm="1">
        <f t="array" ref="A5983">IF(INDEX(CUEs!$A:$A,INT((ROW()-1)/7)*57+MOD(ROW()-1,7)+50)&lt;&gt;"","set "&amp;INDEX(CUEs!$A:$A,INT((ROW()-1)/7)*57+MOD(ROW()-1,7)+50)&amp;"=/ s "&amp;INDEX(CUEs!$B:$B,INT((ROW()-1)/7)*57+MOD(ROW()-1,7)+50),"")</f>
        <v/>
      </c>
    </row>
    <row r="5984" spans="1:1" x14ac:dyDescent="0.25">
      <c r="A5984" t="str" cm="1">
        <f t="array" ref="A5984">IF(INDEX(CUEs!$A:$A,INT((ROW()-1)/7)*57+MOD(ROW()-1,7)+50)&lt;&gt;"","set "&amp;INDEX(CUEs!$A:$A,INT((ROW()-1)/7)*57+MOD(ROW()-1,7)+50)&amp;"=/ s "&amp;INDEX(CUEs!$B:$B,INT((ROW()-1)/7)*57+MOD(ROW()-1,7)+50),"")</f>
        <v/>
      </c>
    </row>
    <row r="5985" spans="1:1" x14ac:dyDescent="0.25">
      <c r="A5985" t="str" cm="1">
        <f t="array" ref="A5985">IF(INDEX(CUEs!$A:$A,INT((ROW()-1)/7)*57+MOD(ROW()-1,7)+50)&lt;&gt;"","set "&amp;INDEX(CUEs!$A:$A,INT((ROW()-1)/7)*57+MOD(ROW()-1,7)+50)&amp;"=/ s "&amp;INDEX(CUEs!$B:$B,INT((ROW()-1)/7)*57+MOD(ROW()-1,7)+50),"")</f>
        <v/>
      </c>
    </row>
    <row r="5986" spans="1:1" x14ac:dyDescent="0.25">
      <c r="A5986" t="str" cm="1">
        <f t="array" ref="A5986">IF(INDEX(CUEs!$A:$A,INT((ROW()-1)/7)*57+MOD(ROW()-1,7)+50)&lt;&gt;"","set "&amp;INDEX(CUEs!$A:$A,INT((ROW()-1)/7)*57+MOD(ROW()-1,7)+50)&amp;"=/ s "&amp;INDEX(CUEs!$B:$B,INT((ROW()-1)/7)*57+MOD(ROW()-1,7)+50),"")</f>
        <v/>
      </c>
    </row>
    <row r="5987" spans="1:1" x14ac:dyDescent="0.25">
      <c r="A5987" t="str" cm="1">
        <f t="array" ref="A5987">IF(INDEX(CUEs!$A:$A,INT((ROW()-1)/7)*57+MOD(ROW()-1,7)+50)&lt;&gt;"","set "&amp;INDEX(CUEs!$A:$A,INT((ROW()-1)/7)*57+MOD(ROW()-1,7)+50)&amp;"=/ s "&amp;INDEX(CUEs!$B:$B,INT((ROW()-1)/7)*57+MOD(ROW()-1,7)+50),"")</f>
        <v/>
      </c>
    </row>
    <row r="5988" spans="1:1" x14ac:dyDescent="0.25">
      <c r="A5988" t="str" cm="1">
        <f t="array" ref="A5988">IF(INDEX(CUEs!$A:$A,INT((ROW()-1)/7)*57+MOD(ROW()-1,7)+50)&lt;&gt;"","set "&amp;INDEX(CUEs!$A:$A,INT((ROW()-1)/7)*57+MOD(ROW()-1,7)+50)&amp;"=/ s "&amp;INDEX(CUEs!$B:$B,INT((ROW()-1)/7)*57+MOD(ROW()-1,7)+50),"")</f>
        <v/>
      </c>
    </row>
    <row r="5989" spans="1:1" x14ac:dyDescent="0.25">
      <c r="A5989" t="str" cm="1">
        <f t="array" ref="A5989">IF(INDEX(CUEs!$A:$A,INT((ROW()-1)/7)*57+MOD(ROW()-1,7)+50)&lt;&gt;"","set "&amp;INDEX(CUEs!$A:$A,INT((ROW()-1)/7)*57+MOD(ROW()-1,7)+50)&amp;"=/ s "&amp;INDEX(CUEs!$B:$B,INT((ROW()-1)/7)*57+MOD(ROW()-1,7)+50),"")</f>
        <v/>
      </c>
    </row>
    <row r="5990" spans="1:1" x14ac:dyDescent="0.25">
      <c r="A5990" t="str" cm="1">
        <f t="array" ref="A5990">IF(INDEX(CUEs!$A:$A,INT((ROW()-1)/7)*57+MOD(ROW()-1,7)+50)&lt;&gt;"","set "&amp;INDEX(CUEs!$A:$A,INT((ROW()-1)/7)*57+MOD(ROW()-1,7)+50)&amp;"=/ s "&amp;INDEX(CUEs!$B:$B,INT((ROW()-1)/7)*57+MOD(ROW()-1,7)+50),"")</f>
        <v/>
      </c>
    </row>
    <row r="5991" spans="1:1" x14ac:dyDescent="0.25">
      <c r="A5991" t="str" cm="1">
        <f t="array" ref="A5991">IF(INDEX(CUEs!$A:$A,INT((ROW()-1)/7)*57+MOD(ROW()-1,7)+50)&lt;&gt;"","set "&amp;INDEX(CUEs!$A:$A,INT((ROW()-1)/7)*57+MOD(ROW()-1,7)+50)&amp;"=/ s "&amp;INDEX(CUEs!$B:$B,INT((ROW()-1)/7)*57+MOD(ROW()-1,7)+50),"")</f>
        <v/>
      </c>
    </row>
    <row r="5992" spans="1:1" x14ac:dyDescent="0.25">
      <c r="A5992" t="str" cm="1">
        <f t="array" ref="A5992">IF(INDEX(CUEs!$A:$A,INT((ROW()-1)/7)*57+MOD(ROW()-1,7)+50)&lt;&gt;"","set "&amp;INDEX(CUEs!$A:$A,INT((ROW()-1)/7)*57+MOD(ROW()-1,7)+50)&amp;"=/ s "&amp;INDEX(CUEs!$B:$B,INT((ROW()-1)/7)*57+MOD(ROW()-1,7)+50),"")</f>
        <v/>
      </c>
    </row>
    <row r="5993" spans="1:1" x14ac:dyDescent="0.25">
      <c r="A5993" t="str" cm="1">
        <f t="array" ref="A5993">IF(INDEX(CUEs!$A:$A,INT((ROW()-1)/7)*57+MOD(ROW()-1,7)+50)&lt;&gt;"","set "&amp;INDEX(CUEs!$A:$A,INT((ROW()-1)/7)*57+MOD(ROW()-1,7)+50)&amp;"=/ s "&amp;INDEX(CUEs!$B:$B,INT((ROW()-1)/7)*57+MOD(ROW()-1,7)+50),"")</f>
        <v/>
      </c>
    </row>
    <row r="5994" spans="1:1" x14ac:dyDescent="0.25">
      <c r="A5994" t="str" cm="1">
        <f t="array" ref="A5994">IF(INDEX(CUEs!$A:$A,INT((ROW()-1)/7)*57+MOD(ROW()-1,7)+50)&lt;&gt;"","set "&amp;INDEX(CUEs!$A:$A,INT((ROW()-1)/7)*57+MOD(ROW()-1,7)+50)&amp;"=/ s "&amp;INDEX(CUEs!$B:$B,INT((ROW()-1)/7)*57+MOD(ROW()-1,7)+50),"")</f>
        <v/>
      </c>
    </row>
    <row r="5995" spans="1:1" x14ac:dyDescent="0.25">
      <c r="A5995" t="str" cm="1">
        <f t="array" ref="A5995">IF(INDEX(CUEs!$A:$A,INT((ROW()-1)/7)*57+MOD(ROW()-1,7)+50)&lt;&gt;"","set "&amp;INDEX(CUEs!$A:$A,INT((ROW()-1)/7)*57+MOD(ROW()-1,7)+50)&amp;"=/ s "&amp;INDEX(CUEs!$B:$B,INT((ROW()-1)/7)*57+MOD(ROW()-1,7)+50),"")</f>
        <v/>
      </c>
    </row>
    <row r="5996" spans="1:1" x14ac:dyDescent="0.25">
      <c r="A5996" t="str" cm="1">
        <f t="array" ref="A5996">IF(INDEX(CUEs!$A:$A,INT((ROW()-1)/7)*57+MOD(ROW()-1,7)+50)&lt;&gt;"","set "&amp;INDEX(CUEs!$A:$A,INT((ROW()-1)/7)*57+MOD(ROW()-1,7)+50)&amp;"=/ s "&amp;INDEX(CUEs!$B:$B,INT((ROW()-1)/7)*57+MOD(ROW()-1,7)+50),"")</f>
        <v/>
      </c>
    </row>
    <row r="5997" spans="1:1" x14ac:dyDescent="0.25">
      <c r="A5997" t="str" cm="1">
        <f t="array" ref="A5997">IF(INDEX(CUEs!$A:$A,INT((ROW()-1)/7)*57+MOD(ROW()-1,7)+50)&lt;&gt;"","set "&amp;INDEX(CUEs!$A:$A,INT((ROW()-1)/7)*57+MOD(ROW()-1,7)+50)&amp;"=/ s "&amp;INDEX(CUEs!$B:$B,INT((ROW()-1)/7)*57+MOD(ROW()-1,7)+50),"")</f>
        <v/>
      </c>
    </row>
    <row r="5998" spans="1:1" x14ac:dyDescent="0.25">
      <c r="A5998" t="str" cm="1">
        <f t="array" ref="A5998">IF(INDEX(CUEs!$A:$A,INT((ROW()-1)/7)*57+MOD(ROW()-1,7)+50)&lt;&gt;"","set "&amp;INDEX(CUEs!$A:$A,INT((ROW()-1)/7)*57+MOD(ROW()-1,7)+50)&amp;"=/ s "&amp;INDEX(CUEs!$B:$B,INT((ROW()-1)/7)*57+MOD(ROW()-1,7)+50),"")</f>
        <v/>
      </c>
    </row>
    <row r="5999" spans="1:1" x14ac:dyDescent="0.25">
      <c r="A5999" t="str" cm="1">
        <f t="array" ref="A5999">IF(INDEX(CUEs!$A:$A,INT((ROW()-1)/7)*57+MOD(ROW()-1,7)+50)&lt;&gt;"","set "&amp;INDEX(CUEs!$A:$A,INT((ROW()-1)/7)*57+MOD(ROW()-1,7)+50)&amp;"=/ s "&amp;INDEX(CUEs!$B:$B,INT((ROW()-1)/7)*57+MOD(ROW()-1,7)+50),"")</f>
        <v/>
      </c>
    </row>
    <row r="6000" spans="1:1" x14ac:dyDescent="0.25">
      <c r="A6000" t="str" cm="1">
        <f t="array" ref="A6000">IF(INDEX(CUEs!$A:$A,INT((ROW()-1)/7)*57+MOD(ROW()-1,7)+50)&lt;&gt;"","set "&amp;INDEX(CUEs!$A:$A,INT((ROW()-1)/7)*57+MOD(ROW()-1,7)+50)&amp;"=/ s "&amp;INDEX(CUEs!$B:$B,INT((ROW()-1)/7)*57+MOD(ROW()-1,7)+50),"")</f>
        <v/>
      </c>
    </row>
    <row r="6001" spans="1:1" x14ac:dyDescent="0.25">
      <c r="A6001" t="str" cm="1">
        <f t="array" ref="A6001">IF(INDEX(CUEs!$A:$A,INT((ROW()-1)/7)*57+MOD(ROW()-1,7)+50)&lt;&gt;"","set "&amp;INDEX(CUEs!$A:$A,INT((ROW()-1)/7)*57+MOD(ROW()-1,7)+50)&amp;"=/ s "&amp;INDEX(CUEs!$B:$B,INT((ROW()-1)/7)*57+MOD(ROW()-1,7)+50),"")</f>
        <v/>
      </c>
    </row>
    <row r="6002" spans="1:1" x14ac:dyDescent="0.25">
      <c r="A6002" t="str" cm="1">
        <f t="array" ref="A6002">IF(INDEX(CUEs!$A:$A,INT((ROW()-1)/7)*57+MOD(ROW()-1,7)+50)&lt;&gt;"","set "&amp;INDEX(CUEs!$A:$A,INT((ROW()-1)/7)*57+MOD(ROW()-1,7)+50)&amp;"=/ s "&amp;INDEX(CUEs!$B:$B,INT((ROW()-1)/7)*57+MOD(ROW()-1,7)+50),"")</f>
        <v/>
      </c>
    </row>
    <row r="6003" spans="1:1" x14ac:dyDescent="0.25">
      <c r="A6003" t="str" cm="1">
        <f t="array" ref="A6003">IF(INDEX(CUEs!$A:$A,INT((ROW()-1)/7)*57+MOD(ROW()-1,7)+50)&lt;&gt;"","set "&amp;INDEX(CUEs!$A:$A,INT((ROW()-1)/7)*57+MOD(ROW()-1,7)+50)&amp;"=/ s "&amp;INDEX(CUEs!$B:$B,INT((ROW()-1)/7)*57+MOD(ROW()-1,7)+50),"")</f>
        <v/>
      </c>
    </row>
    <row r="6004" spans="1:1" x14ac:dyDescent="0.25">
      <c r="A6004" t="str" cm="1">
        <f t="array" ref="A6004">IF(INDEX(CUEs!$A:$A,INT((ROW()-1)/7)*57+MOD(ROW()-1,7)+50)&lt;&gt;"","set "&amp;INDEX(CUEs!$A:$A,INT((ROW()-1)/7)*57+MOD(ROW()-1,7)+50)&amp;"=/ s "&amp;INDEX(CUEs!$B:$B,INT((ROW()-1)/7)*57+MOD(ROW()-1,7)+50),"")</f>
        <v/>
      </c>
    </row>
    <row r="6005" spans="1:1" x14ac:dyDescent="0.25">
      <c r="A6005" t="str" cm="1">
        <f t="array" ref="A6005">IF(INDEX(CUEs!$A:$A,INT((ROW()-1)/7)*57+MOD(ROW()-1,7)+50)&lt;&gt;"","set "&amp;INDEX(CUEs!$A:$A,INT((ROW()-1)/7)*57+MOD(ROW()-1,7)+50)&amp;"=/ s "&amp;INDEX(CUEs!$B:$B,INT((ROW()-1)/7)*57+MOD(ROW()-1,7)+50),"")</f>
        <v/>
      </c>
    </row>
    <row r="6006" spans="1:1" x14ac:dyDescent="0.25">
      <c r="A6006" t="str" cm="1">
        <f t="array" ref="A6006">IF(INDEX(CUEs!$A:$A,INT((ROW()-1)/7)*57+MOD(ROW()-1,7)+50)&lt;&gt;"","set "&amp;INDEX(CUEs!$A:$A,INT((ROW()-1)/7)*57+MOD(ROW()-1,7)+50)&amp;"=/ s "&amp;INDEX(CUEs!$B:$B,INT((ROW()-1)/7)*57+MOD(ROW()-1,7)+50),"")</f>
        <v/>
      </c>
    </row>
    <row r="6007" spans="1:1" x14ac:dyDescent="0.25">
      <c r="A6007" t="str" cm="1">
        <f t="array" ref="A6007">IF(INDEX(CUEs!$A:$A,INT((ROW()-1)/7)*57+MOD(ROW()-1,7)+50)&lt;&gt;"","set "&amp;INDEX(CUEs!$A:$A,INT((ROW()-1)/7)*57+MOD(ROW()-1,7)+50)&amp;"=/ s "&amp;INDEX(CUEs!$B:$B,INT((ROW()-1)/7)*57+MOD(ROW()-1,7)+50),"")</f>
        <v/>
      </c>
    </row>
    <row r="6008" spans="1:1" x14ac:dyDescent="0.25">
      <c r="A6008" t="str" cm="1">
        <f t="array" ref="A6008">IF(INDEX(CUEs!$A:$A,INT((ROW()-1)/7)*57+MOD(ROW()-1,7)+50)&lt;&gt;"","set "&amp;INDEX(CUEs!$A:$A,INT((ROW()-1)/7)*57+MOD(ROW()-1,7)+50)&amp;"=/ s "&amp;INDEX(CUEs!$B:$B,INT((ROW()-1)/7)*57+MOD(ROW()-1,7)+50),"")</f>
        <v/>
      </c>
    </row>
    <row r="6009" spans="1:1" x14ac:dyDescent="0.25">
      <c r="A6009" t="str" cm="1">
        <f t="array" ref="A6009">IF(INDEX(CUEs!$A:$A,INT((ROW()-1)/7)*57+MOD(ROW()-1,7)+50)&lt;&gt;"","set "&amp;INDEX(CUEs!$A:$A,INT((ROW()-1)/7)*57+MOD(ROW()-1,7)+50)&amp;"=/ s "&amp;INDEX(CUEs!$B:$B,INT((ROW()-1)/7)*57+MOD(ROW()-1,7)+50),"")</f>
        <v/>
      </c>
    </row>
    <row r="6010" spans="1:1" x14ac:dyDescent="0.25">
      <c r="A6010" t="str" cm="1">
        <f t="array" ref="A6010">IF(INDEX(CUEs!$A:$A,INT((ROW()-1)/7)*57+MOD(ROW()-1,7)+50)&lt;&gt;"","set "&amp;INDEX(CUEs!$A:$A,INT((ROW()-1)/7)*57+MOD(ROW()-1,7)+50)&amp;"=/ s "&amp;INDEX(CUEs!$B:$B,INT((ROW()-1)/7)*57+MOD(ROW()-1,7)+50),"")</f>
        <v/>
      </c>
    </row>
    <row r="6011" spans="1:1" x14ac:dyDescent="0.25">
      <c r="A6011" t="str" cm="1">
        <f t="array" ref="A6011">IF(INDEX(CUEs!$A:$A,INT((ROW()-1)/7)*57+MOD(ROW()-1,7)+50)&lt;&gt;"","set "&amp;INDEX(CUEs!$A:$A,INT((ROW()-1)/7)*57+MOD(ROW()-1,7)+50)&amp;"=/ s "&amp;INDEX(CUEs!$B:$B,INT((ROW()-1)/7)*57+MOD(ROW()-1,7)+50),"")</f>
        <v/>
      </c>
    </row>
    <row r="6012" spans="1:1" x14ac:dyDescent="0.25">
      <c r="A6012" t="str" cm="1">
        <f t="array" ref="A6012">IF(INDEX(CUEs!$A:$A,INT((ROW()-1)/7)*57+MOD(ROW()-1,7)+50)&lt;&gt;"","set "&amp;INDEX(CUEs!$A:$A,INT((ROW()-1)/7)*57+MOD(ROW()-1,7)+50)&amp;"=/ s "&amp;INDEX(CUEs!$B:$B,INT((ROW()-1)/7)*57+MOD(ROW()-1,7)+50),"")</f>
        <v/>
      </c>
    </row>
    <row r="6013" spans="1:1" x14ac:dyDescent="0.25">
      <c r="A6013" t="str" cm="1">
        <f t="array" ref="A6013">IF(INDEX(CUEs!$A:$A,INT((ROW()-1)/7)*57+MOD(ROW()-1,7)+50)&lt;&gt;"","set "&amp;INDEX(CUEs!$A:$A,INT((ROW()-1)/7)*57+MOD(ROW()-1,7)+50)&amp;"=/ s "&amp;INDEX(CUEs!$B:$B,INT((ROW()-1)/7)*57+MOD(ROW()-1,7)+50),"")</f>
        <v/>
      </c>
    </row>
    <row r="6014" spans="1:1" x14ac:dyDescent="0.25">
      <c r="A6014" t="str" cm="1">
        <f t="array" ref="A6014">IF(INDEX(CUEs!$A:$A,INT((ROW()-1)/7)*57+MOD(ROW()-1,7)+50)&lt;&gt;"","set "&amp;INDEX(CUEs!$A:$A,INT((ROW()-1)/7)*57+MOD(ROW()-1,7)+50)&amp;"=/ s "&amp;INDEX(CUEs!$B:$B,INT((ROW()-1)/7)*57+MOD(ROW()-1,7)+50),"")</f>
        <v/>
      </c>
    </row>
    <row r="6015" spans="1:1" x14ac:dyDescent="0.25">
      <c r="A6015" t="str" cm="1">
        <f t="array" ref="A6015">IF(INDEX(CUEs!$A:$A,INT((ROW()-1)/7)*57+MOD(ROW()-1,7)+50)&lt;&gt;"","set "&amp;INDEX(CUEs!$A:$A,INT((ROW()-1)/7)*57+MOD(ROW()-1,7)+50)&amp;"=/ s "&amp;INDEX(CUEs!$B:$B,INT((ROW()-1)/7)*57+MOD(ROW()-1,7)+50),"")</f>
        <v/>
      </c>
    </row>
    <row r="6016" spans="1:1" x14ac:dyDescent="0.25">
      <c r="A6016" t="str" cm="1">
        <f t="array" ref="A6016">IF(INDEX(CUEs!$A:$A,INT((ROW()-1)/7)*57+MOD(ROW()-1,7)+50)&lt;&gt;"","set "&amp;INDEX(CUEs!$A:$A,INT((ROW()-1)/7)*57+MOD(ROW()-1,7)+50)&amp;"=/ s "&amp;INDEX(CUEs!$B:$B,INT((ROW()-1)/7)*57+MOD(ROW()-1,7)+50),"")</f>
        <v/>
      </c>
    </row>
    <row r="6017" spans="1:1" x14ac:dyDescent="0.25">
      <c r="A6017" t="str" cm="1">
        <f t="array" ref="A6017">IF(INDEX(CUEs!$A:$A,INT((ROW()-1)/7)*57+MOD(ROW()-1,7)+50)&lt;&gt;"","set "&amp;INDEX(CUEs!$A:$A,INT((ROW()-1)/7)*57+MOD(ROW()-1,7)+50)&amp;"=/ s "&amp;INDEX(CUEs!$B:$B,INT((ROW()-1)/7)*57+MOD(ROW()-1,7)+50),"")</f>
        <v/>
      </c>
    </row>
    <row r="6018" spans="1:1" x14ac:dyDescent="0.25">
      <c r="A6018" t="str" cm="1">
        <f t="array" ref="A6018">IF(INDEX(CUEs!$A:$A,INT((ROW()-1)/7)*57+MOD(ROW()-1,7)+50)&lt;&gt;"","set "&amp;INDEX(CUEs!$A:$A,INT((ROW()-1)/7)*57+MOD(ROW()-1,7)+50)&amp;"=/ s "&amp;INDEX(CUEs!$B:$B,INT((ROW()-1)/7)*57+MOD(ROW()-1,7)+50),"")</f>
        <v/>
      </c>
    </row>
    <row r="6019" spans="1:1" x14ac:dyDescent="0.25">
      <c r="A6019" t="str" cm="1">
        <f t="array" ref="A6019">IF(INDEX(CUEs!$A:$A,INT((ROW()-1)/7)*57+MOD(ROW()-1,7)+50)&lt;&gt;"","set "&amp;INDEX(CUEs!$A:$A,INT((ROW()-1)/7)*57+MOD(ROW()-1,7)+50)&amp;"=/ s "&amp;INDEX(CUEs!$B:$B,INT((ROW()-1)/7)*57+MOD(ROW()-1,7)+50),"")</f>
        <v/>
      </c>
    </row>
    <row r="6020" spans="1:1" x14ac:dyDescent="0.25">
      <c r="A6020" t="str" cm="1">
        <f t="array" ref="A6020">IF(INDEX(CUEs!$A:$A,INT((ROW()-1)/7)*57+MOD(ROW()-1,7)+50)&lt;&gt;"","set "&amp;INDEX(CUEs!$A:$A,INT((ROW()-1)/7)*57+MOD(ROW()-1,7)+50)&amp;"=/ s "&amp;INDEX(CUEs!$B:$B,INT((ROW()-1)/7)*57+MOD(ROW()-1,7)+50),"")</f>
        <v/>
      </c>
    </row>
    <row r="6021" spans="1:1" x14ac:dyDescent="0.25">
      <c r="A6021" t="str" cm="1">
        <f t="array" ref="A6021">IF(INDEX(CUEs!$A:$A,INT((ROW()-1)/7)*57+MOD(ROW()-1,7)+50)&lt;&gt;"","set "&amp;INDEX(CUEs!$A:$A,INT((ROW()-1)/7)*57+MOD(ROW()-1,7)+50)&amp;"=/ s "&amp;INDEX(CUEs!$B:$B,INT((ROW()-1)/7)*57+MOD(ROW()-1,7)+50),"")</f>
        <v/>
      </c>
    </row>
    <row r="6022" spans="1:1" x14ac:dyDescent="0.25">
      <c r="A6022" t="str" cm="1">
        <f t="array" ref="A6022">IF(INDEX(CUEs!$A:$A,INT((ROW()-1)/7)*57+MOD(ROW()-1,7)+50)&lt;&gt;"","set "&amp;INDEX(CUEs!$A:$A,INT((ROW()-1)/7)*57+MOD(ROW()-1,7)+50)&amp;"=/ s "&amp;INDEX(CUEs!$B:$B,INT((ROW()-1)/7)*57+MOD(ROW()-1,7)+50),"")</f>
        <v/>
      </c>
    </row>
    <row r="6023" spans="1:1" x14ac:dyDescent="0.25">
      <c r="A6023" t="str" cm="1">
        <f t="array" ref="A6023">IF(INDEX(CUEs!$A:$A,INT((ROW()-1)/7)*57+MOD(ROW()-1,7)+50)&lt;&gt;"","set "&amp;INDEX(CUEs!$A:$A,INT((ROW()-1)/7)*57+MOD(ROW()-1,7)+50)&amp;"=/ s "&amp;INDEX(CUEs!$B:$B,INT((ROW()-1)/7)*57+MOD(ROW()-1,7)+50),"")</f>
        <v/>
      </c>
    </row>
    <row r="6024" spans="1:1" x14ac:dyDescent="0.25">
      <c r="A6024" t="str" cm="1">
        <f t="array" ref="A6024">IF(INDEX(CUEs!$A:$A,INT((ROW()-1)/7)*57+MOD(ROW()-1,7)+50)&lt;&gt;"","set "&amp;INDEX(CUEs!$A:$A,INT((ROW()-1)/7)*57+MOD(ROW()-1,7)+50)&amp;"=/ s "&amp;INDEX(CUEs!$B:$B,INT((ROW()-1)/7)*57+MOD(ROW()-1,7)+50),"")</f>
        <v/>
      </c>
    </row>
    <row r="6025" spans="1:1" x14ac:dyDescent="0.25">
      <c r="A6025" t="str" cm="1">
        <f t="array" ref="A6025">IF(INDEX(CUEs!$A:$A,INT((ROW()-1)/7)*57+MOD(ROW()-1,7)+50)&lt;&gt;"","set "&amp;INDEX(CUEs!$A:$A,INT((ROW()-1)/7)*57+MOD(ROW()-1,7)+50)&amp;"=/ s "&amp;INDEX(CUEs!$B:$B,INT((ROW()-1)/7)*57+MOD(ROW()-1,7)+50),"")</f>
        <v/>
      </c>
    </row>
    <row r="6026" spans="1:1" x14ac:dyDescent="0.25">
      <c r="A6026" t="str" cm="1">
        <f t="array" ref="A6026">IF(INDEX(CUEs!$A:$A,INT((ROW()-1)/7)*57+MOD(ROW()-1,7)+50)&lt;&gt;"","set "&amp;INDEX(CUEs!$A:$A,INT((ROW()-1)/7)*57+MOD(ROW()-1,7)+50)&amp;"=/ s "&amp;INDEX(CUEs!$B:$B,INT((ROW()-1)/7)*57+MOD(ROW()-1,7)+50),"")</f>
        <v/>
      </c>
    </row>
    <row r="6027" spans="1:1" x14ac:dyDescent="0.25">
      <c r="A6027" t="str" cm="1">
        <f t="array" ref="A6027">IF(INDEX(CUEs!$A:$A,INT((ROW()-1)/7)*57+MOD(ROW()-1,7)+50)&lt;&gt;"","set "&amp;INDEX(CUEs!$A:$A,INT((ROW()-1)/7)*57+MOD(ROW()-1,7)+50)&amp;"=/ s "&amp;INDEX(CUEs!$B:$B,INT((ROW()-1)/7)*57+MOD(ROW()-1,7)+50),"")</f>
        <v/>
      </c>
    </row>
    <row r="6028" spans="1:1" x14ac:dyDescent="0.25">
      <c r="A6028" t="str" cm="1">
        <f t="array" ref="A6028">IF(INDEX(CUEs!$A:$A,INT((ROW()-1)/7)*57+MOD(ROW()-1,7)+50)&lt;&gt;"","set "&amp;INDEX(CUEs!$A:$A,INT((ROW()-1)/7)*57+MOD(ROW()-1,7)+50)&amp;"=/ s "&amp;INDEX(CUEs!$B:$B,INT((ROW()-1)/7)*57+MOD(ROW()-1,7)+50),"")</f>
        <v/>
      </c>
    </row>
    <row r="6029" spans="1:1" x14ac:dyDescent="0.25">
      <c r="A6029" t="str" cm="1">
        <f t="array" ref="A6029">IF(INDEX(CUEs!$A:$A,INT((ROW()-1)/7)*57+MOD(ROW()-1,7)+50)&lt;&gt;"","set "&amp;INDEX(CUEs!$A:$A,INT((ROW()-1)/7)*57+MOD(ROW()-1,7)+50)&amp;"=/ s "&amp;INDEX(CUEs!$B:$B,INT((ROW()-1)/7)*57+MOD(ROW()-1,7)+50),"")</f>
        <v/>
      </c>
    </row>
    <row r="6030" spans="1:1" x14ac:dyDescent="0.25">
      <c r="A6030" t="str" cm="1">
        <f t="array" ref="A6030">IF(INDEX(CUEs!$A:$A,INT((ROW()-1)/7)*57+MOD(ROW()-1,7)+50)&lt;&gt;"","set "&amp;INDEX(CUEs!$A:$A,INT((ROW()-1)/7)*57+MOD(ROW()-1,7)+50)&amp;"=/ s "&amp;INDEX(CUEs!$B:$B,INT((ROW()-1)/7)*57+MOD(ROW()-1,7)+50),"")</f>
        <v/>
      </c>
    </row>
    <row r="6031" spans="1:1" x14ac:dyDescent="0.25">
      <c r="A6031" t="str" cm="1">
        <f t="array" ref="A6031">IF(INDEX(CUEs!$A:$A,INT((ROW()-1)/7)*57+MOD(ROW()-1,7)+50)&lt;&gt;"","set "&amp;INDEX(CUEs!$A:$A,INT((ROW()-1)/7)*57+MOD(ROW()-1,7)+50)&amp;"=/ s "&amp;INDEX(CUEs!$B:$B,INT((ROW()-1)/7)*57+MOD(ROW()-1,7)+50),"")</f>
        <v/>
      </c>
    </row>
    <row r="6032" spans="1:1" x14ac:dyDescent="0.25">
      <c r="A6032" t="str" cm="1">
        <f t="array" ref="A6032">IF(INDEX(CUEs!$A:$A,INT((ROW()-1)/7)*57+MOD(ROW()-1,7)+50)&lt;&gt;"","set "&amp;INDEX(CUEs!$A:$A,INT((ROW()-1)/7)*57+MOD(ROW()-1,7)+50)&amp;"=/ s "&amp;INDEX(CUEs!$B:$B,INT((ROW()-1)/7)*57+MOD(ROW()-1,7)+50),"")</f>
        <v/>
      </c>
    </row>
    <row r="6033" spans="1:1" x14ac:dyDescent="0.25">
      <c r="A6033" t="str" cm="1">
        <f t="array" ref="A6033">IF(INDEX(CUEs!$A:$A,INT((ROW()-1)/7)*57+MOD(ROW()-1,7)+50)&lt;&gt;"","set "&amp;INDEX(CUEs!$A:$A,INT((ROW()-1)/7)*57+MOD(ROW()-1,7)+50)&amp;"=/ s "&amp;INDEX(CUEs!$B:$B,INT((ROW()-1)/7)*57+MOD(ROW()-1,7)+50),"")</f>
        <v/>
      </c>
    </row>
    <row r="6034" spans="1:1" x14ac:dyDescent="0.25">
      <c r="A6034" t="str" cm="1">
        <f t="array" ref="A6034">IF(INDEX(CUEs!$A:$A,INT((ROW()-1)/7)*57+MOD(ROW()-1,7)+50)&lt;&gt;"","set "&amp;INDEX(CUEs!$A:$A,INT((ROW()-1)/7)*57+MOD(ROW()-1,7)+50)&amp;"=/ s "&amp;INDEX(CUEs!$B:$B,INT((ROW()-1)/7)*57+MOD(ROW()-1,7)+50),"")</f>
        <v/>
      </c>
    </row>
    <row r="6035" spans="1:1" x14ac:dyDescent="0.25">
      <c r="A6035" t="str" cm="1">
        <f t="array" ref="A6035">IF(INDEX(CUEs!$A:$A,INT((ROW()-1)/7)*57+MOD(ROW()-1,7)+50)&lt;&gt;"","set "&amp;INDEX(CUEs!$A:$A,INT((ROW()-1)/7)*57+MOD(ROW()-1,7)+50)&amp;"=/ s "&amp;INDEX(CUEs!$B:$B,INT((ROW()-1)/7)*57+MOD(ROW()-1,7)+50),"")</f>
        <v/>
      </c>
    </row>
    <row r="6036" spans="1:1" x14ac:dyDescent="0.25">
      <c r="A6036" t="str" cm="1">
        <f t="array" ref="A6036">IF(INDEX(CUEs!$A:$A,INT((ROW()-1)/7)*57+MOD(ROW()-1,7)+50)&lt;&gt;"","set "&amp;INDEX(CUEs!$A:$A,INT((ROW()-1)/7)*57+MOD(ROW()-1,7)+50)&amp;"=/ s "&amp;INDEX(CUEs!$B:$B,INT((ROW()-1)/7)*57+MOD(ROW()-1,7)+50),"")</f>
        <v/>
      </c>
    </row>
    <row r="6037" spans="1:1" x14ac:dyDescent="0.25">
      <c r="A6037" t="str" cm="1">
        <f t="array" ref="A6037">IF(INDEX(CUEs!$A:$A,INT((ROW()-1)/7)*57+MOD(ROW()-1,7)+50)&lt;&gt;"","set "&amp;INDEX(CUEs!$A:$A,INT((ROW()-1)/7)*57+MOD(ROW()-1,7)+50)&amp;"=/ s "&amp;INDEX(CUEs!$B:$B,INT((ROW()-1)/7)*57+MOD(ROW()-1,7)+50),"")</f>
        <v/>
      </c>
    </row>
    <row r="6038" spans="1:1" x14ac:dyDescent="0.25">
      <c r="A6038" t="str" cm="1">
        <f t="array" ref="A6038">IF(INDEX(CUEs!$A:$A,INT((ROW()-1)/7)*57+MOD(ROW()-1,7)+50)&lt;&gt;"","set "&amp;INDEX(CUEs!$A:$A,INT((ROW()-1)/7)*57+MOD(ROW()-1,7)+50)&amp;"=/ s "&amp;INDEX(CUEs!$B:$B,INT((ROW()-1)/7)*57+MOD(ROW()-1,7)+50),"")</f>
        <v/>
      </c>
    </row>
    <row r="6039" spans="1:1" x14ac:dyDescent="0.25">
      <c r="A6039" t="str" cm="1">
        <f t="array" ref="A6039">IF(INDEX(CUEs!$A:$A,INT((ROW()-1)/7)*57+MOD(ROW()-1,7)+50)&lt;&gt;"","set "&amp;INDEX(CUEs!$A:$A,INT((ROW()-1)/7)*57+MOD(ROW()-1,7)+50)&amp;"=/ s "&amp;INDEX(CUEs!$B:$B,INT((ROW()-1)/7)*57+MOD(ROW()-1,7)+50),"")</f>
        <v/>
      </c>
    </row>
    <row r="6040" spans="1:1" x14ac:dyDescent="0.25">
      <c r="A6040" t="str" cm="1">
        <f t="array" ref="A6040">IF(INDEX(CUEs!$A:$A,INT((ROW()-1)/7)*57+MOD(ROW()-1,7)+50)&lt;&gt;"","set "&amp;INDEX(CUEs!$A:$A,INT((ROW()-1)/7)*57+MOD(ROW()-1,7)+50)&amp;"=/ s "&amp;INDEX(CUEs!$B:$B,INT((ROW()-1)/7)*57+MOD(ROW()-1,7)+50),"")</f>
        <v/>
      </c>
    </row>
    <row r="6041" spans="1:1" x14ac:dyDescent="0.25">
      <c r="A6041" t="str" cm="1">
        <f t="array" ref="A6041">IF(INDEX(CUEs!$A:$A,INT((ROW()-1)/7)*57+MOD(ROW()-1,7)+50)&lt;&gt;"","set "&amp;INDEX(CUEs!$A:$A,INT((ROW()-1)/7)*57+MOD(ROW()-1,7)+50)&amp;"=/ s "&amp;INDEX(CUEs!$B:$B,INT((ROW()-1)/7)*57+MOD(ROW()-1,7)+50),"")</f>
        <v/>
      </c>
    </row>
    <row r="6042" spans="1:1" x14ac:dyDescent="0.25">
      <c r="A6042" t="str" cm="1">
        <f t="array" ref="A6042">IF(INDEX(CUEs!$A:$A,INT((ROW()-1)/7)*57+MOD(ROW()-1,7)+50)&lt;&gt;"","set "&amp;INDEX(CUEs!$A:$A,INT((ROW()-1)/7)*57+MOD(ROW()-1,7)+50)&amp;"=/ s "&amp;INDEX(CUEs!$B:$B,INT((ROW()-1)/7)*57+MOD(ROW()-1,7)+50),"")</f>
        <v/>
      </c>
    </row>
    <row r="6043" spans="1:1" x14ac:dyDescent="0.25">
      <c r="A6043" t="str" cm="1">
        <f t="array" ref="A6043">IF(INDEX(CUEs!$A:$A,INT((ROW()-1)/7)*57+MOD(ROW()-1,7)+50)&lt;&gt;"","set "&amp;INDEX(CUEs!$A:$A,INT((ROW()-1)/7)*57+MOD(ROW()-1,7)+50)&amp;"=/ s "&amp;INDEX(CUEs!$B:$B,INT((ROW()-1)/7)*57+MOD(ROW()-1,7)+50),"")</f>
        <v/>
      </c>
    </row>
    <row r="6044" spans="1:1" x14ac:dyDescent="0.25">
      <c r="A6044" t="str" cm="1">
        <f t="array" ref="A6044">IF(INDEX(CUEs!$A:$A,INT((ROW()-1)/7)*57+MOD(ROW()-1,7)+50)&lt;&gt;"","set "&amp;INDEX(CUEs!$A:$A,INT((ROW()-1)/7)*57+MOD(ROW()-1,7)+50)&amp;"=/ s "&amp;INDEX(CUEs!$B:$B,INT((ROW()-1)/7)*57+MOD(ROW()-1,7)+50),"")</f>
        <v/>
      </c>
    </row>
    <row r="6045" spans="1:1" x14ac:dyDescent="0.25">
      <c r="A6045" t="str" cm="1">
        <f t="array" ref="A6045">IF(INDEX(CUEs!$A:$A,INT((ROW()-1)/7)*57+MOD(ROW()-1,7)+50)&lt;&gt;"","set "&amp;INDEX(CUEs!$A:$A,INT((ROW()-1)/7)*57+MOD(ROW()-1,7)+50)&amp;"=/ s "&amp;INDEX(CUEs!$B:$B,INT((ROW()-1)/7)*57+MOD(ROW()-1,7)+50),"")</f>
        <v/>
      </c>
    </row>
    <row r="6046" spans="1:1" x14ac:dyDescent="0.25">
      <c r="A6046" t="str" cm="1">
        <f t="array" ref="A6046">IF(INDEX(CUEs!$A:$A,INT((ROW()-1)/7)*57+MOD(ROW()-1,7)+50)&lt;&gt;"","set "&amp;INDEX(CUEs!$A:$A,INT((ROW()-1)/7)*57+MOD(ROW()-1,7)+50)&amp;"=/ s "&amp;INDEX(CUEs!$B:$B,INT((ROW()-1)/7)*57+MOD(ROW()-1,7)+50),"")</f>
        <v/>
      </c>
    </row>
    <row r="6047" spans="1:1" x14ac:dyDescent="0.25">
      <c r="A6047" t="str" cm="1">
        <f t="array" ref="A6047">IF(INDEX(CUEs!$A:$A,INT((ROW()-1)/7)*57+MOD(ROW()-1,7)+50)&lt;&gt;"","set "&amp;INDEX(CUEs!$A:$A,INT((ROW()-1)/7)*57+MOD(ROW()-1,7)+50)&amp;"=/ s "&amp;INDEX(CUEs!$B:$B,INT((ROW()-1)/7)*57+MOD(ROW()-1,7)+50),"")</f>
        <v/>
      </c>
    </row>
    <row r="6048" spans="1:1" x14ac:dyDescent="0.25">
      <c r="A6048" t="str" cm="1">
        <f t="array" ref="A6048">IF(INDEX(CUEs!$A:$A,INT((ROW()-1)/7)*57+MOD(ROW()-1,7)+50)&lt;&gt;"","set "&amp;INDEX(CUEs!$A:$A,INT((ROW()-1)/7)*57+MOD(ROW()-1,7)+50)&amp;"=/ s "&amp;INDEX(CUEs!$B:$B,INT((ROW()-1)/7)*57+MOD(ROW()-1,7)+50),"")</f>
        <v/>
      </c>
    </row>
    <row r="6049" spans="1:1" x14ac:dyDescent="0.25">
      <c r="A6049" t="str" cm="1">
        <f t="array" ref="A6049">IF(INDEX(CUEs!$A:$A,INT((ROW()-1)/7)*57+MOD(ROW()-1,7)+50)&lt;&gt;"","set "&amp;INDEX(CUEs!$A:$A,INT((ROW()-1)/7)*57+MOD(ROW()-1,7)+50)&amp;"=/ s "&amp;INDEX(CUEs!$B:$B,INT((ROW()-1)/7)*57+MOD(ROW()-1,7)+50),"")</f>
        <v/>
      </c>
    </row>
    <row r="6050" spans="1:1" x14ac:dyDescent="0.25">
      <c r="A6050" t="str" cm="1">
        <f t="array" ref="A6050">IF(INDEX(CUEs!$A:$A,INT((ROW()-1)/7)*57+MOD(ROW()-1,7)+50)&lt;&gt;"","set "&amp;INDEX(CUEs!$A:$A,INT((ROW()-1)/7)*57+MOD(ROW()-1,7)+50)&amp;"=/ s "&amp;INDEX(CUEs!$B:$B,INT((ROW()-1)/7)*57+MOD(ROW()-1,7)+50),"")</f>
        <v/>
      </c>
    </row>
    <row r="6051" spans="1:1" x14ac:dyDescent="0.25">
      <c r="A6051" t="str" cm="1">
        <f t="array" ref="A6051">IF(INDEX(CUEs!$A:$A,INT((ROW()-1)/7)*57+MOD(ROW()-1,7)+50)&lt;&gt;"","set "&amp;INDEX(CUEs!$A:$A,INT((ROW()-1)/7)*57+MOD(ROW()-1,7)+50)&amp;"=/ s "&amp;INDEX(CUEs!$B:$B,INT((ROW()-1)/7)*57+MOD(ROW()-1,7)+50),"")</f>
        <v/>
      </c>
    </row>
    <row r="6052" spans="1:1" x14ac:dyDescent="0.25">
      <c r="A6052" t="str" cm="1">
        <f t="array" ref="A6052">IF(INDEX(CUEs!$A:$A,INT((ROW()-1)/7)*57+MOD(ROW()-1,7)+50)&lt;&gt;"","set "&amp;INDEX(CUEs!$A:$A,INT((ROW()-1)/7)*57+MOD(ROW()-1,7)+50)&amp;"=/ s "&amp;INDEX(CUEs!$B:$B,INT((ROW()-1)/7)*57+MOD(ROW()-1,7)+50),"")</f>
        <v/>
      </c>
    </row>
    <row r="6053" spans="1:1" x14ac:dyDescent="0.25">
      <c r="A6053" t="str" cm="1">
        <f t="array" ref="A6053">IF(INDEX(CUEs!$A:$A,INT((ROW()-1)/7)*57+MOD(ROW()-1,7)+50)&lt;&gt;"","set "&amp;INDEX(CUEs!$A:$A,INT((ROW()-1)/7)*57+MOD(ROW()-1,7)+50)&amp;"=/ s "&amp;INDEX(CUEs!$B:$B,INT((ROW()-1)/7)*57+MOD(ROW()-1,7)+50),"")</f>
        <v/>
      </c>
    </row>
    <row r="6054" spans="1:1" x14ac:dyDescent="0.25">
      <c r="A6054" t="str" cm="1">
        <f t="array" ref="A6054">IF(INDEX(CUEs!$A:$A,INT((ROW()-1)/7)*57+MOD(ROW()-1,7)+50)&lt;&gt;"","set "&amp;INDEX(CUEs!$A:$A,INT((ROW()-1)/7)*57+MOD(ROW()-1,7)+50)&amp;"=/ s "&amp;INDEX(CUEs!$B:$B,INT((ROW()-1)/7)*57+MOD(ROW()-1,7)+50),"")</f>
        <v/>
      </c>
    </row>
    <row r="6055" spans="1:1" x14ac:dyDescent="0.25">
      <c r="A6055" t="str" cm="1">
        <f t="array" ref="A6055">IF(INDEX(CUEs!$A:$A,INT((ROW()-1)/7)*57+MOD(ROW()-1,7)+50)&lt;&gt;"","set "&amp;INDEX(CUEs!$A:$A,INT((ROW()-1)/7)*57+MOD(ROW()-1,7)+50)&amp;"=/ s "&amp;INDEX(CUEs!$B:$B,INT((ROW()-1)/7)*57+MOD(ROW()-1,7)+50),"")</f>
        <v/>
      </c>
    </row>
    <row r="6056" spans="1:1" x14ac:dyDescent="0.25">
      <c r="A6056" t="str" cm="1">
        <f t="array" ref="A6056">IF(INDEX(CUEs!$A:$A,INT((ROW()-1)/7)*57+MOD(ROW()-1,7)+50)&lt;&gt;"","set "&amp;INDEX(CUEs!$A:$A,INT((ROW()-1)/7)*57+MOD(ROW()-1,7)+50)&amp;"=/ s "&amp;INDEX(CUEs!$B:$B,INT((ROW()-1)/7)*57+MOD(ROW()-1,7)+50),"")</f>
        <v/>
      </c>
    </row>
    <row r="6057" spans="1:1" x14ac:dyDescent="0.25">
      <c r="A6057" t="str" cm="1">
        <f t="array" ref="A6057">IF(INDEX(CUEs!$A:$A,INT((ROW()-1)/7)*57+MOD(ROW()-1,7)+50)&lt;&gt;"","set "&amp;INDEX(CUEs!$A:$A,INT((ROW()-1)/7)*57+MOD(ROW()-1,7)+50)&amp;"=/ s "&amp;INDEX(CUEs!$B:$B,INT((ROW()-1)/7)*57+MOD(ROW()-1,7)+50),"")</f>
        <v/>
      </c>
    </row>
    <row r="6058" spans="1:1" x14ac:dyDescent="0.25">
      <c r="A6058" t="str" cm="1">
        <f t="array" ref="A6058">IF(INDEX(CUEs!$A:$A,INT((ROW()-1)/7)*57+MOD(ROW()-1,7)+50)&lt;&gt;"","set "&amp;INDEX(CUEs!$A:$A,INT((ROW()-1)/7)*57+MOD(ROW()-1,7)+50)&amp;"=/ s "&amp;INDEX(CUEs!$B:$B,INT((ROW()-1)/7)*57+MOD(ROW()-1,7)+50),"")</f>
        <v/>
      </c>
    </row>
    <row r="6059" spans="1:1" x14ac:dyDescent="0.25">
      <c r="A6059" t="str" cm="1">
        <f t="array" ref="A6059">IF(INDEX(CUEs!$A:$A,INT((ROW()-1)/7)*57+MOD(ROW()-1,7)+50)&lt;&gt;"","set "&amp;INDEX(CUEs!$A:$A,INT((ROW()-1)/7)*57+MOD(ROW()-1,7)+50)&amp;"=/ s "&amp;INDEX(CUEs!$B:$B,INT((ROW()-1)/7)*57+MOD(ROW()-1,7)+50),"")</f>
        <v/>
      </c>
    </row>
    <row r="6060" spans="1:1" x14ac:dyDescent="0.25">
      <c r="A6060" t="str" cm="1">
        <f t="array" ref="A6060">IF(INDEX(CUEs!$A:$A,INT((ROW()-1)/7)*57+MOD(ROW()-1,7)+50)&lt;&gt;"","set "&amp;INDEX(CUEs!$A:$A,INT((ROW()-1)/7)*57+MOD(ROW()-1,7)+50)&amp;"=/ s "&amp;INDEX(CUEs!$B:$B,INT((ROW()-1)/7)*57+MOD(ROW()-1,7)+50),"")</f>
        <v/>
      </c>
    </row>
    <row r="6061" spans="1:1" x14ac:dyDescent="0.25">
      <c r="A6061" t="str" cm="1">
        <f t="array" ref="A6061">IF(INDEX(CUEs!$A:$A,INT((ROW()-1)/7)*57+MOD(ROW()-1,7)+50)&lt;&gt;"","set "&amp;INDEX(CUEs!$A:$A,INT((ROW()-1)/7)*57+MOD(ROW()-1,7)+50)&amp;"=/ s "&amp;INDEX(CUEs!$B:$B,INT((ROW()-1)/7)*57+MOD(ROW()-1,7)+50),"")</f>
        <v/>
      </c>
    </row>
    <row r="6062" spans="1:1" x14ac:dyDescent="0.25">
      <c r="A6062" t="str" cm="1">
        <f t="array" ref="A6062">IF(INDEX(CUEs!$A:$A,INT((ROW()-1)/7)*57+MOD(ROW()-1,7)+50)&lt;&gt;"","set "&amp;INDEX(CUEs!$A:$A,INT((ROW()-1)/7)*57+MOD(ROW()-1,7)+50)&amp;"=/ s "&amp;INDEX(CUEs!$B:$B,INT((ROW()-1)/7)*57+MOD(ROW()-1,7)+50),"")</f>
        <v/>
      </c>
    </row>
    <row r="6063" spans="1:1" x14ac:dyDescent="0.25">
      <c r="A6063" t="str" cm="1">
        <f t="array" ref="A6063">IF(INDEX(CUEs!$A:$A,INT((ROW()-1)/7)*57+MOD(ROW()-1,7)+50)&lt;&gt;"","set "&amp;INDEX(CUEs!$A:$A,INT((ROW()-1)/7)*57+MOD(ROW()-1,7)+50)&amp;"=/ s "&amp;INDEX(CUEs!$B:$B,INT((ROW()-1)/7)*57+MOD(ROW()-1,7)+50),"")</f>
        <v/>
      </c>
    </row>
    <row r="6064" spans="1:1" x14ac:dyDescent="0.25">
      <c r="A6064" t="str" cm="1">
        <f t="array" ref="A6064">IF(INDEX(CUEs!$A:$A,INT((ROW()-1)/7)*57+MOD(ROW()-1,7)+50)&lt;&gt;"","set "&amp;INDEX(CUEs!$A:$A,INT((ROW()-1)/7)*57+MOD(ROW()-1,7)+50)&amp;"=/ s "&amp;INDEX(CUEs!$B:$B,INT((ROW()-1)/7)*57+MOD(ROW()-1,7)+50),"")</f>
        <v/>
      </c>
    </row>
    <row r="6065" spans="1:1" x14ac:dyDescent="0.25">
      <c r="A6065" t="str" cm="1">
        <f t="array" ref="A6065">IF(INDEX(CUEs!$A:$A,INT((ROW()-1)/7)*57+MOD(ROW()-1,7)+50)&lt;&gt;"","set "&amp;INDEX(CUEs!$A:$A,INT((ROW()-1)/7)*57+MOD(ROW()-1,7)+50)&amp;"=/ s "&amp;INDEX(CUEs!$B:$B,INT((ROW()-1)/7)*57+MOD(ROW()-1,7)+50),"")</f>
        <v/>
      </c>
    </row>
    <row r="6066" spans="1:1" x14ac:dyDescent="0.25">
      <c r="A6066" t="str" cm="1">
        <f t="array" ref="A6066">IF(INDEX(CUEs!$A:$A,INT((ROW()-1)/7)*57+MOD(ROW()-1,7)+50)&lt;&gt;"","set "&amp;INDEX(CUEs!$A:$A,INT((ROW()-1)/7)*57+MOD(ROW()-1,7)+50)&amp;"=/ s "&amp;INDEX(CUEs!$B:$B,INT((ROW()-1)/7)*57+MOD(ROW()-1,7)+50),"")</f>
        <v/>
      </c>
    </row>
    <row r="6067" spans="1:1" x14ac:dyDescent="0.25">
      <c r="A6067" t="str" cm="1">
        <f t="array" ref="A6067">IF(INDEX(CUEs!$A:$A,INT((ROW()-1)/7)*57+MOD(ROW()-1,7)+50)&lt;&gt;"","set "&amp;INDEX(CUEs!$A:$A,INT((ROW()-1)/7)*57+MOD(ROW()-1,7)+50)&amp;"=/ s "&amp;INDEX(CUEs!$B:$B,INT((ROW()-1)/7)*57+MOD(ROW()-1,7)+50),"")</f>
        <v/>
      </c>
    </row>
    <row r="6068" spans="1:1" x14ac:dyDescent="0.25">
      <c r="A6068" t="str" cm="1">
        <f t="array" ref="A6068">IF(INDEX(CUEs!$A:$A,INT((ROW()-1)/7)*57+MOD(ROW()-1,7)+50)&lt;&gt;"","set "&amp;INDEX(CUEs!$A:$A,INT((ROW()-1)/7)*57+MOD(ROW()-1,7)+50)&amp;"=/ s "&amp;INDEX(CUEs!$B:$B,INT((ROW()-1)/7)*57+MOD(ROW()-1,7)+50),"")</f>
        <v/>
      </c>
    </row>
    <row r="6069" spans="1:1" x14ac:dyDescent="0.25">
      <c r="A6069" t="str" cm="1">
        <f t="array" ref="A6069">IF(INDEX(CUEs!$A:$A,INT((ROW()-1)/7)*57+MOD(ROW()-1,7)+50)&lt;&gt;"","set "&amp;INDEX(CUEs!$A:$A,INT((ROW()-1)/7)*57+MOD(ROW()-1,7)+50)&amp;"=/ s "&amp;INDEX(CUEs!$B:$B,INT((ROW()-1)/7)*57+MOD(ROW()-1,7)+50),"")</f>
        <v/>
      </c>
    </row>
    <row r="6070" spans="1:1" x14ac:dyDescent="0.25">
      <c r="A6070" t="str" cm="1">
        <f t="array" ref="A6070">IF(INDEX(CUEs!$A:$A,INT((ROW()-1)/7)*57+MOD(ROW()-1,7)+50)&lt;&gt;"","set "&amp;INDEX(CUEs!$A:$A,INT((ROW()-1)/7)*57+MOD(ROW()-1,7)+50)&amp;"=/ s "&amp;INDEX(CUEs!$B:$B,INT((ROW()-1)/7)*57+MOD(ROW()-1,7)+50),"")</f>
        <v/>
      </c>
    </row>
    <row r="6071" spans="1:1" x14ac:dyDescent="0.25">
      <c r="A6071" t="str" cm="1">
        <f t="array" ref="A6071">IF(INDEX(CUEs!$A:$A,INT((ROW()-1)/7)*57+MOD(ROW()-1,7)+50)&lt;&gt;"","set "&amp;INDEX(CUEs!$A:$A,INT((ROW()-1)/7)*57+MOD(ROW()-1,7)+50)&amp;"=/ s "&amp;INDEX(CUEs!$B:$B,INT((ROW()-1)/7)*57+MOD(ROW()-1,7)+50),"")</f>
        <v/>
      </c>
    </row>
    <row r="6072" spans="1:1" x14ac:dyDescent="0.25">
      <c r="A6072" t="str" cm="1">
        <f t="array" ref="A6072">IF(INDEX(CUEs!$A:$A,INT((ROW()-1)/7)*57+MOD(ROW()-1,7)+50)&lt;&gt;"","set "&amp;INDEX(CUEs!$A:$A,INT((ROW()-1)/7)*57+MOD(ROW()-1,7)+50)&amp;"=/ s "&amp;INDEX(CUEs!$B:$B,INT((ROW()-1)/7)*57+MOD(ROW()-1,7)+50),"")</f>
        <v/>
      </c>
    </row>
    <row r="6073" spans="1:1" x14ac:dyDescent="0.25">
      <c r="A6073" t="str" cm="1">
        <f t="array" ref="A6073">IF(INDEX(CUEs!$A:$A,INT((ROW()-1)/7)*57+MOD(ROW()-1,7)+50)&lt;&gt;"","set "&amp;INDEX(CUEs!$A:$A,INT((ROW()-1)/7)*57+MOD(ROW()-1,7)+50)&amp;"=/ s "&amp;INDEX(CUEs!$B:$B,INT((ROW()-1)/7)*57+MOD(ROW()-1,7)+50),"")</f>
        <v/>
      </c>
    </row>
    <row r="6074" spans="1:1" x14ac:dyDescent="0.25">
      <c r="A6074" t="str" cm="1">
        <f t="array" ref="A6074">IF(INDEX(CUEs!$A:$A,INT((ROW()-1)/7)*57+MOD(ROW()-1,7)+50)&lt;&gt;"","set "&amp;INDEX(CUEs!$A:$A,INT((ROW()-1)/7)*57+MOD(ROW()-1,7)+50)&amp;"=/ s "&amp;INDEX(CUEs!$B:$B,INT((ROW()-1)/7)*57+MOD(ROW()-1,7)+50),"")</f>
        <v/>
      </c>
    </row>
    <row r="6075" spans="1:1" x14ac:dyDescent="0.25">
      <c r="A6075" t="str" cm="1">
        <f t="array" ref="A6075">IF(INDEX(CUEs!$A:$A,INT((ROW()-1)/7)*57+MOD(ROW()-1,7)+50)&lt;&gt;"","set "&amp;INDEX(CUEs!$A:$A,INT((ROW()-1)/7)*57+MOD(ROW()-1,7)+50)&amp;"=/ s "&amp;INDEX(CUEs!$B:$B,INT((ROW()-1)/7)*57+MOD(ROW()-1,7)+50),"")</f>
        <v/>
      </c>
    </row>
    <row r="6076" spans="1:1" x14ac:dyDescent="0.25">
      <c r="A6076" t="str" cm="1">
        <f t="array" ref="A6076">IF(INDEX(CUEs!$A:$A,INT((ROW()-1)/7)*57+MOD(ROW()-1,7)+50)&lt;&gt;"","set "&amp;INDEX(CUEs!$A:$A,INT((ROW()-1)/7)*57+MOD(ROW()-1,7)+50)&amp;"=/ s "&amp;INDEX(CUEs!$B:$B,INT((ROW()-1)/7)*57+MOD(ROW()-1,7)+50),"")</f>
        <v/>
      </c>
    </row>
    <row r="6077" spans="1:1" x14ac:dyDescent="0.25">
      <c r="A6077" t="str" cm="1">
        <f t="array" ref="A6077">IF(INDEX(CUEs!$A:$A,INT((ROW()-1)/7)*57+MOD(ROW()-1,7)+50)&lt;&gt;"","set "&amp;INDEX(CUEs!$A:$A,INT((ROW()-1)/7)*57+MOD(ROW()-1,7)+50)&amp;"=/ s "&amp;INDEX(CUEs!$B:$B,INT((ROW()-1)/7)*57+MOD(ROW()-1,7)+50),"")</f>
        <v/>
      </c>
    </row>
    <row r="6078" spans="1:1" x14ac:dyDescent="0.25">
      <c r="A6078" t="str" cm="1">
        <f t="array" ref="A6078">IF(INDEX(CUEs!$A:$A,INT((ROW()-1)/7)*57+MOD(ROW()-1,7)+50)&lt;&gt;"","set "&amp;INDEX(CUEs!$A:$A,INT((ROW()-1)/7)*57+MOD(ROW()-1,7)+50)&amp;"=/ s "&amp;INDEX(CUEs!$B:$B,INT((ROW()-1)/7)*57+MOD(ROW()-1,7)+50),"")</f>
        <v/>
      </c>
    </row>
    <row r="6079" spans="1:1" x14ac:dyDescent="0.25">
      <c r="A6079" t="str" cm="1">
        <f t="array" ref="A6079">IF(INDEX(CUEs!$A:$A,INT((ROW()-1)/7)*57+MOD(ROW()-1,7)+50)&lt;&gt;"","set "&amp;INDEX(CUEs!$A:$A,INT((ROW()-1)/7)*57+MOD(ROW()-1,7)+50)&amp;"=/ s "&amp;INDEX(CUEs!$B:$B,INT((ROW()-1)/7)*57+MOD(ROW()-1,7)+50),"")</f>
        <v/>
      </c>
    </row>
    <row r="6080" spans="1:1" x14ac:dyDescent="0.25">
      <c r="A6080" t="str" cm="1">
        <f t="array" ref="A6080">IF(INDEX(CUEs!$A:$A,INT((ROW()-1)/7)*57+MOD(ROW()-1,7)+50)&lt;&gt;"","set "&amp;INDEX(CUEs!$A:$A,INT((ROW()-1)/7)*57+MOD(ROW()-1,7)+50)&amp;"=/ s "&amp;INDEX(CUEs!$B:$B,INT((ROW()-1)/7)*57+MOD(ROW()-1,7)+50),"")</f>
        <v/>
      </c>
    </row>
    <row r="6081" spans="1:1" x14ac:dyDescent="0.25">
      <c r="A6081" t="str" cm="1">
        <f t="array" ref="A6081">IF(INDEX(CUEs!$A:$A,INT((ROW()-1)/7)*57+MOD(ROW()-1,7)+50)&lt;&gt;"","set "&amp;INDEX(CUEs!$A:$A,INT((ROW()-1)/7)*57+MOD(ROW()-1,7)+50)&amp;"=/ s "&amp;INDEX(CUEs!$B:$B,INT((ROW()-1)/7)*57+MOD(ROW()-1,7)+50),"")</f>
        <v/>
      </c>
    </row>
    <row r="6082" spans="1:1" x14ac:dyDescent="0.25">
      <c r="A6082" t="str" cm="1">
        <f t="array" ref="A6082">IF(INDEX(CUEs!$A:$A,INT((ROW()-1)/7)*57+MOD(ROW()-1,7)+50)&lt;&gt;"","set "&amp;INDEX(CUEs!$A:$A,INT((ROW()-1)/7)*57+MOD(ROW()-1,7)+50)&amp;"=/ s "&amp;INDEX(CUEs!$B:$B,INT((ROW()-1)/7)*57+MOD(ROW()-1,7)+50),"")</f>
        <v/>
      </c>
    </row>
    <row r="6083" spans="1:1" x14ac:dyDescent="0.25">
      <c r="A6083" t="str" cm="1">
        <f t="array" ref="A6083">IF(INDEX(CUEs!$A:$A,INT((ROW()-1)/7)*57+MOD(ROW()-1,7)+50)&lt;&gt;"","set "&amp;INDEX(CUEs!$A:$A,INT((ROW()-1)/7)*57+MOD(ROW()-1,7)+50)&amp;"=/ s "&amp;INDEX(CUEs!$B:$B,INT((ROW()-1)/7)*57+MOD(ROW()-1,7)+50),"")</f>
        <v/>
      </c>
    </row>
    <row r="6084" spans="1:1" x14ac:dyDescent="0.25">
      <c r="A6084" t="str" cm="1">
        <f t="array" ref="A6084">IF(INDEX(CUEs!$A:$A,INT((ROW()-1)/7)*57+MOD(ROW()-1,7)+50)&lt;&gt;"","set "&amp;INDEX(CUEs!$A:$A,INT((ROW()-1)/7)*57+MOD(ROW()-1,7)+50)&amp;"=/ s "&amp;INDEX(CUEs!$B:$B,INT((ROW()-1)/7)*57+MOD(ROW()-1,7)+50),"")</f>
        <v/>
      </c>
    </row>
    <row r="6085" spans="1:1" x14ac:dyDescent="0.25">
      <c r="A6085" t="str" cm="1">
        <f t="array" ref="A6085">IF(INDEX(CUEs!$A:$A,INT((ROW()-1)/7)*57+MOD(ROW()-1,7)+50)&lt;&gt;"","set "&amp;INDEX(CUEs!$A:$A,INT((ROW()-1)/7)*57+MOD(ROW()-1,7)+50)&amp;"=/ s "&amp;INDEX(CUEs!$B:$B,INT((ROW()-1)/7)*57+MOD(ROW()-1,7)+50),"")</f>
        <v/>
      </c>
    </row>
    <row r="6086" spans="1:1" x14ac:dyDescent="0.25">
      <c r="A6086" t="str" cm="1">
        <f t="array" ref="A6086">IF(INDEX(CUEs!$A:$A,INT((ROW()-1)/7)*57+MOD(ROW()-1,7)+50)&lt;&gt;"","set "&amp;INDEX(CUEs!$A:$A,INT((ROW()-1)/7)*57+MOD(ROW()-1,7)+50)&amp;"=/ s "&amp;INDEX(CUEs!$B:$B,INT((ROW()-1)/7)*57+MOD(ROW()-1,7)+50),"")</f>
        <v/>
      </c>
    </row>
    <row r="6087" spans="1:1" x14ac:dyDescent="0.25">
      <c r="A6087" t="str" cm="1">
        <f t="array" ref="A6087">IF(INDEX(CUEs!$A:$A,INT((ROW()-1)/7)*57+MOD(ROW()-1,7)+50)&lt;&gt;"","set "&amp;INDEX(CUEs!$A:$A,INT((ROW()-1)/7)*57+MOD(ROW()-1,7)+50)&amp;"=/ s "&amp;INDEX(CUEs!$B:$B,INT((ROW()-1)/7)*57+MOD(ROW()-1,7)+50),"")</f>
        <v/>
      </c>
    </row>
    <row r="6088" spans="1:1" x14ac:dyDescent="0.25">
      <c r="A6088" t="str" cm="1">
        <f t="array" ref="A6088">IF(INDEX(CUEs!$A:$A,INT((ROW()-1)/7)*57+MOD(ROW()-1,7)+50)&lt;&gt;"","set "&amp;INDEX(CUEs!$A:$A,INT((ROW()-1)/7)*57+MOD(ROW()-1,7)+50)&amp;"=/ s "&amp;INDEX(CUEs!$B:$B,INT((ROW()-1)/7)*57+MOD(ROW()-1,7)+50),"")</f>
        <v/>
      </c>
    </row>
    <row r="6089" spans="1:1" x14ac:dyDescent="0.25">
      <c r="A6089" t="str" cm="1">
        <f t="array" ref="A6089">IF(INDEX(CUEs!$A:$A,INT((ROW()-1)/7)*57+MOD(ROW()-1,7)+50)&lt;&gt;"","set "&amp;INDEX(CUEs!$A:$A,INT((ROW()-1)/7)*57+MOD(ROW()-1,7)+50)&amp;"=/ s "&amp;INDEX(CUEs!$B:$B,INT((ROW()-1)/7)*57+MOD(ROW()-1,7)+50),"")</f>
        <v/>
      </c>
    </row>
    <row r="6090" spans="1:1" x14ac:dyDescent="0.25">
      <c r="A6090" t="str" cm="1">
        <f t="array" ref="A6090">IF(INDEX(CUEs!$A:$A,INT((ROW()-1)/7)*57+MOD(ROW()-1,7)+50)&lt;&gt;"","set "&amp;INDEX(CUEs!$A:$A,INT((ROW()-1)/7)*57+MOD(ROW()-1,7)+50)&amp;"=/ s "&amp;INDEX(CUEs!$B:$B,INT((ROW()-1)/7)*57+MOD(ROW()-1,7)+50),"")</f>
        <v/>
      </c>
    </row>
    <row r="6091" spans="1:1" x14ac:dyDescent="0.25">
      <c r="A6091" t="str" cm="1">
        <f t="array" ref="A6091">IF(INDEX(CUEs!$A:$A,INT((ROW()-1)/7)*57+MOD(ROW()-1,7)+50)&lt;&gt;"","set "&amp;INDEX(CUEs!$A:$A,INT((ROW()-1)/7)*57+MOD(ROW()-1,7)+50)&amp;"=/ s "&amp;INDEX(CUEs!$B:$B,INT((ROW()-1)/7)*57+MOD(ROW()-1,7)+50),"")</f>
        <v/>
      </c>
    </row>
    <row r="6092" spans="1:1" x14ac:dyDescent="0.25">
      <c r="A6092" t="str" cm="1">
        <f t="array" ref="A6092">IF(INDEX(CUEs!$A:$A,INT((ROW()-1)/7)*57+MOD(ROW()-1,7)+50)&lt;&gt;"","set "&amp;INDEX(CUEs!$A:$A,INT((ROW()-1)/7)*57+MOD(ROW()-1,7)+50)&amp;"=/ s "&amp;INDEX(CUEs!$B:$B,INT((ROW()-1)/7)*57+MOD(ROW()-1,7)+50),"")</f>
        <v/>
      </c>
    </row>
    <row r="6093" spans="1:1" x14ac:dyDescent="0.25">
      <c r="A6093" t="str" cm="1">
        <f t="array" ref="A6093">IF(INDEX(CUEs!$A:$A,INT((ROW()-1)/7)*57+MOD(ROW()-1,7)+50)&lt;&gt;"","set "&amp;INDEX(CUEs!$A:$A,INT((ROW()-1)/7)*57+MOD(ROW()-1,7)+50)&amp;"=/ s "&amp;INDEX(CUEs!$B:$B,INT((ROW()-1)/7)*57+MOD(ROW()-1,7)+50),"")</f>
        <v/>
      </c>
    </row>
    <row r="6094" spans="1:1" x14ac:dyDescent="0.25">
      <c r="A6094" t="str" cm="1">
        <f t="array" ref="A6094">IF(INDEX(CUEs!$A:$A,INT((ROW()-1)/7)*57+MOD(ROW()-1,7)+50)&lt;&gt;"","set "&amp;INDEX(CUEs!$A:$A,INT((ROW()-1)/7)*57+MOD(ROW()-1,7)+50)&amp;"=/ s "&amp;INDEX(CUEs!$B:$B,INT((ROW()-1)/7)*57+MOD(ROW()-1,7)+50),"")</f>
        <v/>
      </c>
    </row>
    <row r="6095" spans="1:1" x14ac:dyDescent="0.25">
      <c r="A6095" t="str" cm="1">
        <f t="array" ref="A6095">IF(INDEX(CUEs!$A:$A,INT((ROW()-1)/7)*57+MOD(ROW()-1,7)+50)&lt;&gt;"","set "&amp;INDEX(CUEs!$A:$A,INT((ROW()-1)/7)*57+MOD(ROW()-1,7)+50)&amp;"=/ s "&amp;INDEX(CUEs!$B:$B,INT((ROW()-1)/7)*57+MOD(ROW()-1,7)+50),"")</f>
        <v/>
      </c>
    </row>
    <row r="6096" spans="1:1" x14ac:dyDescent="0.25">
      <c r="A6096" t="str" cm="1">
        <f t="array" ref="A6096">IF(INDEX(CUEs!$A:$A,INT((ROW()-1)/7)*57+MOD(ROW()-1,7)+50)&lt;&gt;"","set "&amp;INDEX(CUEs!$A:$A,INT((ROW()-1)/7)*57+MOD(ROW()-1,7)+50)&amp;"=/ s "&amp;INDEX(CUEs!$B:$B,INT((ROW()-1)/7)*57+MOD(ROW()-1,7)+50),"")</f>
        <v/>
      </c>
    </row>
    <row r="6097" spans="1:1" x14ac:dyDescent="0.25">
      <c r="A6097" t="str" cm="1">
        <f t="array" ref="A6097">IF(INDEX(CUEs!$A:$A,INT((ROW()-1)/7)*57+MOD(ROW()-1,7)+50)&lt;&gt;"","set "&amp;INDEX(CUEs!$A:$A,INT((ROW()-1)/7)*57+MOD(ROW()-1,7)+50)&amp;"=/ s "&amp;INDEX(CUEs!$B:$B,INT((ROW()-1)/7)*57+MOD(ROW()-1,7)+50),"")</f>
        <v/>
      </c>
    </row>
    <row r="6098" spans="1:1" x14ac:dyDescent="0.25">
      <c r="A6098" t="str" cm="1">
        <f t="array" ref="A6098">IF(INDEX(CUEs!$A:$A,INT((ROW()-1)/7)*57+MOD(ROW()-1,7)+50)&lt;&gt;"","set "&amp;INDEX(CUEs!$A:$A,INT((ROW()-1)/7)*57+MOD(ROW()-1,7)+50)&amp;"=/ s "&amp;INDEX(CUEs!$B:$B,INT((ROW()-1)/7)*57+MOD(ROW()-1,7)+50),"")</f>
        <v/>
      </c>
    </row>
    <row r="6099" spans="1:1" x14ac:dyDescent="0.25">
      <c r="A6099" t="str" cm="1">
        <f t="array" ref="A6099">IF(INDEX(CUEs!$A:$A,INT((ROW()-1)/7)*57+MOD(ROW()-1,7)+50)&lt;&gt;"","set "&amp;INDEX(CUEs!$A:$A,INT((ROW()-1)/7)*57+MOD(ROW()-1,7)+50)&amp;"=/ s "&amp;INDEX(CUEs!$B:$B,INT((ROW()-1)/7)*57+MOD(ROW()-1,7)+50),"")</f>
        <v/>
      </c>
    </row>
    <row r="6100" spans="1:1" x14ac:dyDescent="0.25">
      <c r="A6100" t="str" cm="1">
        <f t="array" ref="A6100">IF(INDEX(CUEs!$A:$A,INT((ROW()-1)/7)*57+MOD(ROW()-1,7)+50)&lt;&gt;"","set "&amp;INDEX(CUEs!$A:$A,INT((ROW()-1)/7)*57+MOD(ROW()-1,7)+50)&amp;"=/ s "&amp;INDEX(CUEs!$B:$B,INT((ROW()-1)/7)*57+MOD(ROW()-1,7)+50),"")</f>
        <v/>
      </c>
    </row>
    <row r="6101" spans="1:1" x14ac:dyDescent="0.25">
      <c r="A6101" t="str" cm="1">
        <f t="array" ref="A6101">IF(INDEX(CUEs!$A:$A,INT((ROW()-1)/7)*57+MOD(ROW()-1,7)+50)&lt;&gt;"","set "&amp;INDEX(CUEs!$A:$A,INT((ROW()-1)/7)*57+MOD(ROW()-1,7)+50)&amp;"=/ s "&amp;INDEX(CUEs!$B:$B,INT((ROW()-1)/7)*57+MOD(ROW()-1,7)+50),"")</f>
        <v/>
      </c>
    </row>
    <row r="6102" spans="1:1" x14ac:dyDescent="0.25">
      <c r="A6102" t="str" cm="1">
        <f t="array" ref="A6102">IF(INDEX(CUEs!$A:$A,INT((ROW()-1)/7)*57+MOD(ROW()-1,7)+50)&lt;&gt;"","set "&amp;INDEX(CUEs!$A:$A,INT((ROW()-1)/7)*57+MOD(ROW()-1,7)+50)&amp;"=/ s "&amp;INDEX(CUEs!$B:$B,INT((ROW()-1)/7)*57+MOD(ROW()-1,7)+50),"")</f>
        <v/>
      </c>
    </row>
    <row r="6103" spans="1:1" x14ac:dyDescent="0.25">
      <c r="A6103" t="str" cm="1">
        <f t="array" ref="A6103">IF(INDEX(CUEs!$A:$A,INT((ROW()-1)/7)*57+MOD(ROW()-1,7)+50)&lt;&gt;"","set "&amp;INDEX(CUEs!$A:$A,INT((ROW()-1)/7)*57+MOD(ROW()-1,7)+50)&amp;"=/ s "&amp;INDEX(CUEs!$B:$B,INT((ROW()-1)/7)*57+MOD(ROW()-1,7)+50),"")</f>
        <v/>
      </c>
    </row>
    <row r="6104" spans="1:1" x14ac:dyDescent="0.25">
      <c r="A6104" t="str" cm="1">
        <f t="array" ref="A6104">IF(INDEX(CUEs!$A:$A,INT((ROW()-1)/7)*57+MOD(ROW()-1,7)+50)&lt;&gt;"","set "&amp;INDEX(CUEs!$A:$A,INT((ROW()-1)/7)*57+MOD(ROW()-1,7)+50)&amp;"=/ s "&amp;INDEX(CUEs!$B:$B,INT((ROW()-1)/7)*57+MOD(ROW()-1,7)+50),"")</f>
        <v/>
      </c>
    </row>
    <row r="6105" spans="1:1" x14ac:dyDescent="0.25">
      <c r="A6105" t="str" cm="1">
        <f t="array" ref="A6105">IF(INDEX(CUEs!$A:$A,INT((ROW()-1)/7)*57+MOD(ROW()-1,7)+50)&lt;&gt;"","set "&amp;INDEX(CUEs!$A:$A,INT((ROW()-1)/7)*57+MOD(ROW()-1,7)+50)&amp;"=/ s "&amp;INDEX(CUEs!$B:$B,INT((ROW()-1)/7)*57+MOD(ROW()-1,7)+50),"")</f>
        <v/>
      </c>
    </row>
    <row r="6106" spans="1:1" x14ac:dyDescent="0.25">
      <c r="A6106" t="str" cm="1">
        <f t="array" ref="A6106">IF(INDEX(CUEs!$A:$A,INT((ROW()-1)/7)*57+MOD(ROW()-1,7)+50)&lt;&gt;"","set "&amp;INDEX(CUEs!$A:$A,INT((ROW()-1)/7)*57+MOD(ROW()-1,7)+50)&amp;"=/ s "&amp;INDEX(CUEs!$B:$B,INT((ROW()-1)/7)*57+MOD(ROW()-1,7)+50),"")</f>
        <v/>
      </c>
    </row>
    <row r="6107" spans="1:1" x14ac:dyDescent="0.25">
      <c r="A6107" t="str" cm="1">
        <f t="array" ref="A6107">IF(INDEX(CUEs!$A:$A,INT((ROW()-1)/7)*57+MOD(ROW()-1,7)+50)&lt;&gt;"","set "&amp;INDEX(CUEs!$A:$A,INT((ROW()-1)/7)*57+MOD(ROW()-1,7)+50)&amp;"=/ s "&amp;INDEX(CUEs!$B:$B,INT((ROW()-1)/7)*57+MOD(ROW()-1,7)+50),"")</f>
        <v/>
      </c>
    </row>
    <row r="6108" spans="1:1" x14ac:dyDescent="0.25">
      <c r="A6108" t="str" cm="1">
        <f t="array" ref="A6108">IF(INDEX(CUEs!$A:$A,INT((ROW()-1)/7)*57+MOD(ROW()-1,7)+50)&lt;&gt;"","set "&amp;INDEX(CUEs!$A:$A,INT((ROW()-1)/7)*57+MOD(ROW()-1,7)+50)&amp;"=/ s "&amp;INDEX(CUEs!$B:$B,INT((ROW()-1)/7)*57+MOD(ROW()-1,7)+50),"")</f>
        <v/>
      </c>
    </row>
    <row r="6109" spans="1:1" x14ac:dyDescent="0.25">
      <c r="A6109" t="str" cm="1">
        <f t="array" ref="A6109">IF(INDEX(CUEs!$A:$A,INT((ROW()-1)/7)*57+MOD(ROW()-1,7)+50)&lt;&gt;"","set "&amp;INDEX(CUEs!$A:$A,INT((ROW()-1)/7)*57+MOD(ROW()-1,7)+50)&amp;"=/ s "&amp;INDEX(CUEs!$B:$B,INT((ROW()-1)/7)*57+MOD(ROW()-1,7)+50),"")</f>
        <v/>
      </c>
    </row>
    <row r="6110" spans="1:1" x14ac:dyDescent="0.25">
      <c r="A6110" t="str" cm="1">
        <f t="array" ref="A6110">IF(INDEX(CUEs!$A:$A,INT((ROW()-1)/7)*57+MOD(ROW()-1,7)+50)&lt;&gt;"","set "&amp;INDEX(CUEs!$A:$A,INT((ROW()-1)/7)*57+MOD(ROW()-1,7)+50)&amp;"=/ s "&amp;INDEX(CUEs!$B:$B,INT((ROW()-1)/7)*57+MOD(ROW()-1,7)+50),"")</f>
        <v/>
      </c>
    </row>
    <row r="6111" spans="1:1" x14ac:dyDescent="0.25">
      <c r="A6111" t="str" cm="1">
        <f t="array" ref="A6111">IF(INDEX(CUEs!$A:$A,INT((ROW()-1)/7)*57+MOD(ROW()-1,7)+50)&lt;&gt;"","set "&amp;INDEX(CUEs!$A:$A,INT((ROW()-1)/7)*57+MOD(ROW()-1,7)+50)&amp;"=/ s "&amp;INDEX(CUEs!$B:$B,INT((ROW()-1)/7)*57+MOD(ROW()-1,7)+50),"")</f>
        <v/>
      </c>
    </row>
    <row r="6112" spans="1:1" x14ac:dyDescent="0.25">
      <c r="A6112" t="str" cm="1">
        <f t="array" ref="A6112">IF(INDEX(CUEs!$A:$A,INT((ROW()-1)/7)*57+MOD(ROW()-1,7)+50)&lt;&gt;"","set "&amp;INDEX(CUEs!$A:$A,INT((ROW()-1)/7)*57+MOD(ROW()-1,7)+50)&amp;"=/ s "&amp;INDEX(CUEs!$B:$B,INT((ROW()-1)/7)*57+MOD(ROW()-1,7)+50),"")</f>
        <v/>
      </c>
    </row>
    <row r="6113" spans="1:1" x14ac:dyDescent="0.25">
      <c r="A6113" t="str" cm="1">
        <f t="array" ref="A6113">IF(INDEX(CUEs!$A:$A,INT((ROW()-1)/7)*57+MOD(ROW()-1,7)+50)&lt;&gt;"","set "&amp;INDEX(CUEs!$A:$A,INT((ROW()-1)/7)*57+MOD(ROW()-1,7)+50)&amp;"=/ s "&amp;INDEX(CUEs!$B:$B,INT((ROW()-1)/7)*57+MOD(ROW()-1,7)+50),"")</f>
        <v/>
      </c>
    </row>
    <row r="6114" spans="1:1" x14ac:dyDescent="0.25">
      <c r="A6114" t="str" cm="1">
        <f t="array" ref="A6114">IF(INDEX(CUEs!$A:$A,INT((ROW()-1)/7)*57+MOD(ROW()-1,7)+50)&lt;&gt;"","set "&amp;INDEX(CUEs!$A:$A,INT((ROW()-1)/7)*57+MOD(ROW()-1,7)+50)&amp;"=/ s "&amp;INDEX(CUEs!$B:$B,INT((ROW()-1)/7)*57+MOD(ROW()-1,7)+50),"")</f>
        <v/>
      </c>
    </row>
    <row r="6115" spans="1:1" x14ac:dyDescent="0.25">
      <c r="A6115" t="str" cm="1">
        <f t="array" ref="A6115">IF(INDEX(CUEs!$A:$A,INT((ROW()-1)/7)*57+MOD(ROW()-1,7)+50)&lt;&gt;"","set "&amp;INDEX(CUEs!$A:$A,INT((ROW()-1)/7)*57+MOD(ROW()-1,7)+50)&amp;"=/ s "&amp;INDEX(CUEs!$B:$B,INT((ROW()-1)/7)*57+MOD(ROW()-1,7)+50),"")</f>
        <v/>
      </c>
    </row>
    <row r="6116" spans="1:1" x14ac:dyDescent="0.25">
      <c r="A6116" t="str" cm="1">
        <f t="array" ref="A6116">IF(INDEX(CUEs!$A:$A,INT((ROW()-1)/7)*57+MOD(ROW()-1,7)+50)&lt;&gt;"","set "&amp;INDEX(CUEs!$A:$A,INT((ROW()-1)/7)*57+MOD(ROW()-1,7)+50)&amp;"=/ s "&amp;INDEX(CUEs!$B:$B,INT((ROW()-1)/7)*57+MOD(ROW()-1,7)+50),"")</f>
        <v/>
      </c>
    </row>
    <row r="6117" spans="1:1" x14ac:dyDescent="0.25">
      <c r="A6117" t="str" cm="1">
        <f t="array" ref="A6117">IF(INDEX(CUEs!$A:$A,INT((ROW()-1)/7)*57+MOD(ROW()-1,7)+50)&lt;&gt;"","set "&amp;INDEX(CUEs!$A:$A,INT((ROW()-1)/7)*57+MOD(ROW()-1,7)+50)&amp;"=/ s "&amp;INDEX(CUEs!$B:$B,INT((ROW()-1)/7)*57+MOD(ROW()-1,7)+50),"")</f>
        <v/>
      </c>
    </row>
    <row r="6118" spans="1:1" x14ac:dyDescent="0.25">
      <c r="A6118" t="str" cm="1">
        <f t="array" ref="A6118">IF(INDEX(CUEs!$A:$A,INT((ROW()-1)/7)*57+MOD(ROW()-1,7)+50)&lt;&gt;"","set "&amp;INDEX(CUEs!$A:$A,INT((ROW()-1)/7)*57+MOD(ROW()-1,7)+50)&amp;"=/ s "&amp;INDEX(CUEs!$B:$B,INT((ROW()-1)/7)*57+MOD(ROW()-1,7)+50),"")</f>
        <v/>
      </c>
    </row>
    <row r="6119" spans="1:1" x14ac:dyDescent="0.25">
      <c r="A6119" t="str" cm="1">
        <f t="array" ref="A6119">IF(INDEX(CUEs!$A:$A,INT((ROW()-1)/7)*57+MOD(ROW()-1,7)+50)&lt;&gt;"","set "&amp;INDEX(CUEs!$A:$A,INT((ROW()-1)/7)*57+MOD(ROW()-1,7)+50)&amp;"=/ s "&amp;INDEX(CUEs!$B:$B,INT((ROW()-1)/7)*57+MOD(ROW()-1,7)+50),"")</f>
        <v/>
      </c>
    </row>
    <row r="6120" spans="1:1" x14ac:dyDescent="0.25">
      <c r="A6120" t="str" cm="1">
        <f t="array" ref="A6120">IF(INDEX(CUEs!$A:$A,INT((ROW()-1)/7)*57+MOD(ROW()-1,7)+50)&lt;&gt;"","set "&amp;INDEX(CUEs!$A:$A,INT((ROW()-1)/7)*57+MOD(ROW()-1,7)+50)&amp;"=/ s "&amp;INDEX(CUEs!$B:$B,INT((ROW()-1)/7)*57+MOD(ROW()-1,7)+50),"")</f>
        <v/>
      </c>
    </row>
    <row r="6121" spans="1:1" x14ac:dyDescent="0.25">
      <c r="A6121" t="str" cm="1">
        <f t="array" ref="A6121">IF(INDEX(CUEs!$A:$A,INT((ROW()-1)/7)*57+MOD(ROW()-1,7)+50)&lt;&gt;"","set "&amp;INDEX(CUEs!$A:$A,INT((ROW()-1)/7)*57+MOD(ROW()-1,7)+50)&amp;"=/ s "&amp;INDEX(CUEs!$B:$B,INT((ROW()-1)/7)*57+MOD(ROW()-1,7)+50),"")</f>
        <v/>
      </c>
    </row>
    <row r="6122" spans="1:1" x14ac:dyDescent="0.25">
      <c r="A6122" t="str" cm="1">
        <f t="array" ref="A6122">IF(INDEX(CUEs!$A:$A,INT((ROW()-1)/7)*57+MOD(ROW()-1,7)+50)&lt;&gt;"","set "&amp;INDEX(CUEs!$A:$A,INT((ROW()-1)/7)*57+MOD(ROW()-1,7)+50)&amp;"=/ s "&amp;INDEX(CUEs!$B:$B,INT((ROW()-1)/7)*57+MOD(ROW()-1,7)+50),"")</f>
        <v/>
      </c>
    </row>
    <row r="6123" spans="1:1" x14ac:dyDescent="0.25">
      <c r="A6123" t="str" cm="1">
        <f t="array" ref="A6123">IF(INDEX(CUEs!$A:$A,INT((ROW()-1)/7)*57+MOD(ROW()-1,7)+50)&lt;&gt;"","set "&amp;INDEX(CUEs!$A:$A,INT((ROW()-1)/7)*57+MOD(ROW()-1,7)+50)&amp;"=/ s "&amp;INDEX(CUEs!$B:$B,INT((ROW()-1)/7)*57+MOD(ROW()-1,7)+50),"")</f>
        <v/>
      </c>
    </row>
    <row r="6124" spans="1:1" x14ac:dyDescent="0.25">
      <c r="A6124" t="str" cm="1">
        <f t="array" ref="A6124">IF(INDEX(CUEs!$A:$A,INT((ROW()-1)/7)*57+MOD(ROW()-1,7)+50)&lt;&gt;"","set "&amp;INDEX(CUEs!$A:$A,INT((ROW()-1)/7)*57+MOD(ROW()-1,7)+50)&amp;"=/ s "&amp;INDEX(CUEs!$B:$B,INT((ROW()-1)/7)*57+MOD(ROW()-1,7)+50),"")</f>
        <v/>
      </c>
    </row>
    <row r="6125" spans="1:1" x14ac:dyDescent="0.25">
      <c r="A6125" t="str" cm="1">
        <f t="array" ref="A6125">IF(INDEX(CUEs!$A:$A,INT((ROW()-1)/7)*57+MOD(ROW()-1,7)+50)&lt;&gt;"","set "&amp;INDEX(CUEs!$A:$A,INT((ROW()-1)/7)*57+MOD(ROW()-1,7)+50)&amp;"=/ s "&amp;INDEX(CUEs!$B:$B,INT((ROW()-1)/7)*57+MOD(ROW()-1,7)+50),"")</f>
        <v/>
      </c>
    </row>
    <row r="6126" spans="1:1" x14ac:dyDescent="0.25">
      <c r="A6126" t="str" cm="1">
        <f t="array" ref="A6126">IF(INDEX(CUEs!$A:$A,INT((ROW()-1)/7)*57+MOD(ROW()-1,7)+50)&lt;&gt;"","set "&amp;INDEX(CUEs!$A:$A,INT((ROW()-1)/7)*57+MOD(ROW()-1,7)+50)&amp;"=/ s "&amp;INDEX(CUEs!$B:$B,INT((ROW()-1)/7)*57+MOD(ROW()-1,7)+50),"")</f>
        <v/>
      </c>
    </row>
    <row r="6127" spans="1:1" x14ac:dyDescent="0.25">
      <c r="A6127" t="str" cm="1">
        <f t="array" ref="A6127">IF(INDEX(CUEs!$A:$A,INT((ROW()-1)/7)*57+MOD(ROW()-1,7)+50)&lt;&gt;"","set "&amp;INDEX(CUEs!$A:$A,INT((ROW()-1)/7)*57+MOD(ROW()-1,7)+50)&amp;"=/ s "&amp;INDEX(CUEs!$B:$B,INT((ROW()-1)/7)*57+MOD(ROW()-1,7)+50),"")</f>
        <v/>
      </c>
    </row>
    <row r="6128" spans="1:1" x14ac:dyDescent="0.25">
      <c r="A6128" t="str" cm="1">
        <f t="array" ref="A6128">IF(INDEX(CUEs!$A:$A,INT((ROW()-1)/7)*57+MOD(ROW()-1,7)+50)&lt;&gt;"","set "&amp;INDEX(CUEs!$A:$A,INT((ROW()-1)/7)*57+MOD(ROW()-1,7)+50)&amp;"=/ s "&amp;INDEX(CUEs!$B:$B,INT((ROW()-1)/7)*57+MOD(ROW()-1,7)+50),"")</f>
        <v/>
      </c>
    </row>
    <row r="6129" spans="1:1" x14ac:dyDescent="0.25">
      <c r="A6129" t="str" cm="1">
        <f t="array" ref="A6129">IF(INDEX(CUEs!$A:$A,INT((ROW()-1)/7)*57+MOD(ROW()-1,7)+50)&lt;&gt;"","set "&amp;INDEX(CUEs!$A:$A,INT((ROW()-1)/7)*57+MOD(ROW()-1,7)+50)&amp;"=/ s "&amp;INDEX(CUEs!$B:$B,INT((ROW()-1)/7)*57+MOD(ROW()-1,7)+50),"")</f>
        <v/>
      </c>
    </row>
    <row r="6130" spans="1:1" x14ac:dyDescent="0.25">
      <c r="A6130" t="str" cm="1">
        <f t="array" ref="A6130">IF(INDEX(CUEs!$A:$A,INT((ROW()-1)/7)*57+MOD(ROW()-1,7)+50)&lt;&gt;"","set "&amp;INDEX(CUEs!$A:$A,INT((ROW()-1)/7)*57+MOD(ROW()-1,7)+50)&amp;"=/ s "&amp;INDEX(CUEs!$B:$B,INT((ROW()-1)/7)*57+MOD(ROW()-1,7)+50),"")</f>
        <v/>
      </c>
    </row>
    <row r="6131" spans="1:1" x14ac:dyDescent="0.25">
      <c r="A6131" t="str" cm="1">
        <f t="array" ref="A6131">IF(INDEX(CUEs!$A:$A,INT((ROW()-1)/7)*57+MOD(ROW()-1,7)+50)&lt;&gt;"","set "&amp;INDEX(CUEs!$A:$A,INT((ROW()-1)/7)*57+MOD(ROW()-1,7)+50)&amp;"=/ s "&amp;INDEX(CUEs!$B:$B,INT((ROW()-1)/7)*57+MOD(ROW()-1,7)+50),"")</f>
        <v/>
      </c>
    </row>
    <row r="6132" spans="1:1" x14ac:dyDescent="0.25">
      <c r="A6132" t="str" cm="1">
        <f t="array" ref="A6132">IF(INDEX(CUEs!$A:$A,INT((ROW()-1)/7)*57+MOD(ROW()-1,7)+50)&lt;&gt;"","set "&amp;INDEX(CUEs!$A:$A,INT((ROW()-1)/7)*57+MOD(ROW()-1,7)+50)&amp;"=/ s "&amp;INDEX(CUEs!$B:$B,INT((ROW()-1)/7)*57+MOD(ROW()-1,7)+50),"")</f>
        <v/>
      </c>
    </row>
    <row r="6133" spans="1:1" x14ac:dyDescent="0.25">
      <c r="A6133" t="str" cm="1">
        <f t="array" ref="A6133">IF(INDEX(CUEs!$A:$A,INT((ROW()-1)/7)*57+MOD(ROW()-1,7)+50)&lt;&gt;"","set "&amp;INDEX(CUEs!$A:$A,INT((ROW()-1)/7)*57+MOD(ROW()-1,7)+50)&amp;"=/ s "&amp;INDEX(CUEs!$B:$B,INT((ROW()-1)/7)*57+MOD(ROW()-1,7)+50),"")</f>
        <v/>
      </c>
    </row>
    <row r="6134" spans="1:1" x14ac:dyDescent="0.25">
      <c r="A6134" t="str" cm="1">
        <f t="array" ref="A6134">IF(INDEX(CUEs!$A:$A,INT((ROW()-1)/7)*57+MOD(ROW()-1,7)+50)&lt;&gt;"","set "&amp;INDEX(CUEs!$A:$A,INT((ROW()-1)/7)*57+MOD(ROW()-1,7)+50)&amp;"=/ s "&amp;INDEX(CUEs!$B:$B,INT((ROW()-1)/7)*57+MOD(ROW()-1,7)+50),"")</f>
        <v/>
      </c>
    </row>
    <row r="6135" spans="1:1" x14ac:dyDescent="0.25">
      <c r="A6135" t="str" cm="1">
        <f t="array" ref="A6135">IF(INDEX(CUEs!$A:$A,INT((ROW()-1)/7)*57+MOD(ROW()-1,7)+50)&lt;&gt;"","set "&amp;INDEX(CUEs!$A:$A,INT((ROW()-1)/7)*57+MOD(ROW()-1,7)+50)&amp;"=/ s "&amp;INDEX(CUEs!$B:$B,INT((ROW()-1)/7)*57+MOD(ROW()-1,7)+50),"")</f>
        <v/>
      </c>
    </row>
    <row r="6136" spans="1:1" x14ac:dyDescent="0.25">
      <c r="A6136" t="str" cm="1">
        <f t="array" ref="A6136">IF(INDEX(CUEs!$A:$A,INT((ROW()-1)/7)*57+MOD(ROW()-1,7)+50)&lt;&gt;"","set "&amp;INDEX(CUEs!$A:$A,INT((ROW()-1)/7)*57+MOD(ROW()-1,7)+50)&amp;"=/ s "&amp;INDEX(CUEs!$B:$B,INT((ROW()-1)/7)*57+MOD(ROW()-1,7)+50),"")</f>
        <v/>
      </c>
    </row>
    <row r="6137" spans="1:1" x14ac:dyDescent="0.25">
      <c r="A6137" t="str" cm="1">
        <f t="array" ref="A6137">IF(INDEX(CUEs!$A:$A,INT((ROW()-1)/7)*57+MOD(ROW()-1,7)+50)&lt;&gt;"","set "&amp;INDEX(CUEs!$A:$A,INT((ROW()-1)/7)*57+MOD(ROW()-1,7)+50)&amp;"=/ s "&amp;INDEX(CUEs!$B:$B,INT((ROW()-1)/7)*57+MOD(ROW()-1,7)+50),"")</f>
        <v/>
      </c>
    </row>
    <row r="6138" spans="1:1" x14ac:dyDescent="0.25">
      <c r="A6138" t="str" cm="1">
        <f t="array" ref="A6138">IF(INDEX(CUEs!$A:$A,INT((ROW()-1)/7)*57+MOD(ROW()-1,7)+50)&lt;&gt;"","set "&amp;INDEX(CUEs!$A:$A,INT((ROW()-1)/7)*57+MOD(ROW()-1,7)+50)&amp;"=/ s "&amp;INDEX(CUEs!$B:$B,INT((ROW()-1)/7)*57+MOD(ROW()-1,7)+50),"")</f>
        <v/>
      </c>
    </row>
    <row r="6139" spans="1:1" x14ac:dyDescent="0.25">
      <c r="A6139" t="str" cm="1">
        <f t="array" ref="A6139">IF(INDEX(CUEs!$A:$A,INT((ROW()-1)/7)*57+MOD(ROW()-1,7)+50)&lt;&gt;"","set "&amp;INDEX(CUEs!$A:$A,INT((ROW()-1)/7)*57+MOD(ROW()-1,7)+50)&amp;"=/ s "&amp;INDEX(CUEs!$B:$B,INT((ROW()-1)/7)*57+MOD(ROW()-1,7)+50),"")</f>
        <v/>
      </c>
    </row>
    <row r="6140" spans="1:1" x14ac:dyDescent="0.25">
      <c r="A6140" t="str" cm="1">
        <f t="array" ref="A6140">IF(INDEX(CUEs!$A:$A,INT((ROW()-1)/7)*57+MOD(ROW()-1,7)+50)&lt;&gt;"","set "&amp;INDEX(CUEs!$A:$A,INT((ROW()-1)/7)*57+MOD(ROW()-1,7)+50)&amp;"=/ s "&amp;INDEX(CUEs!$B:$B,INT((ROW()-1)/7)*57+MOD(ROW()-1,7)+50),"")</f>
        <v/>
      </c>
    </row>
    <row r="6141" spans="1:1" x14ac:dyDescent="0.25">
      <c r="A6141" t="str" cm="1">
        <f t="array" ref="A6141">IF(INDEX(CUEs!$A:$A,INT((ROW()-1)/7)*57+MOD(ROW()-1,7)+50)&lt;&gt;"","set "&amp;INDEX(CUEs!$A:$A,INT((ROW()-1)/7)*57+MOD(ROW()-1,7)+50)&amp;"=/ s "&amp;INDEX(CUEs!$B:$B,INT((ROW()-1)/7)*57+MOD(ROW()-1,7)+50),"")</f>
        <v/>
      </c>
    </row>
    <row r="6142" spans="1:1" x14ac:dyDescent="0.25">
      <c r="A6142" t="str" cm="1">
        <f t="array" ref="A6142">IF(INDEX(CUEs!$A:$A,INT((ROW()-1)/7)*57+MOD(ROW()-1,7)+50)&lt;&gt;"","set "&amp;INDEX(CUEs!$A:$A,INT((ROW()-1)/7)*57+MOD(ROW()-1,7)+50)&amp;"=/ s "&amp;INDEX(CUEs!$B:$B,INT((ROW()-1)/7)*57+MOD(ROW()-1,7)+50),"")</f>
        <v/>
      </c>
    </row>
    <row r="6143" spans="1:1" x14ac:dyDescent="0.25">
      <c r="A6143" t="str" cm="1">
        <f t="array" ref="A6143">IF(INDEX(CUEs!$A:$A,INT((ROW()-1)/7)*57+MOD(ROW()-1,7)+50)&lt;&gt;"","set "&amp;INDEX(CUEs!$A:$A,INT((ROW()-1)/7)*57+MOD(ROW()-1,7)+50)&amp;"=/ s "&amp;INDEX(CUEs!$B:$B,INT((ROW()-1)/7)*57+MOD(ROW()-1,7)+50),"")</f>
        <v/>
      </c>
    </row>
    <row r="6144" spans="1:1" x14ac:dyDescent="0.25">
      <c r="A6144" t="str" cm="1">
        <f t="array" ref="A6144">IF(INDEX(CUEs!$A:$A,INT((ROW()-1)/7)*57+MOD(ROW()-1,7)+50)&lt;&gt;"","set "&amp;INDEX(CUEs!$A:$A,INT((ROW()-1)/7)*57+MOD(ROW()-1,7)+50)&amp;"=/ s "&amp;INDEX(CUEs!$B:$B,INT((ROW()-1)/7)*57+MOD(ROW()-1,7)+50),"")</f>
        <v/>
      </c>
    </row>
    <row r="6145" spans="1:1" x14ac:dyDescent="0.25">
      <c r="A6145" t="str" cm="1">
        <f t="array" ref="A6145">IF(INDEX(CUEs!$A:$A,INT((ROW()-1)/7)*57+MOD(ROW()-1,7)+50)&lt;&gt;"","set "&amp;INDEX(CUEs!$A:$A,INT((ROW()-1)/7)*57+MOD(ROW()-1,7)+50)&amp;"=/ s "&amp;INDEX(CUEs!$B:$B,INT((ROW()-1)/7)*57+MOD(ROW()-1,7)+50),"")</f>
        <v/>
      </c>
    </row>
    <row r="6146" spans="1:1" x14ac:dyDescent="0.25">
      <c r="A6146" t="str" cm="1">
        <f t="array" ref="A6146">IF(INDEX(CUEs!$A:$A,INT((ROW()-1)/7)*57+MOD(ROW()-1,7)+50)&lt;&gt;"","set "&amp;INDEX(CUEs!$A:$A,INT((ROW()-1)/7)*57+MOD(ROW()-1,7)+50)&amp;"=/ s "&amp;INDEX(CUEs!$B:$B,INT((ROW()-1)/7)*57+MOD(ROW()-1,7)+50),"")</f>
        <v/>
      </c>
    </row>
    <row r="6147" spans="1:1" x14ac:dyDescent="0.25">
      <c r="A6147" t="str" cm="1">
        <f t="array" ref="A6147">IF(INDEX(CUEs!$A:$A,INT((ROW()-1)/7)*57+MOD(ROW()-1,7)+50)&lt;&gt;"","set "&amp;INDEX(CUEs!$A:$A,INT((ROW()-1)/7)*57+MOD(ROW()-1,7)+50)&amp;"=/ s "&amp;INDEX(CUEs!$B:$B,INT((ROW()-1)/7)*57+MOD(ROW()-1,7)+50),"")</f>
        <v/>
      </c>
    </row>
    <row r="6148" spans="1:1" x14ac:dyDescent="0.25">
      <c r="A6148" t="str" cm="1">
        <f t="array" ref="A6148">IF(INDEX(CUEs!$A:$A,INT((ROW()-1)/7)*57+MOD(ROW()-1,7)+50)&lt;&gt;"","set "&amp;INDEX(CUEs!$A:$A,INT((ROW()-1)/7)*57+MOD(ROW()-1,7)+50)&amp;"=/ s "&amp;INDEX(CUEs!$B:$B,INT((ROW()-1)/7)*57+MOD(ROW()-1,7)+50),"")</f>
        <v/>
      </c>
    </row>
    <row r="6149" spans="1:1" x14ac:dyDescent="0.25">
      <c r="A6149" t="str" cm="1">
        <f t="array" ref="A6149">IF(INDEX(CUEs!$A:$A,INT((ROW()-1)/7)*57+MOD(ROW()-1,7)+50)&lt;&gt;"","set "&amp;INDEX(CUEs!$A:$A,INT((ROW()-1)/7)*57+MOD(ROW()-1,7)+50)&amp;"=/ s "&amp;INDEX(CUEs!$B:$B,INT((ROW()-1)/7)*57+MOD(ROW()-1,7)+50),"")</f>
        <v/>
      </c>
    </row>
    <row r="6150" spans="1:1" x14ac:dyDescent="0.25">
      <c r="A6150" t="str" cm="1">
        <f t="array" ref="A6150">IF(INDEX(CUEs!$A:$A,INT((ROW()-1)/7)*57+MOD(ROW()-1,7)+50)&lt;&gt;"","set "&amp;INDEX(CUEs!$A:$A,INT((ROW()-1)/7)*57+MOD(ROW()-1,7)+50)&amp;"=/ s "&amp;INDEX(CUEs!$B:$B,INT((ROW()-1)/7)*57+MOD(ROW()-1,7)+50),"")</f>
        <v/>
      </c>
    </row>
    <row r="6151" spans="1:1" x14ac:dyDescent="0.25">
      <c r="A6151" t="str" cm="1">
        <f t="array" ref="A6151">IF(INDEX(CUEs!$A:$A,INT((ROW()-1)/7)*57+MOD(ROW()-1,7)+50)&lt;&gt;"","set "&amp;INDEX(CUEs!$A:$A,INT((ROW()-1)/7)*57+MOD(ROW()-1,7)+50)&amp;"=/ s "&amp;INDEX(CUEs!$B:$B,INT((ROW()-1)/7)*57+MOD(ROW()-1,7)+50),"")</f>
        <v/>
      </c>
    </row>
    <row r="6152" spans="1:1" x14ac:dyDescent="0.25">
      <c r="A6152" t="str" cm="1">
        <f t="array" ref="A6152">IF(INDEX(CUEs!$A:$A,INT((ROW()-1)/7)*57+MOD(ROW()-1,7)+50)&lt;&gt;"","set "&amp;INDEX(CUEs!$A:$A,INT((ROW()-1)/7)*57+MOD(ROW()-1,7)+50)&amp;"=/ s "&amp;INDEX(CUEs!$B:$B,INT((ROW()-1)/7)*57+MOD(ROW()-1,7)+50),"")</f>
        <v/>
      </c>
    </row>
    <row r="6153" spans="1:1" x14ac:dyDescent="0.25">
      <c r="A6153" t="str" cm="1">
        <f t="array" ref="A6153">IF(INDEX(CUEs!$A:$A,INT((ROW()-1)/7)*57+MOD(ROW()-1,7)+50)&lt;&gt;"","set "&amp;INDEX(CUEs!$A:$A,INT((ROW()-1)/7)*57+MOD(ROW()-1,7)+50)&amp;"=/ s "&amp;INDEX(CUEs!$B:$B,INT((ROW()-1)/7)*57+MOD(ROW()-1,7)+50),"")</f>
        <v/>
      </c>
    </row>
    <row r="6154" spans="1:1" x14ac:dyDescent="0.25">
      <c r="A6154" t="str" cm="1">
        <f t="array" ref="A6154">IF(INDEX(CUEs!$A:$A,INT((ROW()-1)/7)*57+MOD(ROW()-1,7)+50)&lt;&gt;"","set "&amp;INDEX(CUEs!$A:$A,INT((ROW()-1)/7)*57+MOD(ROW()-1,7)+50)&amp;"=/ s "&amp;INDEX(CUEs!$B:$B,INT((ROW()-1)/7)*57+MOD(ROW()-1,7)+50),"")</f>
        <v/>
      </c>
    </row>
    <row r="6155" spans="1:1" x14ac:dyDescent="0.25">
      <c r="A6155" t="str" cm="1">
        <f t="array" ref="A6155">IF(INDEX(CUEs!$A:$A,INT((ROW()-1)/7)*57+MOD(ROW()-1,7)+50)&lt;&gt;"","set "&amp;INDEX(CUEs!$A:$A,INT((ROW()-1)/7)*57+MOD(ROW()-1,7)+50)&amp;"=/ s "&amp;INDEX(CUEs!$B:$B,INT((ROW()-1)/7)*57+MOD(ROW()-1,7)+50),"")</f>
        <v/>
      </c>
    </row>
    <row r="6156" spans="1:1" x14ac:dyDescent="0.25">
      <c r="A6156" t="str" cm="1">
        <f t="array" ref="A6156">IF(INDEX(CUEs!$A:$A,INT((ROW()-1)/7)*57+MOD(ROW()-1,7)+50)&lt;&gt;"","set "&amp;INDEX(CUEs!$A:$A,INT((ROW()-1)/7)*57+MOD(ROW()-1,7)+50)&amp;"=/ s "&amp;INDEX(CUEs!$B:$B,INT((ROW()-1)/7)*57+MOD(ROW()-1,7)+50),"")</f>
        <v/>
      </c>
    </row>
    <row r="6157" spans="1:1" x14ac:dyDescent="0.25">
      <c r="A6157" t="str" cm="1">
        <f t="array" ref="A6157">IF(INDEX(CUEs!$A:$A,INT((ROW()-1)/7)*57+MOD(ROW()-1,7)+50)&lt;&gt;"","set "&amp;INDEX(CUEs!$A:$A,INT((ROW()-1)/7)*57+MOD(ROW()-1,7)+50)&amp;"=/ s "&amp;INDEX(CUEs!$B:$B,INT((ROW()-1)/7)*57+MOD(ROW()-1,7)+50),"")</f>
        <v/>
      </c>
    </row>
    <row r="6158" spans="1:1" x14ac:dyDescent="0.25">
      <c r="A6158" t="str" cm="1">
        <f t="array" ref="A6158">IF(INDEX(CUEs!$A:$A,INT((ROW()-1)/7)*57+MOD(ROW()-1,7)+50)&lt;&gt;"","set "&amp;INDEX(CUEs!$A:$A,INT((ROW()-1)/7)*57+MOD(ROW()-1,7)+50)&amp;"=/ s "&amp;INDEX(CUEs!$B:$B,INT((ROW()-1)/7)*57+MOD(ROW()-1,7)+50),"")</f>
        <v/>
      </c>
    </row>
    <row r="6159" spans="1:1" x14ac:dyDescent="0.25">
      <c r="A6159" t="str" cm="1">
        <f t="array" ref="A6159">IF(INDEX(CUEs!$A:$A,INT((ROW()-1)/7)*57+MOD(ROW()-1,7)+50)&lt;&gt;"","set "&amp;INDEX(CUEs!$A:$A,INT((ROW()-1)/7)*57+MOD(ROW()-1,7)+50)&amp;"=/ s "&amp;INDEX(CUEs!$B:$B,INT((ROW()-1)/7)*57+MOD(ROW()-1,7)+50),"")</f>
        <v/>
      </c>
    </row>
    <row r="6160" spans="1:1" x14ac:dyDescent="0.25">
      <c r="A6160" t="str" cm="1">
        <f t="array" ref="A6160">IF(INDEX(CUEs!$A:$A,INT((ROW()-1)/7)*57+MOD(ROW()-1,7)+50)&lt;&gt;"","set "&amp;INDEX(CUEs!$A:$A,INT((ROW()-1)/7)*57+MOD(ROW()-1,7)+50)&amp;"=/ s "&amp;INDEX(CUEs!$B:$B,INT((ROW()-1)/7)*57+MOD(ROW()-1,7)+50),"")</f>
        <v/>
      </c>
    </row>
    <row r="6161" spans="1:1" x14ac:dyDescent="0.25">
      <c r="A6161" t="str" cm="1">
        <f t="array" ref="A6161">IF(INDEX(CUEs!$A:$A,INT((ROW()-1)/7)*57+MOD(ROW()-1,7)+50)&lt;&gt;"","set "&amp;INDEX(CUEs!$A:$A,INT((ROW()-1)/7)*57+MOD(ROW()-1,7)+50)&amp;"=/ s "&amp;INDEX(CUEs!$B:$B,INT((ROW()-1)/7)*57+MOD(ROW()-1,7)+50),"")</f>
        <v/>
      </c>
    </row>
    <row r="6162" spans="1:1" x14ac:dyDescent="0.25">
      <c r="A6162" t="str" cm="1">
        <f t="array" ref="A6162">IF(INDEX(CUEs!$A:$A,INT((ROW()-1)/7)*57+MOD(ROW()-1,7)+50)&lt;&gt;"","set "&amp;INDEX(CUEs!$A:$A,INT((ROW()-1)/7)*57+MOD(ROW()-1,7)+50)&amp;"=/ s "&amp;INDEX(CUEs!$B:$B,INT((ROW()-1)/7)*57+MOD(ROW()-1,7)+50),"")</f>
        <v/>
      </c>
    </row>
    <row r="6163" spans="1:1" x14ac:dyDescent="0.25">
      <c r="A6163" t="str" cm="1">
        <f t="array" ref="A6163">IF(INDEX(CUEs!$A:$A,INT((ROW()-1)/7)*57+MOD(ROW()-1,7)+50)&lt;&gt;"","set "&amp;INDEX(CUEs!$A:$A,INT((ROW()-1)/7)*57+MOD(ROW()-1,7)+50)&amp;"=/ s "&amp;INDEX(CUEs!$B:$B,INT((ROW()-1)/7)*57+MOD(ROW()-1,7)+50),"")</f>
        <v/>
      </c>
    </row>
    <row r="6164" spans="1:1" x14ac:dyDescent="0.25">
      <c r="A6164" t="str" cm="1">
        <f t="array" ref="A6164">IF(INDEX(CUEs!$A:$A,INT((ROW()-1)/7)*57+MOD(ROW()-1,7)+50)&lt;&gt;"","set "&amp;INDEX(CUEs!$A:$A,INT((ROW()-1)/7)*57+MOD(ROW()-1,7)+50)&amp;"=/ s "&amp;INDEX(CUEs!$B:$B,INT((ROW()-1)/7)*57+MOD(ROW()-1,7)+50),"")</f>
        <v/>
      </c>
    </row>
    <row r="6165" spans="1:1" x14ac:dyDescent="0.25">
      <c r="A6165" t="str" cm="1">
        <f t="array" ref="A6165">IF(INDEX(CUEs!$A:$A,INT((ROW()-1)/7)*57+MOD(ROW()-1,7)+50)&lt;&gt;"","set "&amp;INDEX(CUEs!$A:$A,INT((ROW()-1)/7)*57+MOD(ROW()-1,7)+50)&amp;"=/ s "&amp;INDEX(CUEs!$B:$B,INT((ROW()-1)/7)*57+MOD(ROW()-1,7)+50),"")</f>
        <v/>
      </c>
    </row>
    <row r="6166" spans="1:1" x14ac:dyDescent="0.25">
      <c r="A6166" t="str" cm="1">
        <f t="array" ref="A6166">IF(INDEX(CUEs!$A:$A,INT((ROW()-1)/7)*57+MOD(ROW()-1,7)+50)&lt;&gt;"","set "&amp;INDEX(CUEs!$A:$A,INT((ROW()-1)/7)*57+MOD(ROW()-1,7)+50)&amp;"=/ s "&amp;INDEX(CUEs!$B:$B,INT((ROW()-1)/7)*57+MOD(ROW()-1,7)+50),"")</f>
        <v/>
      </c>
    </row>
    <row r="6167" spans="1:1" x14ac:dyDescent="0.25">
      <c r="A6167" t="str" cm="1">
        <f t="array" ref="A6167">IF(INDEX(CUEs!$A:$A,INT((ROW()-1)/7)*57+MOD(ROW()-1,7)+50)&lt;&gt;"","set "&amp;INDEX(CUEs!$A:$A,INT((ROW()-1)/7)*57+MOD(ROW()-1,7)+50)&amp;"=/ s "&amp;INDEX(CUEs!$B:$B,INT((ROW()-1)/7)*57+MOD(ROW()-1,7)+50),"")</f>
        <v/>
      </c>
    </row>
    <row r="6168" spans="1:1" x14ac:dyDescent="0.25">
      <c r="A6168" t="str" cm="1">
        <f t="array" ref="A6168">IF(INDEX(CUEs!$A:$A,INT((ROW()-1)/7)*57+MOD(ROW()-1,7)+50)&lt;&gt;"","set "&amp;INDEX(CUEs!$A:$A,INT((ROW()-1)/7)*57+MOD(ROW()-1,7)+50)&amp;"=/ s "&amp;INDEX(CUEs!$B:$B,INT((ROW()-1)/7)*57+MOD(ROW()-1,7)+50),"")</f>
        <v/>
      </c>
    </row>
    <row r="6169" spans="1:1" x14ac:dyDescent="0.25">
      <c r="A6169" t="str" cm="1">
        <f t="array" ref="A6169">IF(INDEX(CUEs!$A:$A,INT((ROW()-1)/7)*57+MOD(ROW()-1,7)+50)&lt;&gt;"","set "&amp;INDEX(CUEs!$A:$A,INT((ROW()-1)/7)*57+MOD(ROW()-1,7)+50)&amp;"=/ s "&amp;INDEX(CUEs!$B:$B,INT((ROW()-1)/7)*57+MOD(ROW()-1,7)+50),"")</f>
        <v/>
      </c>
    </row>
    <row r="6170" spans="1:1" x14ac:dyDescent="0.25">
      <c r="A6170" t="str" cm="1">
        <f t="array" ref="A6170">IF(INDEX(CUEs!$A:$A,INT((ROW()-1)/7)*57+MOD(ROW()-1,7)+50)&lt;&gt;"","set "&amp;INDEX(CUEs!$A:$A,INT((ROW()-1)/7)*57+MOD(ROW()-1,7)+50)&amp;"=/ s "&amp;INDEX(CUEs!$B:$B,INT((ROW()-1)/7)*57+MOD(ROW()-1,7)+50),"")</f>
        <v/>
      </c>
    </row>
    <row r="6171" spans="1:1" x14ac:dyDescent="0.25">
      <c r="A6171" t="str" cm="1">
        <f t="array" ref="A6171">IF(INDEX(CUEs!$A:$A,INT((ROW()-1)/7)*57+MOD(ROW()-1,7)+50)&lt;&gt;"","set "&amp;INDEX(CUEs!$A:$A,INT((ROW()-1)/7)*57+MOD(ROW()-1,7)+50)&amp;"=/ s "&amp;INDEX(CUEs!$B:$B,INT((ROW()-1)/7)*57+MOD(ROW()-1,7)+50),"")</f>
        <v/>
      </c>
    </row>
    <row r="6172" spans="1:1" x14ac:dyDescent="0.25">
      <c r="A6172" t="str" cm="1">
        <f t="array" ref="A6172">IF(INDEX(CUEs!$A:$A,INT((ROW()-1)/7)*57+MOD(ROW()-1,7)+50)&lt;&gt;"","set "&amp;INDEX(CUEs!$A:$A,INT((ROW()-1)/7)*57+MOD(ROW()-1,7)+50)&amp;"=/ s "&amp;INDEX(CUEs!$B:$B,INT((ROW()-1)/7)*57+MOD(ROW()-1,7)+50),"")</f>
        <v/>
      </c>
    </row>
    <row r="6173" spans="1:1" x14ac:dyDescent="0.25">
      <c r="A6173" t="str" cm="1">
        <f t="array" ref="A6173">IF(INDEX(CUEs!$A:$A,INT((ROW()-1)/7)*57+MOD(ROW()-1,7)+50)&lt;&gt;"","set "&amp;INDEX(CUEs!$A:$A,INT((ROW()-1)/7)*57+MOD(ROW()-1,7)+50)&amp;"=/ s "&amp;INDEX(CUEs!$B:$B,INT((ROW()-1)/7)*57+MOD(ROW()-1,7)+50),"")</f>
        <v/>
      </c>
    </row>
    <row r="6174" spans="1:1" x14ac:dyDescent="0.25">
      <c r="A6174" t="str" cm="1">
        <f t="array" ref="A6174">IF(INDEX(CUEs!$A:$A,INT((ROW()-1)/7)*57+MOD(ROW()-1,7)+50)&lt;&gt;"","set "&amp;INDEX(CUEs!$A:$A,INT((ROW()-1)/7)*57+MOD(ROW()-1,7)+50)&amp;"=/ s "&amp;INDEX(CUEs!$B:$B,INT((ROW()-1)/7)*57+MOD(ROW()-1,7)+50),"")</f>
        <v/>
      </c>
    </row>
    <row r="6175" spans="1:1" x14ac:dyDescent="0.25">
      <c r="A6175" t="str" cm="1">
        <f t="array" ref="A6175">IF(INDEX(CUEs!$A:$A,INT((ROW()-1)/7)*57+MOD(ROW()-1,7)+50)&lt;&gt;"","set "&amp;INDEX(CUEs!$A:$A,INT((ROW()-1)/7)*57+MOD(ROW()-1,7)+50)&amp;"=/ s "&amp;INDEX(CUEs!$B:$B,INT((ROW()-1)/7)*57+MOD(ROW()-1,7)+50),"")</f>
        <v/>
      </c>
    </row>
    <row r="6176" spans="1:1" x14ac:dyDescent="0.25">
      <c r="A6176" t="str" cm="1">
        <f t="array" ref="A6176">IF(INDEX(CUEs!$A:$A,INT((ROW()-1)/7)*57+MOD(ROW()-1,7)+50)&lt;&gt;"","set "&amp;INDEX(CUEs!$A:$A,INT((ROW()-1)/7)*57+MOD(ROW()-1,7)+50)&amp;"=/ s "&amp;INDEX(CUEs!$B:$B,INT((ROW()-1)/7)*57+MOD(ROW()-1,7)+50),"")</f>
        <v/>
      </c>
    </row>
    <row r="6177" spans="1:1" x14ac:dyDescent="0.25">
      <c r="A6177" t="str" cm="1">
        <f t="array" ref="A6177">IF(INDEX(CUEs!$A:$A,INT((ROW()-1)/7)*57+MOD(ROW()-1,7)+50)&lt;&gt;"","set "&amp;INDEX(CUEs!$A:$A,INT((ROW()-1)/7)*57+MOD(ROW()-1,7)+50)&amp;"=/ s "&amp;INDEX(CUEs!$B:$B,INT((ROW()-1)/7)*57+MOD(ROW()-1,7)+50),"")</f>
        <v/>
      </c>
    </row>
    <row r="6178" spans="1:1" x14ac:dyDescent="0.25">
      <c r="A6178" t="str" cm="1">
        <f t="array" ref="A6178">IF(INDEX(CUEs!$A:$A,INT((ROW()-1)/7)*57+MOD(ROW()-1,7)+50)&lt;&gt;"","set "&amp;INDEX(CUEs!$A:$A,INT((ROW()-1)/7)*57+MOD(ROW()-1,7)+50)&amp;"=/ s "&amp;INDEX(CUEs!$B:$B,INT((ROW()-1)/7)*57+MOD(ROW()-1,7)+50),"")</f>
        <v/>
      </c>
    </row>
    <row r="6179" spans="1:1" x14ac:dyDescent="0.25">
      <c r="A6179" t="str" cm="1">
        <f t="array" ref="A6179">IF(INDEX(CUEs!$A:$A,INT((ROW()-1)/7)*57+MOD(ROW()-1,7)+50)&lt;&gt;"","set "&amp;INDEX(CUEs!$A:$A,INT((ROW()-1)/7)*57+MOD(ROW()-1,7)+50)&amp;"=/ s "&amp;INDEX(CUEs!$B:$B,INT((ROW()-1)/7)*57+MOD(ROW()-1,7)+50),"")</f>
        <v/>
      </c>
    </row>
    <row r="6180" spans="1:1" x14ac:dyDescent="0.25">
      <c r="A6180" t="str" cm="1">
        <f t="array" ref="A6180">IF(INDEX(CUEs!$A:$A,INT((ROW()-1)/7)*57+MOD(ROW()-1,7)+50)&lt;&gt;"","set "&amp;INDEX(CUEs!$A:$A,INT((ROW()-1)/7)*57+MOD(ROW()-1,7)+50)&amp;"=/ s "&amp;INDEX(CUEs!$B:$B,INT((ROW()-1)/7)*57+MOD(ROW()-1,7)+50),"")</f>
        <v/>
      </c>
    </row>
    <row r="6181" spans="1:1" x14ac:dyDescent="0.25">
      <c r="A6181" t="str" cm="1">
        <f t="array" ref="A6181">IF(INDEX(CUEs!$A:$A,INT((ROW()-1)/7)*57+MOD(ROW()-1,7)+50)&lt;&gt;"","set "&amp;INDEX(CUEs!$A:$A,INT((ROW()-1)/7)*57+MOD(ROW()-1,7)+50)&amp;"=/ s "&amp;INDEX(CUEs!$B:$B,INT((ROW()-1)/7)*57+MOD(ROW()-1,7)+50),"")</f>
        <v/>
      </c>
    </row>
    <row r="6182" spans="1:1" x14ac:dyDescent="0.25">
      <c r="A6182" t="str" cm="1">
        <f t="array" ref="A6182">IF(INDEX(CUEs!$A:$A,INT((ROW()-1)/7)*57+MOD(ROW()-1,7)+50)&lt;&gt;"","set "&amp;INDEX(CUEs!$A:$A,INT((ROW()-1)/7)*57+MOD(ROW()-1,7)+50)&amp;"=/ s "&amp;INDEX(CUEs!$B:$B,INT((ROW()-1)/7)*57+MOD(ROW()-1,7)+50),"")</f>
        <v/>
      </c>
    </row>
    <row r="6183" spans="1:1" x14ac:dyDescent="0.25">
      <c r="A6183" t="str" cm="1">
        <f t="array" ref="A6183">IF(INDEX(CUEs!$A:$A,INT((ROW()-1)/7)*57+MOD(ROW()-1,7)+50)&lt;&gt;"","set "&amp;INDEX(CUEs!$A:$A,INT((ROW()-1)/7)*57+MOD(ROW()-1,7)+50)&amp;"=/ s "&amp;INDEX(CUEs!$B:$B,INT((ROW()-1)/7)*57+MOD(ROW()-1,7)+50),"")</f>
        <v/>
      </c>
    </row>
    <row r="6184" spans="1:1" x14ac:dyDescent="0.25">
      <c r="A6184" t="str" cm="1">
        <f t="array" ref="A6184">IF(INDEX(CUEs!$A:$A,INT((ROW()-1)/7)*57+MOD(ROW()-1,7)+50)&lt;&gt;"","set "&amp;INDEX(CUEs!$A:$A,INT((ROW()-1)/7)*57+MOD(ROW()-1,7)+50)&amp;"=/ s "&amp;INDEX(CUEs!$B:$B,INT((ROW()-1)/7)*57+MOD(ROW()-1,7)+50),"")</f>
        <v/>
      </c>
    </row>
    <row r="6185" spans="1:1" x14ac:dyDescent="0.25">
      <c r="A6185" t="str" cm="1">
        <f t="array" ref="A6185">IF(INDEX(CUEs!$A:$A,INT((ROW()-1)/7)*57+MOD(ROW()-1,7)+50)&lt;&gt;"","set "&amp;INDEX(CUEs!$A:$A,INT((ROW()-1)/7)*57+MOD(ROW()-1,7)+50)&amp;"=/ s "&amp;INDEX(CUEs!$B:$B,INT((ROW()-1)/7)*57+MOD(ROW()-1,7)+50),"")</f>
        <v/>
      </c>
    </row>
    <row r="6186" spans="1:1" x14ac:dyDescent="0.25">
      <c r="A6186" t="str" cm="1">
        <f t="array" ref="A6186">IF(INDEX(CUEs!$A:$A,INT((ROW()-1)/7)*57+MOD(ROW()-1,7)+50)&lt;&gt;"","set "&amp;INDEX(CUEs!$A:$A,INT((ROW()-1)/7)*57+MOD(ROW()-1,7)+50)&amp;"=/ s "&amp;INDEX(CUEs!$B:$B,INT((ROW()-1)/7)*57+MOD(ROW()-1,7)+50),"")</f>
        <v/>
      </c>
    </row>
    <row r="6187" spans="1:1" x14ac:dyDescent="0.25">
      <c r="A6187" t="str" cm="1">
        <f t="array" ref="A6187">IF(INDEX(CUEs!$A:$A,INT((ROW()-1)/7)*57+MOD(ROW()-1,7)+50)&lt;&gt;"","set "&amp;INDEX(CUEs!$A:$A,INT((ROW()-1)/7)*57+MOD(ROW()-1,7)+50)&amp;"=/ s "&amp;INDEX(CUEs!$B:$B,INT((ROW()-1)/7)*57+MOD(ROW()-1,7)+50),"")</f>
        <v/>
      </c>
    </row>
    <row r="6188" spans="1:1" x14ac:dyDescent="0.25">
      <c r="A6188" t="str" cm="1">
        <f t="array" ref="A6188">IF(INDEX(CUEs!$A:$A,INT((ROW()-1)/7)*57+MOD(ROW()-1,7)+50)&lt;&gt;"","set "&amp;INDEX(CUEs!$A:$A,INT((ROW()-1)/7)*57+MOD(ROW()-1,7)+50)&amp;"=/ s "&amp;INDEX(CUEs!$B:$B,INT((ROW()-1)/7)*57+MOD(ROW()-1,7)+50),"")</f>
        <v/>
      </c>
    </row>
    <row r="6189" spans="1:1" x14ac:dyDescent="0.25">
      <c r="A6189" t="str" cm="1">
        <f t="array" ref="A6189">IF(INDEX(CUEs!$A:$A,INT((ROW()-1)/7)*57+MOD(ROW()-1,7)+50)&lt;&gt;"","set "&amp;INDEX(CUEs!$A:$A,INT((ROW()-1)/7)*57+MOD(ROW()-1,7)+50)&amp;"=/ s "&amp;INDEX(CUEs!$B:$B,INT((ROW()-1)/7)*57+MOD(ROW()-1,7)+50),"")</f>
        <v/>
      </c>
    </row>
    <row r="6190" spans="1:1" x14ac:dyDescent="0.25">
      <c r="A6190" t="str" cm="1">
        <f t="array" ref="A6190">IF(INDEX(CUEs!$A:$A,INT((ROW()-1)/7)*57+MOD(ROW()-1,7)+50)&lt;&gt;"","set "&amp;INDEX(CUEs!$A:$A,INT((ROW()-1)/7)*57+MOD(ROW()-1,7)+50)&amp;"=/ s "&amp;INDEX(CUEs!$B:$B,INT((ROW()-1)/7)*57+MOD(ROW()-1,7)+50),"")</f>
        <v/>
      </c>
    </row>
    <row r="6191" spans="1:1" x14ac:dyDescent="0.25">
      <c r="A6191" t="str" cm="1">
        <f t="array" ref="A6191">IF(INDEX(CUEs!$A:$A,INT((ROW()-1)/7)*57+MOD(ROW()-1,7)+50)&lt;&gt;"","set "&amp;INDEX(CUEs!$A:$A,INT((ROW()-1)/7)*57+MOD(ROW()-1,7)+50)&amp;"=/ s "&amp;INDEX(CUEs!$B:$B,INT((ROW()-1)/7)*57+MOD(ROW()-1,7)+50),"")</f>
        <v/>
      </c>
    </row>
    <row r="6192" spans="1:1" x14ac:dyDescent="0.25">
      <c r="A6192" t="str" cm="1">
        <f t="array" ref="A6192">IF(INDEX(CUEs!$A:$A,INT((ROW()-1)/7)*57+MOD(ROW()-1,7)+50)&lt;&gt;"","set "&amp;INDEX(CUEs!$A:$A,INT((ROW()-1)/7)*57+MOD(ROW()-1,7)+50)&amp;"=/ s "&amp;INDEX(CUEs!$B:$B,INT((ROW()-1)/7)*57+MOD(ROW()-1,7)+50),"")</f>
        <v/>
      </c>
    </row>
    <row r="6193" spans="1:1" x14ac:dyDescent="0.25">
      <c r="A6193" t="str" cm="1">
        <f t="array" ref="A6193">IF(INDEX(CUEs!$A:$A,INT((ROW()-1)/7)*57+MOD(ROW()-1,7)+50)&lt;&gt;"","set "&amp;INDEX(CUEs!$A:$A,INT((ROW()-1)/7)*57+MOD(ROW()-1,7)+50)&amp;"=/ s "&amp;INDEX(CUEs!$B:$B,INT((ROW()-1)/7)*57+MOD(ROW()-1,7)+50),"")</f>
        <v/>
      </c>
    </row>
    <row r="6194" spans="1:1" x14ac:dyDescent="0.25">
      <c r="A6194" t="str" cm="1">
        <f t="array" ref="A6194">IF(INDEX(CUEs!$A:$A,INT((ROW()-1)/7)*57+MOD(ROW()-1,7)+50)&lt;&gt;"","set "&amp;INDEX(CUEs!$A:$A,INT((ROW()-1)/7)*57+MOD(ROW()-1,7)+50)&amp;"=/ s "&amp;INDEX(CUEs!$B:$B,INT((ROW()-1)/7)*57+MOD(ROW()-1,7)+50),"")</f>
        <v/>
      </c>
    </row>
    <row r="6195" spans="1:1" x14ac:dyDescent="0.25">
      <c r="A6195" t="str" cm="1">
        <f t="array" ref="A6195">IF(INDEX(CUEs!$A:$A,INT((ROW()-1)/7)*57+MOD(ROW()-1,7)+50)&lt;&gt;"","set "&amp;INDEX(CUEs!$A:$A,INT((ROW()-1)/7)*57+MOD(ROW()-1,7)+50)&amp;"=/ s "&amp;INDEX(CUEs!$B:$B,INT((ROW()-1)/7)*57+MOD(ROW()-1,7)+50),"")</f>
        <v/>
      </c>
    </row>
    <row r="6196" spans="1:1" x14ac:dyDescent="0.25">
      <c r="A6196" t="str" cm="1">
        <f t="array" ref="A6196">IF(INDEX(CUEs!$A:$A,INT((ROW()-1)/7)*57+MOD(ROW()-1,7)+50)&lt;&gt;"","set "&amp;INDEX(CUEs!$A:$A,INT((ROW()-1)/7)*57+MOD(ROW()-1,7)+50)&amp;"=/ s "&amp;INDEX(CUEs!$B:$B,INT((ROW()-1)/7)*57+MOD(ROW()-1,7)+50),"")</f>
        <v/>
      </c>
    </row>
    <row r="6197" spans="1:1" x14ac:dyDescent="0.25">
      <c r="A6197" t="str" cm="1">
        <f t="array" ref="A6197">IF(INDEX(CUEs!$A:$A,INT((ROW()-1)/7)*57+MOD(ROW()-1,7)+50)&lt;&gt;"","set "&amp;INDEX(CUEs!$A:$A,INT((ROW()-1)/7)*57+MOD(ROW()-1,7)+50)&amp;"=/ s "&amp;INDEX(CUEs!$B:$B,INT((ROW()-1)/7)*57+MOD(ROW()-1,7)+50),"")</f>
        <v/>
      </c>
    </row>
    <row r="6198" spans="1:1" x14ac:dyDescent="0.25">
      <c r="A6198" t="str" cm="1">
        <f t="array" ref="A6198">IF(INDEX(CUEs!$A:$A,INT((ROW()-1)/7)*57+MOD(ROW()-1,7)+50)&lt;&gt;"","set "&amp;INDEX(CUEs!$A:$A,INT((ROW()-1)/7)*57+MOD(ROW()-1,7)+50)&amp;"=/ s "&amp;INDEX(CUEs!$B:$B,INT((ROW()-1)/7)*57+MOD(ROW()-1,7)+50),"")</f>
        <v/>
      </c>
    </row>
    <row r="6199" spans="1:1" x14ac:dyDescent="0.25">
      <c r="A6199" t="str" cm="1">
        <f t="array" ref="A6199">IF(INDEX(CUEs!$A:$A,INT((ROW()-1)/7)*57+MOD(ROW()-1,7)+50)&lt;&gt;"","set "&amp;INDEX(CUEs!$A:$A,INT((ROW()-1)/7)*57+MOD(ROW()-1,7)+50)&amp;"=/ s "&amp;INDEX(CUEs!$B:$B,INT((ROW()-1)/7)*57+MOD(ROW()-1,7)+50),"")</f>
        <v/>
      </c>
    </row>
    <row r="6200" spans="1:1" x14ac:dyDescent="0.25">
      <c r="A6200" t="str" cm="1">
        <f t="array" ref="A6200">IF(INDEX(CUEs!$A:$A,INT((ROW()-1)/7)*57+MOD(ROW()-1,7)+50)&lt;&gt;"","set "&amp;INDEX(CUEs!$A:$A,INT((ROW()-1)/7)*57+MOD(ROW()-1,7)+50)&amp;"=/ s "&amp;INDEX(CUEs!$B:$B,INT((ROW()-1)/7)*57+MOD(ROW()-1,7)+50),"")</f>
        <v/>
      </c>
    </row>
    <row r="6201" spans="1:1" x14ac:dyDescent="0.25">
      <c r="A6201" t="str" cm="1">
        <f t="array" ref="A6201">IF(INDEX(CUEs!$A:$A,INT((ROW()-1)/7)*57+MOD(ROW()-1,7)+50)&lt;&gt;"","set "&amp;INDEX(CUEs!$A:$A,INT((ROW()-1)/7)*57+MOD(ROW()-1,7)+50)&amp;"=/ s "&amp;INDEX(CUEs!$B:$B,INT((ROW()-1)/7)*57+MOD(ROW()-1,7)+50),"")</f>
        <v/>
      </c>
    </row>
    <row r="6202" spans="1:1" x14ac:dyDescent="0.25">
      <c r="A6202" t="str" cm="1">
        <f t="array" ref="A6202">IF(INDEX(CUEs!$A:$A,INT((ROW()-1)/7)*57+MOD(ROW()-1,7)+50)&lt;&gt;"","set "&amp;INDEX(CUEs!$A:$A,INT((ROW()-1)/7)*57+MOD(ROW()-1,7)+50)&amp;"=/ s "&amp;INDEX(CUEs!$B:$B,INT((ROW()-1)/7)*57+MOD(ROW()-1,7)+50),"")</f>
        <v/>
      </c>
    </row>
    <row r="6203" spans="1:1" x14ac:dyDescent="0.25">
      <c r="A6203" t="str" cm="1">
        <f t="array" ref="A6203">IF(INDEX(CUEs!$A:$A,INT((ROW()-1)/7)*57+MOD(ROW()-1,7)+50)&lt;&gt;"","set "&amp;INDEX(CUEs!$A:$A,INT((ROW()-1)/7)*57+MOD(ROW()-1,7)+50)&amp;"=/ s "&amp;INDEX(CUEs!$B:$B,INT((ROW()-1)/7)*57+MOD(ROW()-1,7)+50),"")</f>
        <v/>
      </c>
    </row>
    <row r="6204" spans="1:1" x14ac:dyDescent="0.25">
      <c r="A6204" t="str" cm="1">
        <f t="array" ref="A6204">IF(INDEX(CUEs!$A:$A,INT((ROW()-1)/7)*57+MOD(ROW()-1,7)+50)&lt;&gt;"","set "&amp;INDEX(CUEs!$A:$A,INT((ROW()-1)/7)*57+MOD(ROW()-1,7)+50)&amp;"=/ s "&amp;INDEX(CUEs!$B:$B,INT((ROW()-1)/7)*57+MOD(ROW()-1,7)+50),"")</f>
        <v/>
      </c>
    </row>
    <row r="6205" spans="1:1" x14ac:dyDescent="0.25">
      <c r="A6205" t="str" cm="1">
        <f t="array" ref="A6205">IF(INDEX(CUEs!$A:$A,INT((ROW()-1)/7)*57+MOD(ROW()-1,7)+50)&lt;&gt;"","set "&amp;INDEX(CUEs!$A:$A,INT((ROW()-1)/7)*57+MOD(ROW()-1,7)+50)&amp;"=/ s "&amp;INDEX(CUEs!$B:$B,INT((ROW()-1)/7)*57+MOD(ROW()-1,7)+50),"")</f>
        <v/>
      </c>
    </row>
    <row r="6206" spans="1:1" x14ac:dyDescent="0.25">
      <c r="A6206" t="str" cm="1">
        <f t="array" ref="A6206">IF(INDEX(CUEs!$A:$A,INT((ROW()-1)/7)*57+MOD(ROW()-1,7)+50)&lt;&gt;"","set "&amp;INDEX(CUEs!$A:$A,INT((ROW()-1)/7)*57+MOD(ROW()-1,7)+50)&amp;"=/ s "&amp;INDEX(CUEs!$B:$B,INT((ROW()-1)/7)*57+MOD(ROW()-1,7)+50),"")</f>
        <v/>
      </c>
    </row>
    <row r="6207" spans="1:1" x14ac:dyDescent="0.25">
      <c r="A6207" t="str" cm="1">
        <f t="array" ref="A6207">IF(INDEX(CUEs!$A:$A,INT((ROW()-1)/7)*57+MOD(ROW()-1,7)+50)&lt;&gt;"","set "&amp;INDEX(CUEs!$A:$A,INT((ROW()-1)/7)*57+MOD(ROW()-1,7)+50)&amp;"=/ s "&amp;INDEX(CUEs!$B:$B,INT((ROW()-1)/7)*57+MOD(ROW()-1,7)+50),"")</f>
        <v/>
      </c>
    </row>
    <row r="6208" spans="1:1" x14ac:dyDescent="0.25">
      <c r="A6208" t="str" cm="1">
        <f t="array" ref="A6208">IF(INDEX(CUEs!$A:$A,INT((ROW()-1)/7)*57+MOD(ROW()-1,7)+50)&lt;&gt;"","set "&amp;INDEX(CUEs!$A:$A,INT((ROW()-1)/7)*57+MOD(ROW()-1,7)+50)&amp;"=/ s "&amp;INDEX(CUEs!$B:$B,INT((ROW()-1)/7)*57+MOD(ROW()-1,7)+50),"")</f>
        <v/>
      </c>
    </row>
    <row r="6209" spans="1:1" x14ac:dyDescent="0.25">
      <c r="A6209" t="str" cm="1">
        <f t="array" ref="A6209">IF(INDEX(CUEs!$A:$A,INT((ROW()-1)/7)*57+MOD(ROW()-1,7)+50)&lt;&gt;"","set "&amp;INDEX(CUEs!$A:$A,INT((ROW()-1)/7)*57+MOD(ROW()-1,7)+50)&amp;"=/ s "&amp;INDEX(CUEs!$B:$B,INT((ROW()-1)/7)*57+MOD(ROW()-1,7)+50),"")</f>
        <v/>
      </c>
    </row>
    <row r="6210" spans="1:1" x14ac:dyDescent="0.25">
      <c r="A6210" t="str" cm="1">
        <f t="array" ref="A6210">IF(INDEX(CUEs!$A:$A,INT((ROW()-1)/7)*57+MOD(ROW()-1,7)+50)&lt;&gt;"","set "&amp;INDEX(CUEs!$A:$A,INT((ROW()-1)/7)*57+MOD(ROW()-1,7)+50)&amp;"=/ s "&amp;INDEX(CUEs!$B:$B,INT((ROW()-1)/7)*57+MOD(ROW()-1,7)+50),"")</f>
        <v/>
      </c>
    </row>
    <row r="6211" spans="1:1" x14ac:dyDescent="0.25">
      <c r="A6211" t="str" cm="1">
        <f t="array" ref="A6211">IF(INDEX(CUEs!$A:$A,INT((ROW()-1)/7)*57+MOD(ROW()-1,7)+50)&lt;&gt;"","set "&amp;INDEX(CUEs!$A:$A,INT((ROW()-1)/7)*57+MOD(ROW()-1,7)+50)&amp;"=/ s "&amp;INDEX(CUEs!$B:$B,INT((ROW()-1)/7)*57+MOD(ROW()-1,7)+50),"")</f>
        <v/>
      </c>
    </row>
    <row r="6212" spans="1:1" x14ac:dyDescent="0.25">
      <c r="A6212" t="str" cm="1">
        <f t="array" ref="A6212">IF(INDEX(CUEs!$A:$A,INT((ROW()-1)/7)*57+MOD(ROW()-1,7)+50)&lt;&gt;"","set "&amp;INDEX(CUEs!$A:$A,INT((ROW()-1)/7)*57+MOD(ROW()-1,7)+50)&amp;"=/ s "&amp;INDEX(CUEs!$B:$B,INT((ROW()-1)/7)*57+MOD(ROW()-1,7)+50),"")</f>
        <v/>
      </c>
    </row>
    <row r="6213" spans="1:1" x14ac:dyDescent="0.25">
      <c r="A6213" t="str" cm="1">
        <f t="array" ref="A6213">IF(INDEX(CUEs!$A:$A,INT((ROW()-1)/7)*57+MOD(ROW()-1,7)+50)&lt;&gt;"","set "&amp;INDEX(CUEs!$A:$A,INT((ROW()-1)/7)*57+MOD(ROW()-1,7)+50)&amp;"=/ s "&amp;INDEX(CUEs!$B:$B,INT((ROW()-1)/7)*57+MOD(ROW()-1,7)+50),"")</f>
        <v/>
      </c>
    </row>
    <row r="6214" spans="1:1" x14ac:dyDescent="0.25">
      <c r="A6214" t="str" cm="1">
        <f t="array" ref="A6214">IF(INDEX(CUEs!$A:$A,INT((ROW()-1)/7)*57+MOD(ROW()-1,7)+50)&lt;&gt;"","set "&amp;INDEX(CUEs!$A:$A,INT((ROW()-1)/7)*57+MOD(ROW()-1,7)+50)&amp;"=/ s "&amp;INDEX(CUEs!$B:$B,INT((ROW()-1)/7)*57+MOD(ROW()-1,7)+50),"")</f>
        <v/>
      </c>
    </row>
    <row r="6215" spans="1:1" x14ac:dyDescent="0.25">
      <c r="A6215" t="str" cm="1">
        <f t="array" ref="A6215">IF(INDEX(CUEs!$A:$A,INT((ROW()-1)/7)*57+MOD(ROW()-1,7)+50)&lt;&gt;"","set "&amp;INDEX(CUEs!$A:$A,INT((ROW()-1)/7)*57+MOD(ROW()-1,7)+50)&amp;"=/ s "&amp;INDEX(CUEs!$B:$B,INT((ROW()-1)/7)*57+MOD(ROW()-1,7)+50),"")</f>
        <v/>
      </c>
    </row>
    <row r="6216" spans="1:1" x14ac:dyDescent="0.25">
      <c r="A6216" t="str" cm="1">
        <f t="array" ref="A6216">IF(INDEX(CUEs!$A:$A,INT((ROW()-1)/7)*57+MOD(ROW()-1,7)+50)&lt;&gt;"","set "&amp;INDEX(CUEs!$A:$A,INT((ROW()-1)/7)*57+MOD(ROW()-1,7)+50)&amp;"=/ s "&amp;INDEX(CUEs!$B:$B,INT((ROW()-1)/7)*57+MOD(ROW()-1,7)+50),"")</f>
        <v/>
      </c>
    </row>
    <row r="6217" spans="1:1" x14ac:dyDescent="0.25">
      <c r="A6217" t="str" cm="1">
        <f t="array" ref="A6217">IF(INDEX(CUEs!$A:$A,INT((ROW()-1)/7)*57+MOD(ROW()-1,7)+50)&lt;&gt;"","set "&amp;INDEX(CUEs!$A:$A,INT((ROW()-1)/7)*57+MOD(ROW()-1,7)+50)&amp;"=/ s "&amp;INDEX(CUEs!$B:$B,INT((ROW()-1)/7)*57+MOD(ROW()-1,7)+50),"")</f>
        <v/>
      </c>
    </row>
    <row r="6218" spans="1:1" x14ac:dyDescent="0.25">
      <c r="A6218" t="str" cm="1">
        <f t="array" ref="A6218">IF(INDEX(CUEs!$A:$A,INT((ROW()-1)/7)*57+MOD(ROW()-1,7)+50)&lt;&gt;"","set "&amp;INDEX(CUEs!$A:$A,INT((ROW()-1)/7)*57+MOD(ROW()-1,7)+50)&amp;"=/ s "&amp;INDEX(CUEs!$B:$B,INT((ROW()-1)/7)*57+MOD(ROW()-1,7)+50),"")</f>
        <v/>
      </c>
    </row>
    <row r="6219" spans="1:1" x14ac:dyDescent="0.25">
      <c r="A6219" t="str" cm="1">
        <f t="array" ref="A6219">IF(INDEX(CUEs!$A:$A,INT((ROW()-1)/7)*57+MOD(ROW()-1,7)+50)&lt;&gt;"","set "&amp;INDEX(CUEs!$A:$A,INT((ROW()-1)/7)*57+MOD(ROW()-1,7)+50)&amp;"=/ s "&amp;INDEX(CUEs!$B:$B,INT((ROW()-1)/7)*57+MOD(ROW()-1,7)+50),"")</f>
        <v/>
      </c>
    </row>
    <row r="6220" spans="1:1" x14ac:dyDescent="0.25">
      <c r="A6220" t="str" cm="1">
        <f t="array" ref="A6220">IF(INDEX(CUEs!$A:$A,INT((ROW()-1)/7)*57+MOD(ROW()-1,7)+50)&lt;&gt;"","set "&amp;INDEX(CUEs!$A:$A,INT((ROW()-1)/7)*57+MOD(ROW()-1,7)+50)&amp;"=/ s "&amp;INDEX(CUEs!$B:$B,INT((ROW()-1)/7)*57+MOD(ROW()-1,7)+50),"")</f>
        <v/>
      </c>
    </row>
    <row r="6221" spans="1:1" x14ac:dyDescent="0.25">
      <c r="A6221" t="str" cm="1">
        <f t="array" ref="A6221">IF(INDEX(CUEs!$A:$A,INT((ROW()-1)/7)*57+MOD(ROW()-1,7)+50)&lt;&gt;"","set "&amp;INDEX(CUEs!$A:$A,INT((ROW()-1)/7)*57+MOD(ROW()-1,7)+50)&amp;"=/ s "&amp;INDEX(CUEs!$B:$B,INT((ROW()-1)/7)*57+MOD(ROW()-1,7)+50),"")</f>
        <v/>
      </c>
    </row>
    <row r="6222" spans="1:1" x14ac:dyDescent="0.25">
      <c r="A6222" t="str" cm="1">
        <f t="array" ref="A6222">IF(INDEX(CUEs!$A:$A,INT((ROW()-1)/7)*57+MOD(ROW()-1,7)+50)&lt;&gt;"","set "&amp;INDEX(CUEs!$A:$A,INT((ROW()-1)/7)*57+MOD(ROW()-1,7)+50)&amp;"=/ s "&amp;INDEX(CUEs!$B:$B,INT((ROW()-1)/7)*57+MOD(ROW()-1,7)+50),"")</f>
        <v/>
      </c>
    </row>
    <row r="6223" spans="1:1" x14ac:dyDescent="0.25">
      <c r="A6223" t="str" cm="1">
        <f t="array" ref="A6223">IF(INDEX(CUEs!$A:$A,INT((ROW()-1)/7)*57+MOD(ROW()-1,7)+50)&lt;&gt;"","set "&amp;INDEX(CUEs!$A:$A,INT((ROW()-1)/7)*57+MOD(ROW()-1,7)+50)&amp;"=/ s "&amp;INDEX(CUEs!$B:$B,INT((ROW()-1)/7)*57+MOD(ROW()-1,7)+50),"")</f>
        <v/>
      </c>
    </row>
    <row r="6224" spans="1:1" x14ac:dyDescent="0.25">
      <c r="A6224" t="str" cm="1">
        <f t="array" ref="A6224">IF(INDEX(CUEs!$A:$A,INT((ROW()-1)/7)*57+MOD(ROW()-1,7)+50)&lt;&gt;"","set "&amp;INDEX(CUEs!$A:$A,INT((ROW()-1)/7)*57+MOD(ROW()-1,7)+50)&amp;"=/ s "&amp;INDEX(CUEs!$B:$B,INT((ROW()-1)/7)*57+MOD(ROW()-1,7)+50),"")</f>
        <v/>
      </c>
    </row>
    <row r="6225" spans="1:1" x14ac:dyDescent="0.25">
      <c r="A6225" t="str" cm="1">
        <f t="array" ref="A6225">IF(INDEX(CUEs!$A:$A,INT((ROW()-1)/7)*57+MOD(ROW()-1,7)+50)&lt;&gt;"","set "&amp;INDEX(CUEs!$A:$A,INT((ROW()-1)/7)*57+MOD(ROW()-1,7)+50)&amp;"=/ s "&amp;INDEX(CUEs!$B:$B,INT((ROW()-1)/7)*57+MOD(ROW()-1,7)+50),"")</f>
        <v/>
      </c>
    </row>
    <row r="6226" spans="1:1" x14ac:dyDescent="0.25">
      <c r="A6226" t="str" cm="1">
        <f t="array" ref="A6226">IF(INDEX(CUEs!$A:$A,INT((ROW()-1)/7)*57+MOD(ROW()-1,7)+50)&lt;&gt;"","set "&amp;INDEX(CUEs!$A:$A,INT((ROW()-1)/7)*57+MOD(ROW()-1,7)+50)&amp;"=/ s "&amp;INDEX(CUEs!$B:$B,INT((ROW()-1)/7)*57+MOD(ROW()-1,7)+50),"")</f>
        <v/>
      </c>
    </row>
    <row r="6227" spans="1:1" x14ac:dyDescent="0.25">
      <c r="A6227" t="str" cm="1">
        <f t="array" ref="A6227">IF(INDEX(CUEs!$A:$A,INT((ROW()-1)/7)*57+MOD(ROW()-1,7)+50)&lt;&gt;"","set "&amp;INDEX(CUEs!$A:$A,INT((ROW()-1)/7)*57+MOD(ROW()-1,7)+50)&amp;"=/ s "&amp;INDEX(CUEs!$B:$B,INT((ROW()-1)/7)*57+MOD(ROW()-1,7)+50),"")</f>
        <v/>
      </c>
    </row>
    <row r="6228" spans="1:1" x14ac:dyDescent="0.25">
      <c r="A6228" t="str" cm="1">
        <f t="array" ref="A6228">IF(INDEX(CUEs!$A:$A,INT((ROW()-1)/7)*57+MOD(ROW()-1,7)+50)&lt;&gt;"","set "&amp;INDEX(CUEs!$A:$A,INT((ROW()-1)/7)*57+MOD(ROW()-1,7)+50)&amp;"=/ s "&amp;INDEX(CUEs!$B:$B,INT((ROW()-1)/7)*57+MOD(ROW()-1,7)+50),"")</f>
        <v/>
      </c>
    </row>
    <row r="6229" spans="1:1" x14ac:dyDescent="0.25">
      <c r="A6229" t="str" cm="1">
        <f t="array" ref="A6229">IF(INDEX(CUEs!$A:$A,INT((ROW()-1)/7)*57+MOD(ROW()-1,7)+50)&lt;&gt;"","set "&amp;INDEX(CUEs!$A:$A,INT((ROW()-1)/7)*57+MOD(ROW()-1,7)+50)&amp;"=/ s "&amp;INDEX(CUEs!$B:$B,INT((ROW()-1)/7)*57+MOD(ROW()-1,7)+50),"")</f>
        <v/>
      </c>
    </row>
    <row r="6230" spans="1:1" x14ac:dyDescent="0.25">
      <c r="A6230" t="str" cm="1">
        <f t="array" ref="A6230">IF(INDEX(CUEs!$A:$A,INT((ROW()-1)/7)*57+MOD(ROW()-1,7)+50)&lt;&gt;"","set "&amp;INDEX(CUEs!$A:$A,INT((ROW()-1)/7)*57+MOD(ROW()-1,7)+50)&amp;"=/ s "&amp;INDEX(CUEs!$B:$B,INT((ROW()-1)/7)*57+MOD(ROW()-1,7)+50),"")</f>
        <v/>
      </c>
    </row>
    <row r="6231" spans="1:1" x14ac:dyDescent="0.25">
      <c r="A6231" t="str" cm="1">
        <f t="array" ref="A6231">IF(INDEX(CUEs!$A:$A,INT((ROW()-1)/7)*57+MOD(ROW()-1,7)+50)&lt;&gt;"","set "&amp;INDEX(CUEs!$A:$A,INT((ROW()-1)/7)*57+MOD(ROW()-1,7)+50)&amp;"=/ s "&amp;INDEX(CUEs!$B:$B,INT((ROW()-1)/7)*57+MOD(ROW()-1,7)+50),"")</f>
        <v/>
      </c>
    </row>
    <row r="6232" spans="1:1" x14ac:dyDescent="0.25">
      <c r="A6232" t="str" cm="1">
        <f t="array" ref="A6232">IF(INDEX(CUEs!$A:$A,INT((ROW()-1)/7)*57+MOD(ROW()-1,7)+50)&lt;&gt;"","set "&amp;INDEX(CUEs!$A:$A,INT((ROW()-1)/7)*57+MOD(ROW()-1,7)+50)&amp;"=/ s "&amp;INDEX(CUEs!$B:$B,INT((ROW()-1)/7)*57+MOD(ROW()-1,7)+50),"")</f>
        <v/>
      </c>
    </row>
    <row r="6233" spans="1:1" x14ac:dyDescent="0.25">
      <c r="A6233" t="str" cm="1">
        <f t="array" ref="A6233">IF(INDEX(CUEs!$A:$A,INT((ROW()-1)/7)*57+MOD(ROW()-1,7)+50)&lt;&gt;"","set "&amp;INDEX(CUEs!$A:$A,INT((ROW()-1)/7)*57+MOD(ROW()-1,7)+50)&amp;"=/ s "&amp;INDEX(CUEs!$B:$B,INT((ROW()-1)/7)*57+MOD(ROW()-1,7)+50),"")</f>
        <v/>
      </c>
    </row>
    <row r="6234" spans="1:1" x14ac:dyDescent="0.25">
      <c r="A6234" t="str" cm="1">
        <f t="array" ref="A6234">IF(INDEX(CUEs!$A:$A,INT((ROW()-1)/7)*57+MOD(ROW()-1,7)+50)&lt;&gt;"","set "&amp;INDEX(CUEs!$A:$A,INT((ROW()-1)/7)*57+MOD(ROW()-1,7)+50)&amp;"=/ s "&amp;INDEX(CUEs!$B:$B,INT((ROW()-1)/7)*57+MOD(ROW()-1,7)+50),"")</f>
        <v/>
      </c>
    </row>
    <row r="6235" spans="1:1" x14ac:dyDescent="0.25">
      <c r="A6235" t="str" cm="1">
        <f t="array" ref="A6235">IF(INDEX(CUEs!$A:$A,INT((ROW()-1)/7)*57+MOD(ROW()-1,7)+50)&lt;&gt;"","set "&amp;INDEX(CUEs!$A:$A,INT((ROW()-1)/7)*57+MOD(ROW()-1,7)+50)&amp;"=/ s "&amp;INDEX(CUEs!$B:$B,INT((ROW()-1)/7)*57+MOD(ROW()-1,7)+50),"")</f>
        <v/>
      </c>
    </row>
    <row r="6236" spans="1:1" x14ac:dyDescent="0.25">
      <c r="A6236" t="str" cm="1">
        <f t="array" ref="A6236">IF(INDEX(CUEs!$A:$A,INT((ROW()-1)/7)*57+MOD(ROW()-1,7)+50)&lt;&gt;"","set "&amp;INDEX(CUEs!$A:$A,INT((ROW()-1)/7)*57+MOD(ROW()-1,7)+50)&amp;"=/ s "&amp;INDEX(CUEs!$B:$B,INT((ROW()-1)/7)*57+MOD(ROW()-1,7)+50),"")</f>
        <v/>
      </c>
    </row>
    <row r="6237" spans="1:1" x14ac:dyDescent="0.25">
      <c r="A6237" t="str" cm="1">
        <f t="array" ref="A6237">IF(INDEX(CUEs!$A:$A,INT((ROW()-1)/7)*57+MOD(ROW()-1,7)+50)&lt;&gt;"","set "&amp;INDEX(CUEs!$A:$A,INT((ROW()-1)/7)*57+MOD(ROW()-1,7)+50)&amp;"=/ s "&amp;INDEX(CUEs!$B:$B,INT((ROW()-1)/7)*57+MOD(ROW()-1,7)+50),"")</f>
        <v/>
      </c>
    </row>
    <row r="6238" spans="1:1" x14ac:dyDescent="0.25">
      <c r="A6238" t="str" cm="1">
        <f t="array" ref="A6238">IF(INDEX(CUEs!$A:$A,INT((ROW()-1)/7)*57+MOD(ROW()-1,7)+50)&lt;&gt;"","set "&amp;INDEX(CUEs!$A:$A,INT((ROW()-1)/7)*57+MOD(ROW()-1,7)+50)&amp;"=/ s "&amp;INDEX(CUEs!$B:$B,INT((ROW()-1)/7)*57+MOD(ROW()-1,7)+50),"")</f>
        <v/>
      </c>
    </row>
    <row r="6239" spans="1:1" x14ac:dyDescent="0.25">
      <c r="A6239" t="str" cm="1">
        <f t="array" ref="A6239">IF(INDEX(CUEs!$A:$A,INT((ROW()-1)/7)*57+MOD(ROW()-1,7)+50)&lt;&gt;"","set "&amp;INDEX(CUEs!$A:$A,INT((ROW()-1)/7)*57+MOD(ROW()-1,7)+50)&amp;"=/ s "&amp;INDEX(CUEs!$B:$B,INT((ROW()-1)/7)*57+MOD(ROW()-1,7)+50),"")</f>
        <v/>
      </c>
    </row>
    <row r="6240" spans="1:1" x14ac:dyDescent="0.25">
      <c r="A6240" t="str" cm="1">
        <f t="array" ref="A6240">IF(INDEX(CUEs!$A:$A,INT((ROW()-1)/7)*57+MOD(ROW()-1,7)+50)&lt;&gt;"","set "&amp;INDEX(CUEs!$A:$A,INT((ROW()-1)/7)*57+MOD(ROW()-1,7)+50)&amp;"=/ s "&amp;INDEX(CUEs!$B:$B,INT((ROW()-1)/7)*57+MOD(ROW()-1,7)+50),"")</f>
        <v/>
      </c>
    </row>
    <row r="6241" spans="1:1" x14ac:dyDescent="0.25">
      <c r="A6241" t="str" cm="1">
        <f t="array" ref="A6241">IF(INDEX(CUEs!$A:$A,INT((ROW()-1)/7)*57+MOD(ROW()-1,7)+50)&lt;&gt;"","set "&amp;INDEX(CUEs!$A:$A,INT((ROW()-1)/7)*57+MOD(ROW()-1,7)+50)&amp;"=/ s "&amp;INDEX(CUEs!$B:$B,INT((ROW()-1)/7)*57+MOD(ROW()-1,7)+50),"")</f>
        <v/>
      </c>
    </row>
    <row r="6242" spans="1:1" x14ac:dyDescent="0.25">
      <c r="A6242" t="str" cm="1">
        <f t="array" ref="A6242">IF(INDEX(CUEs!$A:$A,INT((ROW()-1)/7)*57+MOD(ROW()-1,7)+50)&lt;&gt;"","set "&amp;INDEX(CUEs!$A:$A,INT((ROW()-1)/7)*57+MOD(ROW()-1,7)+50)&amp;"=/ s "&amp;INDEX(CUEs!$B:$B,INT((ROW()-1)/7)*57+MOD(ROW()-1,7)+50),"")</f>
        <v/>
      </c>
    </row>
    <row r="6243" spans="1:1" x14ac:dyDescent="0.25">
      <c r="A6243" t="str" cm="1">
        <f t="array" ref="A6243">IF(INDEX(CUEs!$A:$A,INT((ROW()-1)/7)*57+MOD(ROW()-1,7)+50)&lt;&gt;"","set "&amp;INDEX(CUEs!$A:$A,INT((ROW()-1)/7)*57+MOD(ROW()-1,7)+50)&amp;"=/ s "&amp;INDEX(CUEs!$B:$B,INT((ROW()-1)/7)*57+MOD(ROW()-1,7)+50),"")</f>
        <v/>
      </c>
    </row>
    <row r="6244" spans="1:1" x14ac:dyDescent="0.25">
      <c r="A6244" t="str" cm="1">
        <f t="array" ref="A6244">IF(INDEX(CUEs!$A:$A,INT((ROW()-1)/7)*57+MOD(ROW()-1,7)+50)&lt;&gt;"","set "&amp;INDEX(CUEs!$A:$A,INT((ROW()-1)/7)*57+MOD(ROW()-1,7)+50)&amp;"=/ s "&amp;INDEX(CUEs!$B:$B,INT((ROW()-1)/7)*57+MOD(ROW()-1,7)+50),"")</f>
        <v/>
      </c>
    </row>
    <row r="6245" spans="1:1" x14ac:dyDescent="0.25">
      <c r="A6245" t="str" cm="1">
        <f t="array" ref="A6245">IF(INDEX(CUEs!$A:$A,INT((ROW()-1)/7)*57+MOD(ROW()-1,7)+50)&lt;&gt;"","set "&amp;INDEX(CUEs!$A:$A,INT((ROW()-1)/7)*57+MOD(ROW()-1,7)+50)&amp;"=/ s "&amp;INDEX(CUEs!$B:$B,INT((ROW()-1)/7)*57+MOD(ROW()-1,7)+50),"")</f>
        <v/>
      </c>
    </row>
    <row r="6246" spans="1:1" x14ac:dyDescent="0.25">
      <c r="A6246" t="str" cm="1">
        <f t="array" ref="A6246">IF(INDEX(CUEs!$A:$A,INT((ROW()-1)/7)*57+MOD(ROW()-1,7)+50)&lt;&gt;"","set "&amp;INDEX(CUEs!$A:$A,INT((ROW()-1)/7)*57+MOD(ROW()-1,7)+50)&amp;"=/ s "&amp;INDEX(CUEs!$B:$B,INT((ROW()-1)/7)*57+MOD(ROW()-1,7)+50),"")</f>
        <v/>
      </c>
    </row>
    <row r="6247" spans="1:1" x14ac:dyDescent="0.25">
      <c r="A6247" t="str" cm="1">
        <f t="array" ref="A6247">IF(INDEX(CUEs!$A:$A,INT((ROW()-1)/7)*57+MOD(ROW()-1,7)+50)&lt;&gt;"","set "&amp;INDEX(CUEs!$A:$A,INT((ROW()-1)/7)*57+MOD(ROW()-1,7)+50)&amp;"=/ s "&amp;INDEX(CUEs!$B:$B,INT((ROW()-1)/7)*57+MOD(ROW()-1,7)+50),"")</f>
        <v/>
      </c>
    </row>
    <row r="6248" spans="1:1" x14ac:dyDescent="0.25">
      <c r="A6248" t="str" cm="1">
        <f t="array" ref="A6248">IF(INDEX(CUEs!$A:$A,INT((ROW()-1)/7)*57+MOD(ROW()-1,7)+50)&lt;&gt;"","set "&amp;INDEX(CUEs!$A:$A,INT((ROW()-1)/7)*57+MOD(ROW()-1,7)+50)&amp;"=/ s "&amp;INDEX(CUEs!$B:$B,INT((ROW()-1)/7)*57+MOD(ROW()-1,7)+50),"")</f>
        <v/>
      </c>
    </row>
    <row r="6249" spans="1:1" x14ac:dyDescent="0.25">
      <c r="A6249" t="str" cm="1">
        <f t="array" ref="A6249">IF(INDEX(CUEs!$A:$A,INT((ROW()-1)/7)*57+MOD(ROW()-1,7)+50)&lt;&gt;"","set "&amp;INDEX(CUEs!$A:$A,INT((ROW()-1)/7)*57+MOD(ROW()-1,7)+50)&amp;"=/ s "&amp;INDEX(CUEs!$B:$B,INT((ROW()-1)/7)*57+MOD(ROW()-1,7)+50),"")</f>
        <v/>
      </c>
    </row>
    <row r="6250" spans="1:1" x14ac:dyDescent="0.25">
      <c r="A6250" t="str" cm="1">
        <f t="array" ref="A6250">IF(INDEX(CUEs!$A:$A,INT((ROW()-1)/7)*57+MOD(ROW()-1,7)+50)&lt;&gt;"","set "&amp;INDEX(CUEs!$A:$A,INT((ROW()-1)/7)*57+MOD(ROW()-1,7)+50)&amp;"=/ s "&amp;INDEX(CUEs!$B:$B,INT((ROW()-1)/7)*57+MOD(ROW()-1,7)+50),"")</f>
        <v/>
      </c>
    </row>
    <row r="6251" spans="1:1" x14ac:dyDescent="0.25">
      <c r="A6251" t="str" cm="1">
        <f t="array" ref="A6251">IF(INDEX(CUEs!$A:$A,INT((ROW()-1)/7)*57+MOD(ROW()-1,7)+50)&lt;&gt;"","set "&amp;INDEX(CUEs!$A:$A,INT((ROW()-1)/7)*57+MOD(ROW()-1,7)+50)&amp;"=/ s "&amp;INDEX(CUEs!$B:$B,INT((ROW()-1)/7)*57+MOD(ROW()-1,7)+50),"")</f>
        <v/>
      </c>
    </row>
    <row r="6252" spans="1:1" x14ac:dyDescent="0.25">
      <c r="A6252" t="str" cm="1">
        <f t="array" ref="A6252">IF(INDEX(CUEs!$A:$A,INT((ROW()-1)/7)*57+MOD(ROW()-1,7)+50)&lt;&gt;"","set "&amp;INDEX(CUEs!$A:$A,INT((ROW()-1)/7)*57+MOD(ROW()-1,7)+50)&amp;"=/ s "&amp;INDEX(CUEs!$B:$B,INT((ROW()-1)/7)*57+MOD(ROW()-1,7)+50),"")</f>
        <v/>
      </c>
    </row>
    <row r="6253" spans="1:1" x14ac:dyDescent="0.25">
      <c r="A6253" t="str" cm="1">
        <f t="array" ref="A6253">IF(INDEX(CUEs!$A:$A,INT((ROW()-1)/7)*57+MOD(ROW()-1,7)+50)&lt;&gt;"","set "&amp;INDEX(CUEs!$A:$A,INT((ROW()-1)/7)*57+MOD(ROW()-1,7)+50)&amp;"=/ s "&amp;INDEX(CUEs!$B:$B,INT((ROW()-1)/7)*57+MOD(ROW()-1,7)+50),"")</f>
        <v/>
      </c>
    </row>
    <row r="6254" spans="1:1" x14ac:dyDescent="0.25">
      <c r="A6254" t="str" cm="1">
        <f t="array" ref="A6254">IF(INDEX(CUEs!$A:$A,INT((ROW()-1)/7)*57+MOD(ROW()-1,7)+50)&lt;&gt;"","set "&amp;INDEX(CUEs!$A:$A,INT((ROW()-1)/7)*57+MOD(ROW()-1,7)+50)&amp;"=/ s "&amp;INDEX(CUEs!$B:$B,INT((ROW()-1)/7)*57+MOD(ROW()-1,7)+50),"")</f>
        <v/>
      </c>
    </row>
    <row r="6255" spans="1:1" x14ac:dyDescent="0.25">
      <c r="A6255" t="str" cm="1">
        <f t="array" ref="A6255">IF(INDEX(CUEs!$A:$A,INT((ROW()-1)/7)*57+MOD(ROW()-1,7)+50)&lt;&gt;"","set "&amp;INDEX(CUEs!$A:$A,INT((ROW()-1)/7)*57+MOD(ROW()-1,7)+50)&amp;"=/ s "&amp;INDEX(CUEs!$B:$B,INT((ROW()-1)/7)*57+MOD(ROW()-1,7)+50),"")</f>
        <v/>
      </c>
    </row>
    <row r="6256" spans="1:1" x14ac:dyDescent="0.25">
      <c r="A6256" t="str" cm="1">
        <f t="array" ref="A6256">IF(INDEX(CUEs!$A:$A,INT((ROW()-1)/7)*57+MOD(ROW()-1,7)+50)&lt;&gt;"","set "&amp;INDEX(CUEs!$A:$A,INT((ROW()-1)/7)*57+MOD(ROW()-1,7)+50)&amp;"=/ s "&amp;INDEX(CUEs!$B:$B,INT((ROW()-1)/7)*57+MOD(ROW()-1,7)+50),"")</f>
        <v/>
      </c>
    </row>
    <row r="6257" spans="1:1" x14ac:dyDescent="0.25">
      <c r="A6257" t="str" cm="1">
        <f t="array" ref="A6257">IF(INDEX(CUEs!$A:$A,INT((ROW()-1)/7)*57+MOD(ROW()-1,7)+50)&lt;&gt;"","set "&amp;INDEX(CUEs!$A:$A,INT((ROW()-1)/7)*57+MOD(ROW()-1,7)+50)&amp;"=/ s "&amp;INDEX(CUEs!$B:$B,INT((ROW()-1)/7)*57+MOD(ROW()-1,7)+50),"")</f>
        <v/>
      </c>
    </row>
    <row r="6258" spans="1:1" x14ac:dyDescent="0.25">
      <c r="A6258" t="str" cm="1">
        <f t="array" ref="A6258">IF(INDEX(CUEs!$A:$A,INT((ROW()-1)/7)*57+MOD(ROW()-1,7)+50)&lt;&gt;"","set "&amp;INDEX(CUEs!$A:$A,INT((ROW()-1)/7)*57+MOD(ROW()-1,7)+50)&amp;"=/ s "&amp;INDEX(CUEs!$B:$B,INT((ROW()-1)/7)*57+MOD(ROW()-1,7)+50),"")</f>
        <v/>
      </c>
    </row>
    <row r="6259" spans="1:1" x14ac:dyDescent="0.25">
      <c r="A6259" t="str" cm="1">
        <f t="array" ref="A6259">IF(INDEX(CUEs!$A:$A,INT((ROW()-1)/7)*57+MOD(ROW()-1,7)+50)&lt;&gt;"","set "&amp;INDEX(CUEs!$A:$A,INT((ROW()-1)/7)*57+MOD(ROW()-1,7)+50)&amp;"=/ s "&amp;INDEX(CUEs!$B:$B,INT((ROW()-1)/7)*57+MOD(ROW()-1,7)+50),"")</f>
        <v/>
      </c>
    </row>
    <row r="6260" spans="1:1" x14ac:dyDescent="0.25">
      <c r="A6260" t="str" cm="1">
        <f t="array" ref="A6260">IF(INDEX(CUEs!$A:$A,INT((ROW()-1)/7)*57+MOD(ROW()-1,7)+50)&lt;&gt;"","set "&amp;INDEX(CUEs!$A:$A,INT((ROW()-1)/7)*57+MOD(ROW()-1,7)+50)&amp;"=/ s "&amp;INDEX(CUEs!$B:$B,INT((ROW()-1)/7)*57+MOD(ROW()-1,7)+50),"")</f>
        <v/>
      </c>
    </row>
    <row r="6261" spans="1:1" x14ac:dyDescent="0.25">
      <c r="A6261" t="str" cm="1">
        <f t="array" ref="A6261">IF(INDEX(CUEs!$A:$A,INT((ROW()-1)/7)*57+MOD(ROW()-1,7)+50)&lt;&gt;"","set "&amp;INDEX(CUEs!$A:$A,INT((ROW()-1)/7)*57+MOD(ROW()-1,7)+50)&amp;"=/ s "&amp;INDEX(CUEs!$B:$B,INT((ROW()-1)/7)*57+MOD(ROW()-1,7)+50),"")</f>
        <v/>
      </c>
    </row>
    <row r="6262" spans="1:1" x14ac:dyDescent="0.25">
      <c r="A6262" t="str" cm="1">
        <f t="array" ref="A6262">IF(INDEX(CUEs!$A:$A,INT((ROW()-1)/7)*57+MOD(ROW()-1,7)+50)&lt;&gt;"","set "&amp;INDEX(CUEs!$A:$A,INT((ROW()-1)/7)*57+MOD(ROW()-1,7)+50)&amp;"=/ s "&amp;INDEX(CUEs!$B:$B,INT((ROW()-1)/7)*57+MOD(ROW()-1,7)+50),"")</f>
        <v/>
      </c>
    </row>
    <row r="6263" spans="1:1" x14ac:dyDescent="0.25">
      <c r="A6263" t="str" cm="1">
        <f t="array" ref="A6263">IF(INDEX(CUEs!$A:$A,INT((ROW()-1)/7)*57+MOD(ROW()-1,7)+50)&lt;&gt;"","set "&amp;INDEX(CUEs!$A:$A,INT((ROW()-1)/7)*57+MOD(ROW()-1,7)+50)&amp;"=/ s "&amp;INDEX(CUEs!$B:$B,INT((ROW()-1)/7)*57+MOD(ROW()-1,7)+50),"")</f>
        <v/>
      </c>
    </row>
    <row r="6264" spans="1:1" x14ac:dyDescent="0.25">
      <c r="A6264" t="str" cm="1">
        <f t="array" ref="A6264">IF(INDEX(CUEs!$A:$A,INT((ROW()-1)/7)*57+MOD(ROW()-1,7)+50)&lt;&gt;"","set "&amp;INDEX(CUEs!$A:$A,INT((ROW()-1)/7)*57+MOD(ROW()-1,7)+50)&amp;"=/ s "&amp;INDEX(CUEs!$B:$B,INT((ROW()-1)/7)*57+MOD(ROW()-1,7)+50),"")</f>
        <v/>
      </c>
    </row>
    <row r="6265" spans="1:1" x14ac:dyDescent="0.25">
      <c r="A6265" t="str" cm="1">
        <f t="array" ref="A6265">IF(INDEX(CUEs!$A:$A,INT((ROW()-1)/7)*57+MOD(ROW()-1,7)+50)&lt;&gt;"","set "&amp;INDEX(CUEs!$A:$A,INT((ROW()-1)/7)*57+MOD(ROW()-1,7)+50)&amp;"=/ s "&amp;INDEX(CUEs!$B:$B,INT((ROW()-1)/7)*57+MOD(ROW()-1,7)+50),"")</f>
        <v/>
      </c>
    </row>
    <row r="6266" spans="1:1" x14ac:dyDescent="0.25">
      <c r="A6266" t="str" cm="1">
        <f t="array" ref="A6266">IF(INDEX(CUEs!$A:$A,INT((ROW()-1)/7)*57+MOD(ROW()-1,7)+50)&lt;&gt;"","set "&amp;INDEX(CUEs!$A:$A,INT((ROW()-1)/7)*57+MOD(ROW()-1,7)+50)&amp;"=/ s "&amp;INDEX(CUEs!$B:$B,INT((ROW()-1)/7)*57+MOD(ROW()-1,7)+50),"")</f>
        <v/>
      </c>
    </row>
    <row r="6267" spans="1:1" x14ac:dyDescent="0.25">
      <c r="A6267" t="str" cm="1">
        <f t="array" ref="A6267">IF(INDEX(CUEs!$A:$A,INT((ROW()-1)/7)*57+MOD(ROW()-1,7)+50)&lt;&gt;"","set "&amp;INDEX(CUEs!$A:$A,INT((ROW()-1)/7)*57+MOD(ROW()-1,7)+50)&amp;"=/ s "&amp;INDEX(CUEs!$B:$B,INT((ROW()-1)/7)*57+MOD(ROW()-1,7)+50),"")</f>
        <v/>
      </c>
    </row>
    <row r="6268" spans="1:1" x14ac:dyDescent="0.25">
      <c r="A6268" t="str" cm="1">
        <f t="array" ref="A6268">IF(INDEX(CUEs!$A:$A,INT((ROW()-1)/7)*57+MOD(ROW()-1,7)+50)&lt;&gt;"","set "&amp;INDEX(CUEs!$A:$A,INT((ROW()-1)/7)*57+MOD(ROW()-1,7)+50)&amp;"=/ s "&amp;INDEX(CUEs!$B:$B,INT((ROW()-1)/7)*57+MOD(ROW()-1,7)+50),"")</f>
        <v/>
      </c>
    </row>
    <row r="6269" spans="1:1" x14ac:dyDescent="0.25">
      <c r="A6269" t="str" cm="1">
        <f t="array" ref="A6269">IF(INDEX(CUEs!$A:$A,INT((ROW()-1)/7)*57+MOD(ROW()-1,7)+50)&lt;&gt;"","set "&amp;INDEX(CUEs!$A:$A,INT((ROW()-1)/7)*57+MOD(ROW()-1,7)+50)&amp;"=/ s "&amp;INDEX(CUEs!$B:$B,INT((ROW()-1)/7)*57+MOD(ROW()-1,7)+50),"")</f>
        <v/>
      </c>
    </row>
    <row r="6270" spans="1:1" x14ac:dyDescent="0.25">
      <c r="A6270" t="str" cm="1">
        <f t="array" ref="A6270">IF(INDEX(CUEs!$A:$A,INT((ROW()-1)/7)*57+MOD(ROW()-1,7)+50)&lt;&gt;"","set "&amp;INDEX(CUEs!$A:$A,INT((ROW()-1)/7)*57+MOD(ROW()-1,7)+50)&amp;"=/ s "&amp;INDEX(CUEs!$B:$B,INT((ROW()-1)/7)*57+MOD(ROW()-1,7)+50),"")</f>
        <v/>
      </c>
    </row>
    <row r="6271" spans="1:1" x14ac:dyDescent="0.25">
      <c r="A6271" t="str" cm="1">
        <f t="array" ref="A6271">IF(INDEX(CUEs!$A:$A,INT((ROW()-1)/7)*57+MOD(ROW()-1,7)+50)&lt;&gt;"","set "&amp;INDEX(CUEs!$A:$A,INT((ROW()-1)/7)*57+MOD(ROW()-1,7)+50)&amp;"=/ s "&amp;INDEX(CUEs!$B:$B,INT((ROW()-1)/7)*57+MOD(ROW()-1,7)+50),"")</f>
        <v/>
      </c>
    </row>
    <row r="6272" spans="1:1" x14ac:dyDescent="0.25">
      <c r="A6272" t="str" cm="1">
        <f t="array" ref="A6272">IF(INDEX(CUEs!$A:$A,INT((ROW()-1)/7)*57+MOD(ROW()-1,7)+50)&lt;&gt;"","set "&amp;INDEX(CUEs!$A:$A,INT((ROW()-1)/7)*57+MOD(ROW()-1,7)+50)&amp;"=/ s "&amp;INDEX(CUEs!$B:$B,INT((ROW()-1)/7)*57+MOD(ROW()-1,7)+50),"")</f>
        <v/>
      </c>
    </row>
    <row r="6273" spans="1:1" x14ac:dyDescent="0.25">
      <c r="A6273" t="str" cm="1">
        <f t="array" ref="A6273">IF(INDEX(CUEs!$A:$A,INT((ROW()-1)/7)*57+MOD(ROW()-1,7)+50)&lt;&gt;"","set "&amp;INDEX(CUEs!$A:$A,INT((ROW()-1)/7)*57+MOD(ROW()-1,7)+50)&amp;"=/ s "&amp;INDEX(CUEs!$B:$B,INT((ROW()-1)/7)*57+MOD(ROW()-1,7)+50),"")</f>
        <v/>
      </c>
    </row>
    <row r="6274" spans="1:1" x14ac:dyDescent="0.25">
      <c r="A6274" t="str" cm="1">
        <f t="array" ref="A6274">IF(INDEX(CUEs!$A:$A,INT((ROW()-1)/7)*57+MOD(ROW()-1,7)+50)&lt;&gt;"","set "&amp;INDEX(CUEs!$A:$A,INT((ROW()-1)/7)*57+MOD(ROW()-1,7)+50)&amp;"=/ s "&amp;INDEX(CUEs!$B:$B,INT((ROW()-1)/7)*57+MOD(ROW()-1,7)+50),"")</f>
        <v/>
      </c>
    </row>
    <row r="6275" spans="1:1" x14ac:dyDescent="0.25">
      <c r="A6275" t="str" cm="1">
        <f t="array" ref="A6275">IF(INDEX(CUEs!$A:$A,INT((ROW()-1)/7)*57+MOD(ROW()-1,7)+50)&lt;&gt;"","set "&amp;INDEX(CUEs!$A:$A,INT((ROW()-1)/7)*57+MOD(ROW()-1,7)+50)&amp;"=/ s "&amp;INDEX(CUEs!$B:$B,INT((ROW()-1)/7)*57+MOD(ROW()-1,7)+50),"")</f>
        <v/>
      </c>
    </row>
    <row r="6276" spans="1:1" x14ac:dyDescent="0.25">
      <c r="A6276" t="str" cm="1">
        <f t="array" ref="A6276">IF(INDEX(CUEs!$A:$A,INT((ROW()-1)/7)*57+MOD(ROW()-1,7)+50)&lt;&gt;"","set "&amp;INDEX(CUEs!$A:$A,INT((ROW()-1)/7)*57+MOD(ROW()-1,7)+50)&amp;"=/ s "&amp;INDEX(CUEs!$B:$B,INT((ROW()-1)/7)*57+MOD(ROW()-1,7)+50),"")</f>
        <v/>
      </c>
    </row>
    <row r="6277" spans="1:1" x14ac:dyDescent="0.25">
      <c r="A6277" t="str" cm="1">
        <f t="array" ref="A6277">IF(INDEX(CUEs!$A:$A,INT((ROW()-1)/7)*57+MOD(ROW()-1,7)+50)&lt;&gt;"","set "&amp;INDEX(CUEs!$A:$A,INT((ROW()-1)/7)*57+MOD(ROW()-1,7)+50)&amp;"=/ s "&amp;INDEX(CUEs!$B:$B,INT((ROW()-1)/7)*57+MOD(ROW()-1,7)+50),"")</f>
        <v/>
      </c>
    </row>
    <row r="6278" spans="1:1" x14ac:dyDescent="0.25">
      <c r="A6278" t="str" cm="1">
        <f t="array" ref="A6278">IF(INDEX(CUEs!$A:$A,INT((ROW()-1)/7)*57+MOD(ROW()-1,7)+50)&lt;&gt;"","set "&amp;INDEX(CUEs!$A:$A,INT((ROW()-1)/7)*57+MOD(ROW()-1,7)+50)&amp;"=/ s "&amp;INDEX(CUEs!$B:$B,INT((ROW()-1)/7)*57+MOD(ROW()-1,7)+50),"")</f>
        <v/>
      </c>
    </row>
    <row r="6279" spans="1:1" x14ac:dyDescent="0.25">
      <c r="A6279" t="str" cm="1">
        <f t="array" ref="A6279">IF(INDEX(CUEs!$A:$A,INT((ROW()-1)/7)*57+MOD(ROW()-1,7)+50)&lt;&gt;"","set "&amp;INDEX(CUEs!$A:$A,INT((ROW()-1)/7)*57+MOD(ROW()-1,7)+50)&amp;"=/ s "&amp;INDEX(CUEs!$B:$B,INT((ROW()-1)/7)*57+MOD(ROW()-1,7)+50),"")</f>
        <v/>
      </c>
    </row>
    <row r="6280" spans="1:1" x14ac:dyDescent="0.25">
      <c r="A6280" t="str" cm="1">
        <f t="array" ref="A6280">IF(INDEX(CUEs!$A:$A,INT((ROW()-1)/7)*57+MOD(ROW()-1,7)+50)&lt;&gt;"","set "&amp;INDEX(CUEs!$A:$A,INT((ROW()-1)/7)*57+MOD(ROW()-1,7)+50)&amp;"=/ s "&amp;INDEX(CUEs!$B:$B,INT((ROW()-1)/7)*57+MOD(ROW()-1,7)+50),"")</f>
        <v/>
      </c>
    </row>
    <row r="6281" spans="1:1" x14ac:dyDescent="0.25">
      <c r="A6281" t="str" cm="1">
        <f t="array" ref="A6281">IF(INDEX(CUEs!$A:$A,INT((ROW()-1)/7)*57+MOD(ROW()-1,7)+50)&lt;&gt;"","set "&amp;INDEX(CUEs!$A:$A,INT((ROW()-1)/7)*57+MOD(ROW()-1,7)+50)&amp;"=/ s "&amp;INDEX(CUEs!$B:$B,INT((ROW()-1)/7)*57+MOD(ROW()-1,7)+50),"")</f>
        <v/>
      </c>
    </row>
    <row r="6282" spans="1:1" x14ac:dyDescent="0.25">
      <c r="A6282" t="str" cm="1">
        <f t="array" ref="A6282">IF(INDEX(CUEs!$A:$A,INT((ROW()-1)/7)*57+MOD(ROW()-1,7)+50)&lt;&gt;"","set "&amp;INDEX(CUEs!$A:$A,INT((ROW()-1)/7)*57+MOD(ROW()-1,7)+50)&amp;"=/ s "&amp;INDEX(CUEs!$B:$B,INT((ROW()-1)/7)*57+MOD(ROW()-1,7)+50),"")</f>
        <v/>
      </c>
    </row>
    <row r="6283" spans="1:1" x14ac:dyDescent="0.25">
      <c r="A6283" t="str" cm="1">
        <f t="array" ref="A6283">IF(INDEX(CUEs!$A:$A,INT((ROW()-1)/7)*57+MOD(ROW()-1,7)+50)&lt;&gt;"","set "&amp;INDEX(CUEs!$A:$A,INT((ROW()-1)/7)*57+MOD(ROW()-1,7)+50)&amp;"=/ s "&amp;INDEX(CUEs!$B:$B,INT((ROW()-1)/7)*57+MOD(ROW()-1,7)+50),"")</f>
        <v/>
      </c>
    </row>
    <row r="6284" spans="1:1" x14ac:dyDescent="0.25">
      <c r="A6284" t="str" cm="1">
        <f t="array" ref="A6284">IF(INDEX(CUEs!$A:$A,INT((ROW()-1)/7)*57+MOD(ROW()-1,7)+50)&lt;&gt;"","set "&amp;INDEX(CUEs!$A:$A,INT((ROW()-1)/7)*57+MOD(ROW()-1,7)+50)&amp;"=/ s "&amp;INDEX(CUEs!$B:$B,INT((ROW()-1)/7)*57+MOD(ROW()-1,7)+50),"")</f>
        <v/>
      </c>
    </row>
    <row r="6285" spans="1:1" x14ac:dyDescent="0.25">
      <c r="A6285" t="str" cm="1">
        <f t="array" ref="A6285">IF(INDEX(CUEs!$A:$A,INT((ROW()-1)/7)*57+MOD(ROW()-1,7)+50)&lt;&gt;"","set "&amp;INDEX(CUEs!$A:$A,INT((ROW()-1)/7)*57+MOD(ROW()-1,7)+50)&amp;"=/ s "&amp;INDEX(CUEs!$B:$B,INT((ROW()-1)/7)*57+MOD(ROW()-1,7)+50),"")</f>
        <v/>
      </c>
    </row>
    <row r="6286" spans="1:1" x14ac:dyDescent="0.25">
      <c r="A6286" t="str" cm="1">
        <f t="array" ref="A6286">IF(INDEX(CUEs!$A:$A,INT((ROW()-1)/7)*57+MOD(ROW()-1,7)+50)&lt;&gt;"","set "&amp;INDEX(CUEs!$A:$A,INT((ROW()-1)/7)*57+MOD(ROW()-1,7)+50)&amp;"=/ s "&amp;INDEX(CUEs!$B:$B,INT((ROW()-1)/7)*57+MOD(ROW()-1,7)+50),"")</f>
        <v/>
      </c>
    </row>
    <row r="6287" spans="1:1" x14ac:dyDescent="0.25">
      <c r="A6287" t="str" cm="1">
        <f t="array" ref="A6287">IF(INDEX(CUEs!$A:$A,INT((ROW()-1)/7)*57+MOD(ROW()-1,7)+50)&lt;&gt;"","set "&amp;INDEX(CUEs!$A:$A,INT((ROW()-1)/7)*57+MOD(ROW()-1,7)+50)&amp;"=/ s "&amp;INDEX(CUEs!$B:$B,INT((ROW()-1)/7)*57+MOD(ROW()-1,7)+50),"")</f>
        <v/>
      </c>
    </row>
    <row r="6288" spans="1:1" x14ac:dyDescent="0.25">
      <c r="A6288" t="str" cm="1">
        <f t="array" ref="A6288">IF(INDEX(CUEs!$A:$A,INT((ROW()-1)/7)*57+MOD(ROW()-1,7)+50)&lt;&gt;"","set "&amp;INDEX(CUEs!$A:$A,INT((ROW()-1)/7)*57+MOD(ROW()-1,7)+50)&amp;"=/ s "&amp;INDEX(CUEs!$B:$B,INT((ROW()-1)/7)*57+MOD(ROW()-1,7)+50),"")</f>
        <v/>
      </c>
    </row>
    <row r="6289" spans="1:1" x14ac:dyDescent="0.25">
      <c r="A6289" t="str" cm="1">
        <f t="array" ref="A6289">IF(INDEX(CUEs!$A:$A,INT((ROW()-1)/7)*57+MOD(ROW()-1,7)+50)&lt;&gt;"","set "&amp;INDEX(CUEs!$A:$A,INT((ROW()-1)/7)*57+MOD(ROW()-1,7)+50)&amp;"=/ s "&amp;INDEX(CUEs!$B:$B,INT((ROW()-1)/7)*57+MOD(ROW()-1,7)+50),"")</f>
        <v/>
      </c>
    </row>
    <row r="6290" spans="1:1" x14ac:dyDescent="0.25">
      <c r="A6290" t="str" cm="1">
        <f t="array" ref="A6290">IF(INDEX(CUEs!$A:$A,INT((ROW()-1)/7)*57+MOD(ROW()-1,7)+50)&lt;&gt;"","set "&amp;INDEX(CUEs!$A:$A,INT((ROW()-1)/7)*57+MOD(ROW()-1,7)+50)&amp;"=/ s "&amp;INDEX(CUEs!$B:$B,INT((ROW()-1)/7)*57+MOD(ROW()-1,7)+50),"")</f>
        <v/>
      </c>
    </row>
    <row r="6291" spans="1:1" x14ac:dyDescent="0.25">
      <c r="A6291" t="str" cm="1">
        <f t="array" ref="A6291">IF(INDEX(CUEs!$A:$A,INT((ROW()-1)/7)*57+MOD(ROW()-1,7)+50)&lt;&gt;"","set "&amp;INDEX(CUEs!$A:$A,INT((ROW()-1)/7)*57+MOD(ROW()-1,7)+50)&amp;"=/ s "&amp;INDEX(CUEs!$B:$B,INT((ROW()-1)/7)*57+MOD(ROW()-1,7)+50),"")</f>
        <v/>
      </c>
    </row>
    <row r="6292" spans="1:1" x14ac:dyDescent="0.25">
      <c r="A6292" t="str" cm="1">
        <f t="array" ref="A6292">IF(INDEX(CUEs!$A:$A,INT((ROW()-1)/7)*57+MOD(ROW()-1,7)+50)&lt;&gt;"","set "&amp;INDEX(CUEs!$A:$A,INT((ROW()-1)/7)*57+MOD(ROW()-1,7)+50)&amp;"=/ s "&amp;INDEX(CUEs!$B:$B,INT((ROW()-1)/7)*57+MOD(ROW()-1,7)+50),"")</f>
        <v/>
      </c>
    </row>
    <row r="6293" spans="1:1" x14ac:dyDescent="0.25">
      <c r="A6293" t="str" cm="1">
        <f t="array" ref="A6293">IF(INDEX(CUEs!$A:$A,INT((ROW()-1)/7)*57+MOD(ROW()-1,7)+50)&lt;&gt;"","set "&amp;INDEX(CUEs!$A:$A,INT((ROW()-1)/7)*57+MOD(ROW()-1,7)+50)&amp;"=/ s "&amp;INDEX(CUEs!$B:$B,INT((ROW()-1)/7)*57+MOD(ROW()-1,7)+50),"")</f>
        <v/>
      </c>
    </row>
    <row r="6294" spans="1:1" x14ac:dyDescent="0.25">
      <c r="A6294" t="str" cm="1">
        <f t="array" ref="A6294">IF(INDEX(CUEs!$A:$A,INT((ROW()-1)/7)*57+MOD(ROW()-1,7)+50)&lt;&gt;"","set "&amp;INDEX(CUEs!$A:$A,INT((ROW()-1)/7)*57+MOD(ROW()-1,7)+50)&amp;"=/ s "&amp;INDEX(CUEs!$B:$B,INT((ROW()-1)/7)*57+MOD(ROW()-1,7)+50),"")</f>
        <v/>
      </c>
    </row>
    <row r="6295" spans="1:1" x14ac:dyDescent="0.25">
      <c r="A6295" t="str" cm="1">
        <f t="array" ref="A6295">IF(INDEX(CUEs!$A:$A,INT((ROW()-1)/7)*57+MOD(ROW()-1,7)+50)&lt;&gt;"","set "&amp;INDEX(CUEs!$A:$A,INT((ROW()-1)/7)*57+MOD(ROW()-1,7)+50)&amp;"=/ s "&amp;INDEX(CUEs!$B:$B,INT((ROW()-1)/7)*57+MOD(ROW()-1,7)+50),"")</f>
        <v/>
      </c>
    </row>
    <row r="6296" spans="1:1" x14ac:dyDescent="0.25">
      <c r="A6296" t="str" cm="1">
        <f t="array" ref="A6296">IF(INDEX(CUEs!$A:$A,INT((ROW()-1)/7)*57+MOD(ROW()-1,7)+50)&lt;&gt;"","set "&amp;INDEX(CUEs!$A:$A,INT((ROW()-1)/7)*57+MOD(ROW()-1,7)+50)&amp;"=/ s "&amp;INDEX(CUEs!$B:$B,INT((ROW()-1)/7)*57+MOD(ROW()-1,7)+50),"")</f>
        <v/>
      </c>
    </row>
    <row r="6297" spans="1:1" x14ac:dyDescent="0.25">
      <c r="A6297" t="str" cm="1">
        <f t="array" ref="A6297">IF(INDEX(CUEs!$A:$A,INT((ROW()-1)/7)*57+MOD(ROW()-1,7)+50)&lt;&gt;"","set "&amp;INDEX(CUEs!$A:$A,INT((ROW()-1)/7)*57+MOD(ROW()-1,7)+50)&amp;"=/ s "&amp;INDEX(CUEs!$B:$B,INT((ROW()-1)/7)*57+MOD(ROW()-1,7)+50),"")</f>
        <v/>
      </c>
    </row>
    <row r="6298" spans="1:1" x14ac:dyDescent="0.25">
      <c r="A6298" t="str" cm="1">
        <f t="array" ref="A6298">IF(INDEX(CUEs!$A:$A,INT((ROW()-1)/7)*57+MOD(ROW()-1,7)+50)&lt;&gt;"","set "&amp;INDEX(CUEs!$A:$A,INT((ROW()-1)/7)*57+MOD(ROW()-1,7)+50)&amp;"=/ s "&amp;INDEX(CUEs!$B:$B,INT((ROW()-1)/7)*57+MOD(ROW()-1,7)+50),"")</f>
        <v/>
      </c>
    </row>
    <row r="6299" spans="1:1" x14ac:dyDescent="0.25">
      <c r="A6299" t="str" cm="1">
        <f t="array" ref="A6299">IF(INDEX(CUEs!$A:$A,INT((ROW()-1)/7)*57+MOD(ROW()-1,7)+50)&lt;&gt;"","set "&amp;INDEX(CUEs!$A:$A,INT((ROW()-1)/7)*57+MOD(ROW()-1,7)+50)&amp;"=/ s "&amp;INDEX(CUEs!$B:$B,INT((ROW()-1)/7)*57+MOD(ROW()-1,7)+50),"")</f>
        <v/>
      </c>
    </row>
    <row r="6300" spans="1:1" x14ac:dyDescent="0.25">
      <c r="A6300" t="str" cm="1">
        <f t="array" ref="A6300">IF(INDEX(CUEs!$A:$A,INT((ROW()-1)/7)*57+MOD(ROW()-1,7)+50)&lt;&gt;"","set "&amp;INDEX(CUEs!$A:$A,INT((ROW()-1)/7)*57+MOD(ROW()-1,7)+50)&amp;"=/ s "&amp;INDEX(CUEs!$B:$B,INT((ROW()-1)/7)*57+MOD(ROW()-1,7)+50),"")</f>
        <v/>
      </c>
    </row>
    <row r="6301" spans="1:1" x14ac:dyDescent="0.25">
      <c r="A6301" t="str" cm="1">
        <f t="array" ref="A6301">IF(INDEX(CUEs!$A:$A,INT((ROW()-1)/7)*57+MOD(ROW()-1,7)+50)&lt;&gt;"","set "&amp;INDEX(CUEs!$A:$A,INT((ROW()-1)/7)*57+MOD(ROW()-1,7)+50)&amp;"=/ s "&amp;INDEX(CUEs!$B:$B,INT((ROW()-1)/7)*57+MOD(ROW()-1,7)+50),"")</f>
        <v/>
      </c>
    </row>
    <row r="6302" spans="1:1" x14ac:dyDescent="0.25">
      <c r="A6302" t="str" cm="1">
        <f t="array" ref="A6302">IF(INDEX(CUEs!$A:$A,INT((ROW()-1)/7)*57+MOD(ROW()-1,7)+50)&lt;&gt;"","set "&amp;INDEX(CUEs!$A:$A,INT((ROW()-1)/7)*57+MOD(ROW()-1,7)+50)&amp;"=/ s "&amp;INDEX(CUEs!$B:$B,INT((ROW()-1)/7)*57+MOD(ROW()-1,7)+50),"")</f>
        <v/>
      </c>
    </row>
    <row r="6303" spans="1:1" x14ac:dyDescent="0.25">
      <c r="A6303" t="str" cm="1">
        <f t="array" ref="A6303">IF(INDEX(CUEs!$A:$A,INT((ROW()-1)/7)*57+MOD(ROW()-1,7)+50)&lt;&gt;"","set "&amp;INDEX(CUEs!$A:$A,INT((ROW()-1)/7)*57+MOD(ROW()-1,7)+50)&amp;"=/ s "&amp;INDEX(CUEs!$B:$B,INT((ROW()-1)/7)*57+MOD(ROW()-1,7)+50),"")</f>
        <v/>
      </c>
    </row>
    <row r="6304" spans="1:1" x14ac:dyDescent="0.25">
      <c r="A6304" t="str" cm="1">
        <f t="array" ref="A6304">IF(INDEX(CUEs!$A:$A,INT((ROW()-1)/7)*57+MOD(ROW()-1,7)+50)&lt;&gt;"","set "&amp;INDEX(CUEs!$A:$A,INT((ROW()-1)/7)*57+MOD(ROW()-1,7)+50)&amp;"=/ s "&amp;INDEX(CUEs!$B:$B,INT((ROW()-1)/7)*57+MOD(ROW()-1,7)+50),"")</f>
        <v/>
      </c>
    </row>
    <row r="6305" spans="1:1" x14ac:dyDescent="0.25">
      <c r="A6305" t="str" cm="1">
        <f t="array" ref="A6305">IF(INDEX(CUEs!$A:$A,INT((ROW()-1)/7)*57+MOD(ROW()-1,7)+50)&lt;&gt;"","set "&amp;INDEX(CUEs!$A:$A,INT((ROW()-1)/7)*57+MOD(ROW()-1,7)+50)&amp;"=/ s "&amp;INDEX(CUEs!$B:$B,INT((ROW()-1)/7)*57+MOD(ROW()-1,7)+50),"")</f>
        <v/>
      </c>
    </row>
    <row r="6306" spans="1:1" x14ac:dyDescent="0.25">
      <c r="A6306" t="str" cm="1">
        <f t="array" ref="A6306">IF(INDEX(CUEs!$A:$A,INT((ROW()-1)/7)*57+MOD(ROW()-1,7)+50)&lt;&gt;"","set "&amp;INDEX(CUEs!$A:$A,INT((ROW()-1)/7)*57+MOD(ROW()-1,7)+50)&amp;"=/ s "&amp;INDEX(CUEs!$B:$B,INT((ROW()-1)/7)*57+MOD(ROW()-1,7)+50),"")</f>
        <v/>
      </c>
    </row>
    <row r="6307" spans="1:1" x14ac:dyDescent="0.25">
      <c r="A6307" t="str" cm="1">
        <f t="array" ref="A6307">IF(INDEX(CUEs!$A:$A,INT((ROW()-1)/7)*57+MOD(ROW()-1,7)+50)&lt;&gt;"","set "&amp;INDEX(CUEs!$A:$A,INT((ROW()-1)/7)*57+MOD(ROW()-1,7)+50)&amp;"=/ s "&amp;INDEX(CUEs!$B:$B,INT((ROW()-1)/7)*57+MOD(ROW()-1,7)+50),"")</f>
        <v/>
      </c>
    </row>
    <row r="6308" spans="1:1" x14ac:dyDescent="0.25">
      <c r="A6308" t="str" cm="1">
        <f t="array" ref="A6308">IF(INDEX(CUEs!$A:$A,INT((ROW()-1)/7)*57+MOD(ROW()-1,7)+50)&lt;&gt;"","set "&amp;INDEX(CUEs!$A:$A,INT((ROW()-1)/7)*57+MOD(ROW()-1,7)+50)&amp;"=/ s "&amp;INDEX(CUEs!$B:$B,INT((ROW()-1)/7)*57+MOD(ROW()-1,7)+50),"")</f>
        <v/>
      </c>
    </row>
    <row r="6309" spans="1:1" x14ac:dyDescent="0.25">
      <c r="A6309" t="str" cm="1">
        <f t="array" ref="A6309">IF(INDEX(CUEs!$A:$A,INT((ROW()-1)/7)*57+MOD(ROW()-1,7)+50)&lt;&gt;"","set "&amp;INDEX(CUEs!$A:$A,INT((ROW()-1)/7)*57+MOD(ROW()-1,7)+50)&amp;"=/ s "&amp;INDEX(CUEs!$B:$B,INT((ROW()-1)/7)*57+MOD(ROW()-1,7)+50),"")</f>
        <v/>
      </c>
    </row>
    <row r="6310" spans="1:1" x14ac:dyDescent="0.25">
      <c r="A6310" t="str" cm="1">
        <f t="array" ref="A6310">IF(INDEX(CUEs!$A:$A,INT((ROW()-1)/7)*57+MOD(ROW()-1,7)+50)&lt;&gt;"","set "&amp;INDEX(CUEs!$A:$A,INT((ROW()-1)/7)*57+MOD(ROW()-1,7)+50)&amp;"=/ s "&amp;INDEX(CUEs!$B:$B,INT((ROW()-1)/7)*57+MOD(ROW()-1,7)+50),"")</f>
        <v/>
      </c>
    </row>
    <row r="6311" spans="1:1" x14ac:dyDescent="0.25">
      <c r="A6311" t="str" cm="1">
        <f t="array" ref="A6311">IF(INDEX(CUEs!$A:$A,INT((ROW()-1)/7)*57+MOD(ROW()-1,7)+50)&lt;&gt;"","set "&amp;INDEX(CUEs!$A:$A,INT((ROW()-1)/7)*57+MOD(ROW()-1,7)+50)&amp;"=/ s "&amp;INDEX(CUEs!$B:$B,INT((ROW()-1)/7)*57+MOD(ROW()-1,7)+50),"")</f>
        <v/>
      </c>
    </row>
    <row r="6312" spans="1:1" x14ac:dyDescent="0.25">
      <c r="A6312" t="str" cm="1">
        <f t="array" ref="A6312">IF(INDEX(CUEs!$A:$A,INT((ROW()-1)/7)*57+MOD(ROW()-1,7)+50)&lt;&gt;"","set "&amp;INDEX(CUEs!$A:$A,INT((ROW()-1)/7)*57+MOD(ROW()-1,7)+50)&amp;"=/ s "&amp;INDEX(CUEs!$B:$B,INT((ROW()-1)/7)*57+MOD(ROW()-1,7)+50),"")</f>
        <v/>
      </c>
    </row>
    <row r="6313" spans="1:1" x14ac:dyDescent="0.25">
      <c r="A6313" t="str" cm="1">
        <f t="array" ref="A6313">IF(INDEX(CUEs!$A:$A,INT((ROW()-1)/7)*57+MOD(ROW()-1,7)+50)&lt;&gt;"","set "&amp;INDEX(CUEs!$A:$A,INT((ROW()-1)/7)*57+MOD(ROW()-1,7)+50)&amp;"=/ s "&amp;INDEX(CUEs!$B:$B,INT((ROW()-1)/7)*57+MOD(ROW()-1,7)+50),"")</f>
        <v/>
      </c>
    </row>
    <row r="6314" spans="1:1" x14ac:dyDescent="0.25">
      <c r="A6314" t="str" cm="1">
        <f t="array" ref="A6314">IF(INDEX(CUEs!$A:$A,INT((ROW()-1)/7)*57+MOD(ROW()-1,7)+50)&lt;&gt;"","set "&amp;INDEX(CUEs!$A:$A,INT((ROW()-1)/7)*57+MOD(ROW()-1,7)+50)&amp;"=/ s "&amp;INDEX(CUEs!$B:$B,INT((ROW()-1)/7)*57+MOD(ROW()-1,7)+50),"")</f>
        <v/>
      </c>
    </row>
    <row r="6315" spans="1:1" x14ac:dyDescent="0.25">
      <c r="A6315" t="str" cm="1">
        <f t="array" ref="A6315">IF(INDEX(CUEs!$A:$A,INT((ROW()-1)/7)*57+MOD(ROW()-1,7)+50)&lt;&gt;"","set "&amp;INDEX(CUEs!$A:$A,INT((ROW()-1)/7)*57+MOD(ROW()-1,7)+50)&amp;"=/ s "&amp;INDEX(CUEs!$B:$B,INT((ROW()-1)/7)*57+MOD(ROW()-1,7)+50),"")</f>
        <v/>
      </c>
    </row>
    <row r="6316" spans="1:1" x14ac:dyDescent="0.25">
      <c r="A6316" t="str" cm="1">
        <f t="array" ref="A6316">IF(INDEX(CUEs!$A:$A,INT((ROW()-1)/7)*57+MOD(ROW()-1,7)+50)&lt;&gt;"","set "&amp;INDEX(CUEs!$A:$A,INT((ROW()-1)/7)*57+MOD(ROW()-1,7)+50)&amp;"=/ s "&amp;INDEX(CUEs!$B:$B,INT((ROW()-1)/7)*57+MOD(ROW()-1,7)+50),"")</f>
        <v/>
      </c>
    </row>
    <row r="6317" spans="1:1" x14ac:dyDescent="0.25">
      <c r="A6317" t="str" cm="1">
        <f t="array" ref="A6317">IF(INDEX(CUEs!$A:$A,INT((ROW()-1)/7)*57+MOD(ROW()-1,7)+50)&lt;&gt;"","set "&amp;INDEX(CUEs!$A:$A,INT((ROW()-1)/7)*57+MOD(ROW()-1,7)+50)&amp;"=/ s "&amp;INDEX(CUEs!$B:$B,INT((ROW()-1)/7)*57+MOD(ROW()-1,7)+50),"")</f>
        <v/>
      </c>
    </row>
    <row r="6318" spans="1:1" x14ac:dyDescent="0.25">
      <c r="A6318" t="str" cm="1">
        <f t="array" ref="A6318">IF(INDEX(CUEs!$A:$A,INT((ROW()-1)/7)*57+MOD(ROW()-1,7)+50)&lt;&gt;"","set "&amp;INDEX(CUEs!$A:$A,INT((ROW()-1)/7)*57+MOD(ROW()-1,7)+50)&amp;"=/ s "&amp;INDEX(CUEs!$B:$B,INT((ROW()-1)/7)*57+MOD(ROW()-1,7)+50),"")</f>
        <v/>
      </c>
    </row>
    <row r="6319" spans="1:1" x14ac:dyDescent="0.25">
      <c r="A6319" t="str" cm="1">
        <f t="array" ref="A6319">IF(INDEX(CUEs!$A:$A,INT((ROW()-1)/7)*57+MOD(ROW()-1,7)+50)&lt;&gt;"","set "&amp;INDEX(CUEs!$A:$A,INT((ROW()-1)/7)*57+MOD(ROW()-1,7)+50)&amp;"=/ s "&amp;INDEX(CUEs!$B:$B,INT((ROW()-1)/7)*57+MOD(ROW()-1,7)+50),"")</f>
        <v/>
      </c>
    </row>
    <row r="6320" spans="1:1" x14ac:dyDescent="0.25">
      <c r="A6320" t="str" cm="1">
        <f t="array" ref="A6320">IF(INDEX(CUEs!$A:$A,INT((ROW()-1)/7)*57+MOD(ROW()-1,7)+50)&lt;&gt;"","set "&amp;INDEX(CUEs!$A:$A,INT((ROW()-1)/7)*57+MOD(ROW()-1,7)+50)&amp;"=/ s "&amp;INDEX(CUEs!$B:$B,INT((ROW()-1)/7)*57+MOD(ROW()-1,7)+50),"")</f>
        <v/>
      </c>
    </row>
    <row r="6321" spans="1:1" x14ac:dyDescent="0.25">
      <c r="A6321" t="str" cm="1">
        <f t="array" ref="A6321">IF(INDEX(CUEs!$A:$A,INT((ROW()-1)/7)*57+MOD(ROW()-1,7)+50)&lt;&gt;"","set "&amp;INDEX(CUEs!$A:$A,INT((ROW()-1)/7)*57+MOD(ROW()-1,7)+50)&amp;"=/ s "&amp;INDEX(CUEs!$B:$B,INT((ROW()-1)/7)*57+MOD(ROW()-1,7)+50),"")</f>
        <v/>
      </c>
    </row>
    <row r="6322" spans="1:1" x14ac:dyDescent="0.25">
      <c r="A6322" t="str" cm="1">
        <f t="array" ref="A6322">IF(INDEX(CUEs!$A:$A,INT((ROW()-1)/7)*57+MOD(ROW()-1,7)+50)&lt;&gt;"","set "&amp;INDEX(CUEs!$A:$A,INT((ROW()-1)/7)*57+MOD(ROW()-1,7)+50)&amp;"=/ s "&amp;INDEX(CUEs!$B:$B,INT((ROW()-1)/7)*57+MOD(ROW()-1,7)+50),"")</f>
        <v/>
      </c>
    </row>
    <row r="6323" spans="1:1" x14ac:dyDescent="0.25">
      <c r="A6323" t="str" cm="1">
        <f t="array" ref="A6323">IF(INDEX(CUEs!$A:$A,INT((ROW()-1)/7)*57+MOD(ROW()-1,7)+50)&lt;&gt;"","set "&amp;INDEX(CUEs!$A:$A,INT((ROW()-1)/7)*57+MOD(ROW()-1,7)+50)&amp;"=/ s "&amp;INDEX(CUEs!$B:$B,INT((ROW()-1)/7)*57+MOD(ROW()-1,7)+50),"")</f>
        <v/>
      </c>
    </row>
    <row r="6324" spans="1:1" x14ac:dyDescent="0.25">
      <c r="A6324" t="str" cm="1">
        <f t="array" ref="A6324">IF(INDEX(CUEs!$A:$A,INT((ROW()-1)/7)*57+MOD(ROW()-1,7)+50)&lt;&gt;"","set "&amp;INDEX(CUEs!$A:$A,INT((ROW()-1)/7)*57+MOD(ROW()-1,7)+50)&amp;"=/ s "&amp;INDEX(CUEs!$B:$B,INT((ROW()-1)/7)*57+MOD(ROW()-1,7)+50),"")</f>
        <v/>
      </c>
    </row>
    <row r="6325" spans="1:1" x14ac:dyDescent="0.25">
      <c r="A6325" t="str" cm="1">
        <f t="array" ref="A6325">IF(INDEX(CUEs!$A:$A,INT((ROW()-1)/7)*57+MOD(ROW()-1,7)+50)&lt;&gt;"","set "&amp;INDEX(CUEs!$A:$A,INT((ROW()-1)/7)*57+MOD(ROW()-1,7)+50)&amp;"=/ s "&amp;INDEX(CUEs!$B:$B,INT((ROW()-1)/7)*57+MOD(ROW()-1,7)+50),"")</f>
        <v/>
      </c>
    </row>
    <row r="6326" spans="1:1" x14ac:dyDescent="0.25">
      <c r="A6326" t="str" cm="1">
        <f t="array" ref="A6326">IF(INDEX(CUEs!$A:$A,INT((ROW()-1)/7)*57+MOD(ROW()-1,7)+50)&lt;&gt;"","set "&amp;INDEX(CUEs!$A:$A,INT((ROW()-1)/7)*57+MOD(ROW()-1,7)+50)&amp;"=/ s "&amp;INDEX(CUEs!$B:$B,INT((ROW()-1)/7)*57+MOD(ROW()-1,7)+50),"")</f>
        <v/>
      </c>
    </row>
    <row r="6327" spans="1:1" x14ac:dyDescent="0.25">
      <c r="A6327" t="str" cm="1">
        <f t="array" ref="A6327">IF(INDEX(CUEs!$A:$A,INT((ROW()-1)/7)*57+MOD(ROW()-1,7)+50)&lt;&gt;"","set "&amp;INDEX(CUEs!$A:$A,INT((ROW()-1)/7)*57+MOD(ROW()-1,7)+50)&amp;"=/ s "&amp;INDEX(CUEs!$B:$B,INT((ROW()-1)/7)*57+MOD(ROW()-1,7)+50),"")</f>
        <v/>
      </c>
    </row>
    <row r="6328" spans="1:1" x14ac:dyDescent="0.25">
      <c r="A6328" t="str" cm="1">
        <f t="array" ref="A6328">IF(INDEX(CUEs!$A:$A,INT((ROW()-1)/7)*57+MOD(ROW()-1,7)+50)&lt;&gt;"","set "&amp;INDEX(CUEs!$A:$A,INT((ROW()-1)/7)*57+MOD(ROW()-1,7)+50)&amp;"=/ s "&amp;INDEX(CUEs!$B:$B,INT((ROW()-1)/7)*57+MOD(ROW()-1,7)+50),"")</f>
        <v/>
      </c>
    </row>
    <row r="6329" spans="1:1" x14ac:dyDescent="0.25">
      <c r="A6329" t="str" cm="1">
        <f t="array" ref="A6329">IF(INDEX(CUEs!$A:$A,INT((ROW()-1)/7)*57+MOD(ROW()-1,7)+50)&lt;&gt;"","set "&amp;INDEX(CUEs!$A:$A,INT((ROW()-1)/7)*57+MOD(ROW()-1,7)+50)&amp;"=/ s "&amp;INDEX(CUEs!$B:$B,INT((ROW()-1)/7)*57+MOD(ROW()-1,7)+50),"")</f>
        <v/>
      </c>
    </row>
    <row r="6330" spans="1:1" x14ac:dyDescent="0.25">
      <c r="A6330" t="str" cm="1">
        <f t="array" ref="A6330">IF(INDEX(CUEs!$A:$A,INT((ROW()-1)/7)*57+MOD(ROW()-1,7)+50)&lt;&gt;"","set "&amp;INDEX(CUEs!$A:$A,INT((ROW()-1)/7)*57+MOD(ROW()-1,7)+50)&amp;"=/ s "&amp;INDEX(CUEs!$B:$B,INT((ROW()-1)/7)*57+MOD(ROW()-1,7)+50),"")</f>
        <v/>
      </c>
    </row>
    <row r="6331" spans="1:1" x14ac:dyDescent="0.25">
      <c r="A6331" t="str" cm="1">
        <f t="array" ref="A6331">IF(INDEX(CUEs!$A:$A,INT((ROW()-1)/7)*57+MOD(ROW()-1,7)+50)&lt;&gt;"","set "&amp;INDEX(CUEs!$A:$A,INT((ROW()-1)/7)*57+MOD(ROW()-1,7)+50)&amp;"=/ s "&amp;INDEX(CUEs!$B:$B,INT((ROW()-1)/7)*57+MOD(ROW()-1,7)+50),"")</f>
        <v/>
      </c>
    </row>
    <row r="6332" spans="1:1" x14ac:dyDescent="0.25">
      <c r="A6332" t="str" cm="1">
        <f t="array" ref="A6332">IF(INDEX(CUEs!$A:$A,INT((ROW()-1)/7)*57+MOD(ROW()-1,7)+50)&lt;&gt;"","set "&amp;INDEX(CUEs!$A:$A,INT((ROW()-1)/7)*57+MOD(ROW()-1,7)+50)&amp;"=/ s "&amp;INDEX(CUEs!$B:$B,INT((ROW()-1)/7)*57+MOD(ROW()-1,7)+50),"")</f>
        <v/>
      </c>
    </row>
    <row r="6333" spans="1:1" x14ac:dyDescent="0.25">
      <c r="A6333" t="str" cm="1">
        <f t="array" ref="A6333">IF(INDEX(CUEs!$A:$A,INT((ROW()-1)/7)*57+MOD(ROW()-1,7)+50)&lt;&gt;"","set "&amp;INDEX(CUEs!$A:$A,INT((ROW()-1)/7)*57+MOD(ROW()-1,7)+50)&amp;"=/ s "&amp;INDEX(CUEs!$B:$B,INT((ROW()-1)/7)*57+MOD(ROW()-1,7)+50),"")</f>
        <v/>
      </c>
    </row>
    <row r="6334" spans="1:1" x14ac:dyDescent="0.25">
      <c r="A6334" t="str" cm="1">
        <f t="array" ref="A6334">IF(INDEX(CUEs!$A:$A,INT((ROW()-1)/7)*57+MOD(ROW()-1,7)+50)&lt;&gt;"","set "&amp;INDEX(CUEs!$A:$A,INT((ROW()-1)/7)*57+MOD(ROW()-1,7)+50)&amp;"=/ s "&amp;INDEX(CUEs!$B:$B,INT((ROW()-1)/7)*57+MOD(ROW()-1,7)+50),"")</f>
        <v/>
      </c>
    </row>
    <row r="6335" spans="1:1" x14ac:dyDescent="0.25">
      <c r="A6335" t="str" cm="1">
        <f t="array" ref="A6335">IF(INDEX(CUEs!$A:$A,INT((ROW()-1)/7)*57+MOD(ROW()-1,7)+50)&lt;&gt;"","set "&amp;INDEX(CUEs!$A:$A,INT((ROW()-1)/7)*57+MOD(ROW()-1,7)+50)&amp;"=/ s "&amp;INDEX(CUEs!$B:$B,INT((ROW()-1)/7)*57+MOD(ROW()-1,7)+50),"")</f>
        <v/>
      </c>
    </row>
    <row r="6336" spans="1:1" x14ac:dyDescent="0.25">
      <c r="A6336" t="str" cm="1">
        <f t="array" ref="A6336">IF(INDEX(CUEs!$A:$A,INT((ROW()-1)/7)*57+MOD(ROW()-1,7)+50)&lt;&gt;"","set "&amp;INDEX(CUEs!$A:$A,INT((ROW()-1)/7)*57+MOD(ROW()-1,7)+50)&amp;"=/ s "&amp;INDEX(CUEs!$B:$B,INT((ROW()-1)/7)*57+MOD(ROW()-1,7)+50),"")</f>
        <v/>
      </c>
    </row>
    <row r="6337" spans="1:1" x14ac:dyDescent="0.25">
      <c r="A6337" t="str" cm="1">
        <f t="array" ref="A6337">IF(INDEX(CUEs!$A:$A,INT((ROW()-1)/7)*57+MOD(ROW()-1,7)+50)&lt;&gt;"","set "&amp;INDEX(CUEs!$A:$A,INT((ROW()-1)/7)*57+MOD(ROW()-1,7)+50)&amp;"=/ s "&amp;INDEX(CUEs!$B:$B,INT((ROW()-1)/7)*57+MOD(ROW()-1,7)+50),"")</f>
        <v/>
      </c>
    </row>
    <row r="6338" spans="1:1" x14ac:dyDescent="0.25">
      <c r="A6338" t="str" cm="1">
        <f t="array" ref="A6338">IF(INDEX(CUEs!$A:$A,INT((ROW()-1)/7)*57+MOD(ROW()-1,7)+50)&lt;&gt;"","set "&amp;INDEX(CUEs!$A:$A,INT((ROW()-1)/7)*57+MOD(ROW()-1,7)+50)&amp;"=/ s "&amp;INDEX(CUEs!$B:$B,INT((ROW()-1)/7)*57+MOD(ROW()-1,7)+50),"")</f>
        <v/>
      </c>
    </row>
    <row r="6339" spans="1:1" x14ac:dyDescent="0.25">
      <c r="A6339" t="str" cm="1">
        <f t="array" ref="A6339">IF(INDEX(CUEs!$A:$A,INT((ROW()-1)/7)*57+MOD(ROW()-1,7)+50)&lt;&gt;"","set "&amp;INDEX(CUEs!$A:$A,INT((ROW()-1)/7)*57+MOD(ROW()-1,7)+50)&amp;"=/ s "&amp;INDEX(CUEs!$B:$B,INT((ROW()-1)/7)*57+MOD(ROW()-1,7)+50),"")</f>
        <v/>
      </c>
    </row>
    <row r="6340" spans="1:1" x14ac:dyDescent="0.25">
      <c r="A6340" t="str" cm="1">
        <f t="array" ref="A6340">IF(INDEX(CUEs!$A:$A,INT((ROW()-1)/7)*57+MOD(ROW()-1,7)+50)&lt;&gt;"","set "&amp;INDEX(CUEs!$A:$A,INT((ROW()-1)/7)*57+MOD(ROW()-1,7)+50)&amp;"=/ s "&amp;INDEX(CUEs!$B:$B,INT((ROW()-1)/7)*57+MOD(ROW()-1,7)+50),"")</f>
        <v/>
      </c>
    </row>
    <row r="6341" spans="1:1" x14ac:dyDescent="0.25">
      <c r="A6341" t="str" cm="1">
        <f t="array" ref="A6341">IF(INDEX(CUEs!$A:$A,INT((ROW()-1)/7)*57+MOD(ROW()-1,7)+50)&lt;&gt;"","set "&amp;INDEX(CUEs!$A:$A,INT((ROW()-1)/7)*57+MOD(ROW()-1,7)+50)&amp;"=/ s "&amp;INDEX(CUEs!$B:$B,INT((ROW()-1)/7)*57+MOD(ROW()-1,7)+50),"")</f>
        <v/>
      </c>
    </row>
    <row r="6342" spans="1:1" x14ac:dyDescent="0.25">
      <c r="A6342" t="str" cm="1">
        <f t="array" ref="A6342">IF(INDEX(CUEs!$A:$A,INT((ROW()-1)/7)*57+MOD(ROW()-1,7)+50)&lt;&gt;"","set "&amp;INDEX(CUEs!$A:$A,INT((ROW()-1)/7)*57+MOD(ROW()-1,7)+50)&amp;"=/ s "&amp;INDEX(CUEs!$B:$B,INT((ROW()-1)/7)*57+MOD(ROW()-1,7)+50),"")</f>
        <v/>
      </c>
    </row>
    <row r="6343" spans="1:1" x14ac:dyDescent="0.25">
      <c r="A6343" t="str" cm="1">
        <f t="array" ref="A6343">IF(INDEX(CUEs!$A:$A,INT((ROW()-1)/7)*57+MOD(ROW()-1,7)+50)&lt;&gt;"","set "&amp;INDEX(CUEs!$A:$A,INT((ROW()-1)/7)*57+MOD(ROW()-1,7)+50)&amp;"=/ s "&amp;INDEX(CUEs!$B:$B,INT((ROW()-1)/7)*57+MOD(ROW()-1,7)+50),"")</f>
        <v/>
      </c>
    </row>
    <row r="6344" spans="1:1" x14ac:dyDescent="0.25">
      <c r="A6344" t="str" cm="1">
        <f t="array" ref="A6344">IF(INDEX(CUEs!$A:$A,INT((ROW()-1)/7)*57+MOD(ROW()-1,7)+50)&lt;&gt;"","set "&amp;INDEX(CUEs!$A:$A,INT((ROW()-1)/7)*57+MOD(ROW()-1,7)+50)&amp;"=/ s "&amp;INDEX(CUEs!$B:$B,INT((ROW()-1)/7)*57+MOD(ROW()-1,7)+50),"")</f>
        <v/>
      </c>
    </row>
    <row r="6345" spans="1:1" x14ac:dyDescent="0.25">
      <c r="A6345" t="str" cm="1">
        <f t="array" ref="A6345">IF(INDEX(CUEs!$A:$A,INT((ROW()-1)/7)*57+MOD(ROW()-1,7)+50)&lt;&gt;"","set "&amp;INDEX(CUEs!$A:$A,INT((ROW()-1)/7)*57+MOD(ROW()-1,7)+50)&amp;"=/ s "&amp;INDEX(CUEs!$B:$B,INT((ROW()-1)/7)*57+MOD(ROW()-1,7)+50),"")</f>
        <v/>
      </c>
    </row>
    <row r="6346" spans="1:1" x14ac:dyDescent="0.25">
      <c r="A6346" t="str" cm="1">
        <f t="array" ref="A6346">IF(INDEX(CUEs!$A:$A,INT((ROW()-1)/7)*57+MOD(ROW()-1,7)+50)&lt;&gt;"","set "&amp;INDEX(CUEs!$A:$A,INT((ROW()-1)/7)*57+MOD(ROW()-1,7)+50)&amp;"=/ s "&amp;INDEX(CUEs!$B:$B,INT((ROW()-1)/7)*57+MOD(ROW()-1,7)+50),"")</f>
        <v/>
      </c>
    </row>
    <row r="6347" spans="1:1" x14ac:dyDescent="0.25">
      <c r="A6347" t="str" cm="1">
        <f t="array" ref="A6347">IF(INDEX(CUEs!$A:$A,INT((ROW()-1)/7)*57+MOD(ROW()-1,7)+50)&lt;&gt;"","set "&amp;INDEX(CUEs!$A:$A,INT((ROW()-1)/7)*57+MOD(ROW()-1,7)+50)&amp;"=/ s "&amp;INDEX(CUEs!$B:$B,INT((ROW()-1)/7)*57+MOD(ROW()-1,7)+50),"")</f>
        <v/>
      </c>
    </row>
    <row r="6348" spans="1:1" x14ac:dyDescent="0.25">
      <c r="A6348" t="str" cm="1">
        <f t="array" ref="A6348">IF(INDEX(CUEs!$A:$A,INT((ROW()-1)/7)*57+MOD(ROW()-1,7)+50)&lt;&gt;"","set "&amp;INDEX(CUEs!$A:$A,INT((ROW()-1)/7)*57+MOD(ROW()-1,7)+50)&amp;"=/ s "&amp;INDEX(CUEs!$B:$B,INT((ROW()-1)/7)*57+MOD(ROW()-1,7)+50),"")</f>
        <v/>
      </c>
    </row>
    <row r="6349" spans="1:1" x14ac:dyDescent="0.25">
      <c r="A6349" t="str" cm="1">
        <f t="array" ref="A6349">IF(INDEX(CUEs!$A:$A,INT((ROW()-1)/7)*57+MOD(ROW()-1,7)+50)&lt;&gt;"","set "&amp;INDEX(CUEs!$A:$A,INT((ROW()-1)/7)*57+MOD(ROW()-1,7)+50)&amp;"=/ s "&amp;INDEX(CUEs!$B:$B,INT((ROW()-1)/7)*57+MOD(ROW()-1,7)+50),"")</f>
        <v/>
      </c>
    </row>
    <row r="6350" spans="1:1" x14ac:dyDescent="0.25">
      <c r="A6350" t="str" cm="1">
        <f t="array" ref="A6350">IF(INDEX(CUEs!$A:$A,INT((ROW()-1)/7)*57+MOD(ROW()-1,7)+50)&lt;&gt;"","set "&amp;INDEX(CUEs!$A:$A,INT((ROW()-1)/7)*57+MOD(ROW()-1,7)+50)&amp;"=/ s "&amp;INDEX(CUEs!$B:$B,INT((ROW()-1)/7)*57+MOD(ROW()-1,7)+50),"")</f>
        <v/>
      </c>
    </row>
    <row r="6351" spans="1:1" x14ac:dyDescent="0.25">
      <c r="A6351" t="str" cm="1">
        <f t="array" ref="A6351">IF(INDEX(CUEs!$A:$A,INT((ROW()-1)/7)*57+MOD(ROW()-1,7)+50)&lt;&gt;"","set "&amp;INDEX(CUEs!$A:$A,INT((ROW()-1)/7)*57+MOD(ROW()-1,7)+50)&amp;"=/ s "&amp;INDEX(CUEs!$B:$B,INT((ROW()-1)/7)*57+MOD(ROW()-1,7)+50),"")</f>
        <v/>
      </c>
    </row>
    <row r="6352" spans="1:1" x14ac:dyDescent="0.25">
      <c r="A6352" t="str" cm="1">
        <f t="array" ref="A6352">IF(INDEX(CUEs!$A:$A,INT((ROW()-1)/7)*57+MOD(ROW()-1,7)+50)&lt;&gt;"","set "&amp;INDEX(CUEs!$A:$A,INT((ROW()-1)/7)*57+MOD(ROW()-1,7)+50)&amp;"=/ s "&amp;INDEX(CUEs!$B:$B,INT((ROW()-1)/7)*57+MOD(ROW()-1,7)+50),"")</f>
        <v/>
      </c>
    </row>
    <row r="6353" spans="1:1" x14ac:dyDescent="0.25">
      <c r="A6353" t="str" cm="1">
        <f t="array" ref="A6353">IF(INDEX(CUEs!$A:$A,INT((ROW()-1)/7)*57+MOD(ROW()-1,7)+50)&lt;&gt;"","set "&amp;INDEX(CUEs!$A:$A,INT((ROW()-1)/7)*57+MOD(ROW()-1,7)+50)&amp;"=/ s "&amp;INDEX(CUEs!$B:$B,INT((ROW()-1)/7)*57+MOD(ROW()-1,7)+50),"")</f>
        <v/>
      </c>
    </row>
    <row r="6354" spans="1:1" x14ac:dyDescent="0.25">
      <c r="A6354" t="str" cm="1">
        <f t="array" ref="A6354">IF(INDEX(CUEs!$A:$A,INT((ROW()-1)/7)*57+MOD(ROW()-1,7)+50)&lt;&gt;"","set "&amp;INDEX(CUEs!$A:$A,INT((ROW()-1)/7)*57+MOD(ROW()-1,7)+50)&amp;"=/ s "&amp;INDEX(CUEs!$B:$B,INT((ROW()-1)/7)*57+MOD(ROW()-1,7)+50),"")</f>
        <v/>
      </c>
    </row>
    <row r="6355" spans="1:1" x14ac:dyDescent="0.25">
      <c r="A6355" t="str" cm="1">
        <f t="array" ref="A6355">IF(INDEX(CUEs!$A:$A,INT((ROW()-1)/7)*57+MOD(ROW()-1,7)+50)&lt;&gt;"","set "&amp;INDEX(CUEs!$A:$A,INT((ROW()-1)/7)*57+MOD(ROW()-1,7)+50)&amp;"=/ s "&amp;INDEX(CUEs!$B:$B,INT((ROW()-1)/7)*57+MOD(ROW()-1,7)+50),"")</f>
        <v/>
      </c>
    </row>
    <row r="6356" spans="1:1" x14ac:dyDescent="0.25">
      <c r="A6356" t="str" cm="1">
        <f t="array" ref="A6356">IF(INDEX(CUEs!$A:$A,INT((ROW()-1)/7)*57+MOD(ROW()-1,7)+50)&lt;&gt;"","set "&amp;INDEX(CUEs!$A:$A,INT((ROW()-1)/7)*57+MOD(ROW()-1,7)+50)&amp;"=/ s "&amp;INDEX(CUEs!$B:$B,INT((ROW()-1)/7)*57+MOD(ROW()-1,7)+50),"")</f>
        <v/>
      </c>
    </row>
    <row r="6357" spans="1:1" x14ac:dyDescent="0.25">
      <c r="A6357" t="str" cm="1">
        <f t="array" ref="A6357">IF(INDEX(CUEs!$A:$A,INT((ROW()-1)/7)*57+MOD(ROW()-1,7)+50)&lt;&gt;"","set "&amp;INDEX(CUEs!$A:$A,INT((ROW()-1)/7)*57+MOD(ROW()-1,7)+50)&amp;"=/ s "&amp;INDEX(CUEs!$B:$B,INT((ROW()-1)/7)*57+MOD(ROW()-1,7)+50),"")</f>
        <v/>
      </c>
    </row>
    <row r="6358" spans="1:1" x14ac:dyDescent="0.25">
      <c r="A6358" t="str" cm="1">
        <f t="array" ref="A6358">IF(INDEX(CUEs!$A:$A,INT((ROW()-1)/7)*57+MOD(ROW()-1,7)+50)&lt;&gt;"","set "&amp;INDEX(CUEs!$A:$A,INT((ROW()-1)/7)*57+MOD(ROW()-1,7)+50)&amp;"=/ s "&amp;INDEX(CUEs!$B:$B,INT((ROW()-1)/7)*57+MOD(ROW()-1,7)+50),"")</f>
        <v/>
      </c>
    </row>
    <row r="6359" spans="1:1" x14ac:dyDescent="0.25">
      <c r="A6359" t="str" cm="1">
        <f t="array" ref="A6359">IF(INDEX(CUEs!$A:$A,INT((ROW()-1)/7)*57+MOD(ROW()-1,7)+50)&lt;&gt;"","set "&amp;INDEX(CUEs!$A:$A,INT((ROW()-1)/7)*57+MOD(ROW()-1,7)+50)&amp;"=/ s "&amp;INDEX(CUEs!$B:$B,INT((ROW()-1)/7)*57+MOD(ROW()-1,7)+50),"")</f>
        <v/>
      </c>
    </row>
    <row r="6360" spans="1:1" x14ac:dyDescent="0.25">
      <c r="A6360" t="str" cm="1">
        <f t="array" ref="A6360">IF(INDEX(CUEs!$A:$A,INT((ROW()-1)/7)*57+MOD(ROW()-1,7)+50)&lt;&gt;"","set "&amp;INDEX(CUEs!$A:$A,INT((ROW()-1)/7)*57+MOD(ROW()-1,7)+50)&amp;"=/ s "&amp;INDEX(CUEs!$B:$B,INT((ROW()-1)/7)*57+MOD(ROW()-1,7)+50),"")</f>
        <v/>
      </c>
    </row>
    <row r="6361" spans="1:1" x14ac:dyDescent="0.25">
      <c r="A6361" t="str" cm="1">
        <f t="array" ref="A6361">IF(INDEX(CUEs!$A:$A,INT((ROW()-1)/7)*57+MOD(ROW()-1,7)+50)&lt;&gt;"","set "&amp;INDEX(CUEs!$A:$A,INT((ROW()-1)/7)*57+MOD(ROW()-1,7)+50)&amp;"=/ s "&amp;INDEX(CUEs!$B:$B,INT((ROW()-1)/7)*57+MOD(ROW()-1,7)+50),"")</f>
        <v/>
      </c>
    </row>
    <row r="6362" spans="1:1" x14ac:dyDescent="0.25">
      <c r="A6362" t="str" cm="1">
        <f t="array" ref="A6362">IF(INDEX(CUEs!$A:$A,INT((ROW()-1)/7)*57+MOD(ROW()-1,7)+50)&lt;&gt;"","set "&amp;INDEX(CUEs!$A:$A,INT((ROW()-1)/7)*57+MOD(ROW()-1,7)+50)&amp;"=/ s "&amp;INDEX(CUEs!$B:$B,INT((ROW()-1)/7)*57+MOD(ROW()-1,7)+50),"")</f>
        <v/>
      </c>
    </row>
    <row r="6363" spans="1:1" x14ac:dyDescent="0.25">
      <c r="A6363" t="str" cm="1">
        <f t="array" ref="A6363">IF(INDEX(CUEs!$A:$A,INT((ROW()-1)/7)*57+MOD(ROW()-1,7)+50)&lt;&gt;"","set "&amp;INDEX(CUEs!$A:$A,INT((ROW()-1)/7)*57+MOD(ROW()-1,7)+50)&amp;"=/ s "&amp;INDEX(CUEs!$B:$B,INT((ROW()-1)/7)*57+MOD(ROW()-1,7)+50),"")</f>
        <v/>
      </c>
    </row>
    <row r="6364" spans="1:1" x14ac:dyDescent="0.25">
      <c r="A6364" t="str" cm="1">
        <f t="array" ref="A6364">IF(INDEX(CUEs!$A:$A,INT((ROW()-1)/7)*57+MOD(ROW()-1,7)+50)&lt;&gt;"","set "&amp;INDEX(CUEs!$A:$A,INT((ROW()-1)/7)*57+MOD(ROW()-1,7)+50)&amp;"=/ s "&amp;INDEX(CUEs!$B:$B,INT((ROW()-1)/7)*57+MOD(ROW()-1,7)+50),"")</f>
        <v/>
      </c>
    </row>
    <row r="6365" spans="1:1" x14ac:dyDescent="0.25">
      <c r="A6365" t="str" cm="1">
        <f t="array" ref="A6365">IF(INDEX(CUEs!$A:$A,INT((ROW()-1)/7)*57+MOD(ROW()-1,7)+50)&lt;&gt;"","set "&amp;INDEX(CUEs!$A:$A,INT((ROW()-1)/7)*57+MOD(ROW()-1,7)+50)&amp;"=/ s "&amp;INDEX(CUEs!$B:$B,INT((ROW()-1)/7)*57+MOD(ROW()-1,7)+50),"")</f>
        <v/>
      </c>
    </row>
    <row r="6366" spans="1:1" x14ac:dyDescent="0.25">
      <c r="A6366" t="str" cm="1">
        <f t="array" ref="A6366">IF(INDEX(CUEs!$A:$A,INT((ROW()-1)/7)*57+MOD(ROW()-1,7)+50)&lt;&gt;"","set "&amp;INDEX(CUEs!$A:$A,INT((ROW()-1)/7)*57+MOD(ROW()-1,7)+50)&amp;"=/ s "&amp;INDEX(CUEs!$B:$B,INT((ROW()-1)/7)*57+MOD(ROW()-1,7)+50),"")</f>
        <v/>
      </c>
    </row>
    <row r="6367" spans="1:1" x14ac:dyDescent="0.25">
      <c r="A6367" t="str" cm="1">
        <f t="array" ref="A6367">IF(INDEX(CUEs!$A:$A,INT((ROW()-1)/7)*57+MOD(ROW()-1,7)+50)&lt;&gt;"","set "&amp;INDEX(CUEs!$A:$A,INT((ROW()-1)/7)*57+MOD(ROW()-1,7)+50)&amp;"=/ s "&amp;INDEX(CUEs!$B:$B,INT((ROW()-1)/7)*57+MOD(ROW()-1,7)+50),"")</f>
        <v/>
      </c>
    </row>
    <row r="6368" spans="1:1" x14ac:dyDescent="0.25">
      <c r="A6368" t="str" cm="1">
        <f t="array" ref="A6368">IF(INDEX(CUEs!$A:$A,INT((ROW()-1)/7)*57+MOD(ROW()-1,7)+50)&lt;&gt;"","set "&amp;INDEX(CUEs!$A:$A,INT((ROW()-1)/7)*57+MOD(ROW()-1,7)+50)&amp;"=/ s "&amp;INDEX(CUEs!$B:$B,INT((ROW()-1)/7)*57+MOD(ROW()-1,7)+50),"")</f>
        <v/>
      </c>
    </row>
    <row r="6369" spans="1:1" x14ac:dyDescent="0.25">
      <c r="A6369" t="str" cm="1">
        <f t="array" ref="A6369">IF(INDEX(CUEs!$A:$A,INT((ROW()-1)/7)*57+MOD(ROW()-1,7)+50)&lt;&gt;"","set "&amp;INDEX(CUEs!$A:$A,INT((ROW()-1)/7)*57+MOD(ROW()-1,7)+50)&amp;"=/ s "&amp;INDEX(CUEs!$B:$B,INT((ROW()-1)/7)*57+MOD(ROW()-1,7)+50),"")</f>
        <v/>
      </c>
    </row>
    <row r="6370" spans="1:1" x14ac:dyDescent="0.25">
      <c r="A6370" t="str" cm="1">
        <f t="array" ref="A6370">IF(INDEX(CUEs!$A:$A,INT((ROW()-1)/7)*57+MOD(ROW()-1,7)+50)&lt;&gt;"","set "&amp;INDEX(CUEs!$A:$A,INT((ROW()-1)/7)*57+MOD(ROW()-1,7)+50)&amp;"=/ s "&amp;INDEX(CUEs!$B:$B,INT((ROW()-1)/7)*57+MOD(ROW()-1,7)+50),"")</f>
        <v/>
      </c>
    </row>
    <row r="6371" spans="1:1" x14ac:dyDescent="0.25">
      <c r="A6371" t="str" cm="1">
        <f t="array" ref="A6371">IF(INDEX(CUEs!$A:$A,INT((ROW()-1)/7)*57+MOD(ROW()-1,7)+50)&lt;&gt;"","set "&amp;INDEX(CUEs!$A:$A,INT((ROW()-1)/7)*57+MOD(ROW()-1,7)+50)&amp;"=/ s "&amp;INDEX(CUEs!$B:$B,INT((ROW()-1)/7)*57+MOD(ROW()-1,7)+50),"")</f>
        <v/>
      </c>
    </row>
    <row r="6372" spans="1:1" x14ac:dyDescent="0.25">
      <c r="A6372" t="str" cm="1">
        <f t="array" ref="A6372">IF(INDEX(CUEs!$A:$A,INT((ROW()-1)/7)*57+MOD(ROW()-1,7)+50)&lt;&gt;"","set "&amp;INDEX(CUEs!$A:$A,INT((ROW()-1)/7)*57+MOD(ROW()-1,7)+50)&amp;"=/ s "&amp;INDEX(CUEs!$B:$B,INT((ROW()-1)/7)*57+MOD(ROW()-1,7)+50),"")</f>
        <v/>
      </c>
    </row>
    <row r="6373" spans="1:1" x14ac:dyDescent="0.25">
      <c r="A6373" t="str" cm="1">
        <f t="array" ref="A6373">IF(INDEX(CUEs!$A:$A,INT((ROW()-1)/7)*57+MOD(ROW()-1,7)+50)&lt;&gt;"","set "&amp;INDEX(CUEs!$A:$A,INT((ROW()-1)/7)*57+MOD(ROW()-1,7)+50)&amp;"=/ s "&amp;INDEX(CUEs!$B:$B,INT((ROW()-1)/7)*57+MOD(ROW()-1,7)+50),"")</f>
        <v/>
      </c>
    </row>
    <row r="6374" spans="1:1" x14ac:dyDescent="0.25">
      <c r="A6374" t="str" cm="1">
        <f t="array" ref="A6374">IF(INDEX(CUEs!$A:$A,INT((ROW()-1)/7)*57+MOD(ROW()-1,7)+50)&lt;&gt;"","set "&amp;INDEX(CUEs!$A:$A,INT((ROW()-1)/7)*57+MOD(ROW()-1,7)+50)&amp;"=/ s "&amp;INDEX(CUEs!$B:$B,INT((ROW()-1)/7)*57+MOD(ROW()-1,7)+50),"")</f>
        <v/>
      </c>
    </row>
    <row r="6375" spans="1:1" x14ac:dyDescent="0.25">
      <c r="A6375" t="str" cm="1">
        <f t="array" ref="A6375">IF(INDEX(CUEs!$A:$A,INT((ROW()-1)/7)*57+MOD(ROW()-1,7)+50)&lt;&gt;"","set "&amp;INDEX(CUEs!$A:$A,INT((ROW()-1)/7)*57+MOD(ROW()-1,7)+50)&amp;"=/ s "&amp;INDEX(CUEs!$B:$B,INT((ROW()-1)/7)*57+MOD(ROW()-1,7)+50),"")</f>
        <v/>
      </c>
    </row>
    <row r="6376" spans="1:1" x14ac:dyDescent="0.25">
      <c r="A6376" t="str" cm="1">
        <f t="array" ref="A6376">IF(INDEX(CUEs!$A:$A,INT((ROW()-1)/7)*57+MOD(ROW()-1,7)+50)&lt;&gt;"","set "&amp;INDEX(CUEs!$A:$A,INT((ROW()-1)/7)*57+MOD(ROW()-1,7)+50)&amp;"=/ s "&amp;INDEX(CUEs!$B:$B,INT((ROW()-1)/7)*57+MOD(ROW()-1,7)+50),"")</f>
        <v/>
      </c>
    </row>
    <row r="6377" spans="1:1" x14ac:dyDescent="0.25">
      <c r="A6377" t="str" cm="1">
        <f t="array" ref="A6377">IF(INDEX(CUEs!$A:$A,INT((ROW()-1)/7)*57+MOD(ROW()-1,7)+50)&lt;&gt;"","set "&amp;INDEX(CUEs!$A:$A,INT((ROW()-1)/7)*57+MOD(ROW()-1,7)+50)&amp;"=/ s "&amp;INDEX(CUEs!$B:$B,INT((ROW()-1)/7)*57+MOD(ROW()-1,7)+50),"")</f>
        <v/>
      </c>
    </row>
    <row r="6378" spans="1:1" x14ac:dyDescent="0.25">
      <c r="A6378" t="str" cm="1">
        <f t="array" ref="A6378">IF(INDEX(CUEs!$A:$A,INT((ROW()-1)/7)*57+MOD(ROW()-1,7)+50)&lt;&gt;"","set "&amp;INDEX(CUEs!$A:$A,INT((ROW()-1)/7)*57+MOD(ROW()-1,7)+50)&amp;"=/ s "&amp;INDEX(CUEs!$B:$B,INT((ROW()-1)/7)*57+MOD(ROW()-1,7)+50),"")</f>
        <v/>
      </c>
    </row>
    <row r="6379" spans="1:1" x14ac:dyDescent="0.25">
      <c r="A6379" t="str" cm="1">
        <f t="array" ref="A6379">IF(INDEX(CUEs!$A:$A,INT((ROW()-1)/7)*57+MOD(ROW()-1,7)+50)&lt;&gt;"","set "&amp;INDEX(CUEs!$A:$A,INT((ROW()-1)/7)*57+MOD(ROW()-1,7)+50)&amp;"=/ s "&amp;INDEX(CUEs!$B:$B,INT((ROW()-1)/7)*57+MOD(ROW()-1,7)+50),"")</f>
        <v/>
      </c>
    </row>
    <row r="6380" spans="1:1" x14ac:dyDescent="0.25">
      <c r="A6380" t="str" cm="1">
        <f t="array" ref="A6380">IF(INDEX(CUEs!$A:$A,INT((ROW()-1)/7)*57+MOD(ROW()-1,7)+50)&lt;&gt;"","set "&amp;INDEX(CUEs!$A:$A,INT((ROW()-1)/7)*57+MOD(ROW()-1,7)+50)&amp;"=/ s "&amp;INDEX(CUEs!$B:$B,INT((ROW()-1)/7)*57+MOD(ROW()-1,7)+50),"")</f>
        <v/>
      </c>
    </row>
    <row r="6381" spans="1:1" x14ac:dyDescent="0.25">
      <c r="A6381" t="str" cm="1">
        <f t="array" ref="A6381">IF(INDEX(CUEs!$A:$A,INT((ROW()-1)/7)*57+MOD(ROW()-1,7)+50)&lt;&gt;"","set "&amp;INDEX(CUEs!$A:$A,INT((ROW()-1)/7)*57+MOD(ROW()-1,7)+50)&amp;"=/ s "&amp;INDEX(CUEs!$B:$B,INT((ROW()-1)/7)*57+MOD(ROW()-1,7)+50),"")</f>
        <v/>
      </c>
    </row>
    <row r="6382" spans="1:1" x14ac:dyDescent="0.25">
      <c r="A6382" t="str" cm="1">
        <f t="array" ref="A6382">IF(INDEX(CUEs!$A:$A,INT((ROW()-1)/7)*57+MOD(ROW()-1,7)+50)&lt;&gt;"","set "&amp;INDEX(CUEs!$A:$A,INT((ROW()-1)/7)*57+MOD(ROW()-1,7)+50)&amp;"=/ s "&amp;INDEX(CUEs!$B:$B,INT((ROW()-1)/7)*57+MOD(ROW()-1,7)+50),"")</f>
        <v/>
      </c>
    </row>
    <row r="6383" spans="1:1" x14ac:dyDescent="0.25">
      <c r="A6383" t="str" cm="1">
        <f t="array" ref="A6383">IF(INDEX(CUEs!$A:$A,INT((ROW()-1)/7)*57+MOD(ROW()-1,7)+50)&lt;&gt;"","set "&amp;INDEX(CUEs!$A:$A,INT((ROW()-1)/7)*57+MOD(ROW()-1,7)+50)&amp;"=/ s "&amp;INDEX(CUEs!$B:$B,INT((ROW()-1)/7)*57+MOD(ROW()-1,7)+50),"")</f>
        <v/>
      </c>
    </row>
    <row r="6384" spans="1:1" x14ac:dyDescent="0.25">
      <c r="A6384" t="str" cm="1">
        <f t="array" ref="A6384">IF(INDEX(CUEs!$A:$A,INT((ROW()-1)/7)*57+MOD(ROW()-1,7)+50)&lt;&gt;"","set "&amp;INDEX(CUEs!$A:$A,INT((ROW()-1)/7)*57+MOD(ROW()-1,7)+50)&amp;"=/ s "&amp;INDEX(CUEs!$B:$B,INT((ROW()-1)/7)*57+MOD(ROW()-1,7)+50),"")</f>
        <v/>
      </c>
    </row>
    <row r="6385" spans="1:1" x14ac:dyDescent="0.25">
      <c r="A6385" t="str" cm="1">
        <f t="array" ref="A6385">IF(INDEX(CUEs!$A:$A,INT((ROW()-1)/7)*57+MOD(ROW()-1,7)+50)&lt;&gt;"","set "&amp;INDEX(CUEs!$A:$A,INT((ROW()-1)/7)*57+MOD(ROW()-1,7)+50)&amp;"=/ s "&amp;INDEX(CUEs!$B:$B,INT((ROW()-1)/7)*57+MOD(ROW()-1,7)+50),"")</f>
        <v/>
      </c>
    </row>
    <row r="6386" spans="1:1" x14ac:dyDescent="0.25">
      <c r="A6386" t="str" cm="1">
        <f t="array" ref="A6386">IF(INDEX(CUEs!$A:$A,INT((ROW()-1)/7)*57+MOD(ROW()-1,7)+50)&lt;&gt;"","set "&amp;INDEX(CUEs!$A:$A,INT((ROW()-1)/7)*57+MOD(ROW()-1,7)+50)&amp;"=/ s "&amp;INDEX(CUEs!$B:$B,INT((ROW()-1)/7)*57+MOD(ROW()-1,7)+50),"")</f>
        <v/>
      </c>
    </row>
    <row r="6387" spans="1:1" x14ac:dyDescent="0.25">
      <c r="A6387" t="str" cm="1">
        <f t="array" ref="A6387">IF(INDEX(CUEs!$A:$A,INT((ROW()-1)/7)*57+MOD(ROW()-1,7)+50)&lt;&gt;"","set "&amp;INDEX(CUEs!$A:$A,INT((ROW()-1)/7)*57+MOD(ROW()-1,7)+50)&amp;"=/ s "&amp;INDEX(CUEs!$B:$B,INT((ROW()-1)/7)*57+MOD(ROW()-1,7)+50),"")</f>
        <v/>
      </c>
    </row>
    <row r="6388" spans="1:1" x14ac:dyDescent="0.25">
      <c r="A6388" t="str" cm="1">
        <f t="array" ref="A6388">IF(INDEX(CUEs!$A:$A,INT((ROW()-1)/7)*57+MOD(ROW()-1,7)+50)&lt;&gt;"","set "&amp;INDEX(CUEs!$A:$A,INT((ROW()-1)/7)*57+MOD(ROW()-1,7)+50)&amp;"=/ s "&amp;INDEX(CUEs!$B:$B,INT((ROW()-1)/7)*57+MOD(ROW()-1,7)+50),"")</f>
        <v/>
      </c>
    </row>
    <row r="6389" spans="1:1" x14ac:dyDescent="0.25">
      <c r="A6389" t="str" cm="1">
        <f t="array" ref="A6389">IF(INDEX(CUEs!$A:$A,INT((ROW()-1)/7)*57+MOD(ROW()-1,7)+50)&lt;&gt;"","set "&amp;INDEX(CUEs!$A:$A,INT((ROW()-1)/7)*57+MOD(ROW()-1,7)+50)&amp;"=/ s "&amp;INDEX(CUEs!$B:$B,INT((ROW()-1)/7)*57+MOD(ROW()-1,7)+50),"")</f>
        <v/>
      </c>
    </row>
    <row r="6390" spans="1:1" x14ac:dyDescent="0.25">
      <c r="A6390" t="str" cm="1">
        <f t="array" ref="A6390">IF(INDEX(CUEs!$A:$A,INT((ROW()-1)/7)*57+MOD(ROW()-1,7)+50)&lt;&gt;"","set "&amp;INDEX(CUEs!$A:$A,INT((ROW()-1)/7)*57+MOD(ROW()-1,7)+50)&amp;"=/ s "&amp;INDEX(CUEs!$B:$B,INT((ROW()-1)/7)*57+MOD(ROW()-1,7)+50),"")</f>
        <v/>
      </c>
    </row>
    <row r="6391" spans="1:1" x14ac:dyDescent="0.25">
      <c r="A6391" t="str" cm="1">
        <f t="array" ref="A6391">IF(INDEX(CUEs!$A:$A,INT((ROW()-1)/7)*57+MOD(ROW()-1,7)+50)&lt;&gt;"","set "&amp;INDEX(CUEs!$A:$A,INT((ROW()-1)/7)*57+MOD(ROW()-1,7)+50)&amp;"=/ s "&amp;INDEX(CUEs!$B:$B,INT((ROW()-1)/7)*57+MOD(ROW()-1,7)+50),"")</f>
        <v/>
      </c>
    </row>
    <row r="6392" spans="1:1" x14ac:dyDescent="0.25">
      <c r="A6392" t="str" cm="1">
        <f t="array" ref="A6392">IF(INDEX(CUEs!$A:$A,INT((ROW()-1)/7)*57+MOD(ROW()-1,7)+50)&lt;&gt;"","set "&amp;INDEX(CUEs!$A:$A,INT((ROW()-1)/7)*57+MOD(ROW()-1,7)+50)&amp;"=/ s "&amp;INDEX(CUEs!$B:$B,INT((ROW()-1)/7)*57+MOD(ROW()-1,7)+50),"")</f>
        <v/>
      </c>
    </row>
    <row r="6393" spans="1:1" x14ac:dyDescent="0.25">
      <c r="A6393" t="str" cm="1">
        <f t="array" ref="A6393">IF(INDEX(CUEs!$A:$A,INT((ROW()-1)/7)*57+MOD(ROW()-1,7)+50)&lt;&gt;"","set "&amp;INDEX(CUEs!$A:$A,INT((ROW()-1)/7)*57+MOD(ROW()-1,7)+50)&amp;"=/ s "&amp;INDEX(CUEs!$B:$B,INT((ROW()-1)/7)*57+MOD(ROW()-1,7)+50),"")</f>
        <v/>
      </c>
    </row>
    <row r="6394" spans="1:1" x14ac:dyDescent="0.25">
      <c r="A6394" t="str" cm="1">
        <f t="array" ref="A6394">IF(INDEX(CUEs!$A:$A,INT((ROW()-1)/7)*57+MOD(ROW()-1,7)+50)&lt;&gt;"","set "&amp;INDEX(CUEs!$A:$A,INT((ROW()-1)/7)*57+MOD(ROW()-1,7)+50)&amp;"=/ s "&amp;INDEX(CUEs!$B:$B,INT((ROW()-1)/7)*57+MOD(ROW()-1,7)+50),"")</f>
        <v/>
      </c>
    </row>
    <row r="6395" spans="1:1" x14ac:dyDescent="0.25">
      <c r="A6395" t="str" cm="1">
        <f t="array" ref="A6395">IF(INDEX(CUEs!$A:$A,INT((ROW()-1)/7)*57+MOD(ROW()-1,7)+50)&lt;&gt;"","set "&amp;INDEX(CUEs!$A:$A,INT((ROW()-1)/7)*57+MOD(ROW()-1,7)+50)&amp;"=/ s "&amp;INDEX(CUEs!$B:$B,INT((ROW()-1)/7)*57+MOD(ROW()-1,7)+50),"")</f>
        <v/>
      </c>
    </row>
    <row r="6396" spans="1:1" x14ac:dyDescent="0.25">
      <c r="A6396" t="str" cm="1">
        <f t="array" ref="A6396">IF(INDEX(CUEs!$A:$A,INT((ROW()-1)/7)*57+MOD(ROW()-1,7)+50)&lt;&gt;"","set "&amp;INDEX(CUEs!$A:$A,INT((ROW()-1)/7)*57+MOD(ROW()-1,7)+50)&amp;"=/ s "&amp;INDEX(CUEs!$B:$B,INT((ROW()-1)/7)*57+MOD(ROW()-1,7)+50),"")</f>
        <v/>
      </c>
    </row>
    <row r="6397" spans="1:1" x14ac:dyDescent="0.25">
      <c r="A6397" t="str" cm="1">
        <f t="array" ref="A6397">IF(INDEX(CUEs!$A:$A,INT((ROW()-1)/7)*57+MOD(ROW()-1,7)+50)&lt;&gt;"","set "&amp;INDEX(CUEs!$A:$A,INT((ROW()-1)/7)*57+MOD(ROW()-1,7)+50)&amp;"=/ s "&amp;INDEX(CUEs!$B:$B,INT((ROW()-1)/7)*57+MOD(ROW()-1,7)+50),"")</f>
        <v/>
      </c>
    </row>
    <row r="6398" spans="1:1" x14ac:dyDescent="0.25">
      <c r="A6398" t="str" cm="1">
        <f t="array" ref="A6398">IF(INDEX(CUEs!$A:$A,INT((ROW()-1)/7)*57+MOD(ROW()-1,7)+50)&lt;&gt;"","set "&amp;INDEX(CUEs!$A:$A,INT((ROW()-1)/7)*57+MOD(ROW()-1,7)+50)&amp;"=/ s "&amp;INDEX(CUEs!$B:$B,INT((ROW()-1)/7)*57+MOD(ROW()-1,7)+50),"")</f>
        <v/>
      </c>
    </row>
    <row r="6399" spans="1:1" x14ac:dyDescent="0.25">
      <c r="A6399" t="str" cm="1">
        <f t="array" ref="A6399">IF(INDEX(CUEs!$A:$A,INT((ROW()-1)/7)*57+MOD(ROW()-1,7)+50)&lt;&gt;"","set "&amp;INDEX(CUEs!$A:$A,INT((ROW()-1)/7)*57+MOD(ROW()-1,7)+50)&amp;"=/ s "&amp;INDEX(CUEs!$B:$B,INT((ROW()-1)/7)*57+MOD(ROW()-1,7)+50),"")</f>
        <v/>
      </c>
    </row>
    <row r="6400" spans="1:1" x14ac:dyDescent="0.25">
      <c r="A6400" t="str" cm="1">
        <f t="array" ref="A6400">IF(INDEX(CUEs!$A:$A,INT((ROW()-1)/7)*57+MOD(ROW()-1,7)+50)&lt;&gt;"","set "&amp;INDEX(CUEs!$A:$A,INT((ROW()-1)/7)*57+MOD(ROW()-1,7)+50)&amp;"=/ s "&amp;INDEX(CUEs!$B:$B,INT((ROW()-1)/7)*57+MOD(ROW()-1,7)+50),"")</f>
        <v/>
      </c>
    </row>
    <row r="6401" spans="1:1" x14ac:dyDescent="0.25">
      <c r="A6401" t="str" cm="1">
        <f t="array" ref="A6401">IF(INDEX(CUEs!$A:$A,INT((ROW()-1)/7)*57+MOD(ROW()-1,7)+50)&lt;&gt;"","set "&amp;INDEX(CUEs!$A:$A,INT((ROW()-1)/7)*57+MOD(ROW()-1,7)+50)&amp;"=/ s "&amp;INDEX(CUEs!$B:$B,INT((ROW()-1)/7)*57+MOD(ROW()-1,7)+50),"")</f>
        <v/>
      </c>
    </row>
    <row r="6402" spans="1:1" x14ac:dyDescent="0.25">
      <c r="A6402" t="str" cm="1">
        <f t="array" ref="A6402">IF(INDEX(CUEs!$A:$A,INT((ROW()-1)/7)*57+MOD(ROW()-1,7)+50)&lt;&gt;"","set "&amp;INDEX(CUEs!$A:$A,INT((ROW()-1)/7)*57+MOD(ROW()-1,7)+50)&amp;"=/ s "&amp;INDEX(CUEs!$B:$B,INT((ROW()-1)/7)*57+MOD(ROW()-1,7)+50),"")</f>
        <v/>
      </c>
    </row>
    <row r="6403" spans="1:1" x14ac:dyDescent="0.25">
      <c r="A6403" t="str" cm="1">
        <f t="array" ref="A6403">IF(INDEX(CUEs!$A:$A,INT((ROW()-1)/7)*57+MOD(ROW()-1,7)+50)&lt;&gt;"","set "&amp;INDEX(CUEs!$A:$A,INT((ROW()-1)/7)*57+MOD(ROW()-1,7)+50)&amp;"=/ s "&amp;INDEX(CUEs!$B:$B,INT((ROW()-1)/7)*57+MOD(ROW()-1,7)+50),"")</f>
        <v/>
      </c>
    </row>
    <row r="6404" spans="1:1" x14ac:dyDescent="0.25">
      <c r="A6404" t="str" cm="1">
        <f t="array" ref="A6404">IF(INDEX(CUEs!$A:$A,INT((ROW()-1)/7)*57+MOD(ROW()-1,7)+50)&lt;&gt;"","set "&amp;INDEX(CUEs!$A:$A,INT((ROW()-1)/7)*57+MOD(ROW()-1,7)+50)&amp;"=/ s "&amp;INDEX(CUEs!$B:$B,INT((ROW()-1)/7)*57+MOD(ROW()-1,7)+50),"")</f>
        <v/>
      </c>
    </row>
    <row r="6405" spans="1:1" x14ac:dyDescent="0.25">
      <c r="A6405" t="str" cm="1">
        <f t="array" ref="A6405">IF(INDEX(CUEs!$A:$A,INT((ROW()-1)/7)*57+MOD(ROW()-1,7)+50)&lt;&gt;"","set "&amp;INDEX(CUEs!$A:$A,INT((ROW()-1)/7)*57+MOD(ROW()-1,7)+50)&amp;"=/ s "&amp;INDEX(CUEs!$B:$B,INT((ROW()-1)/7)*57+MOD(ROW()-1,7)+50),"")</f>
        <v/>
      </c>
    </row>
    <row r="6406" spans="1:1" x14ac:dyDescent="0.25">
      <c r="A6406" t="str" cm="1">
        <f t="array" ref="A6406">IF(INDEX(CUEs!$A:$A,INT((ROW()-1)/7)*57+MOD(ROW()-1,7)+50)&lt;&gt;"","set "&amp;INDEX(CUEs!$A:$A,INT((ROW()-1)/7)*57+MOD(ROW()-1,7)+50)&amp;"=/ s "&amp;INDEX(CUEs!$B:$B,INT((ROW()-1)/7)*57+MOD(ROW()-1,7)+50),"")</f>
        <v/>
      </c>
    </row>
    <row r="6407" spans="1:1" x14ac:dyDescent="0.25">
      <c r="A6407" t="str" cm="1">
        <f t="array" ref="A6407">IF(INDEX(CUEs!$A:$A,INT((ROW()-1)/7)*57+MOD(ROW()-1,7)+50)&lt;&gt;"","set "&amp;INDEX(CUEs!$A:$A,INT((ROW()-1)/7)*57+MOD(ROW()-1,7)+50)&amp;"=/ s "&amp;INDEX(CUEs!$B:$B,INT((ROW()-1)/7)*57+MOD(ROW()-1,7)+50),"")</f>
        <v/>
      </c>
    </row>
    <row r="6408" spans="1:1" x14ac:dyDescent="0.25">
      <c r="A6408" t="str" cm="1">
        <f t="array" ref="A6408">IF(INDEX(CUEs!$A:$A,INT((ROW()-1)/7)*57+MOD(ROW()-1,7)+50)&lt;&gt;"","set "&amp;INDEX(CUEs!$A:$A,INT((ROW()-1)/7)*57+MOD(ROW()-1,7)+50)&amp;"=/ s "&amp;INDEX(CUEs!$B:$B,INT((ROW()-1)/7)*57+MOD(ROW()-1,7)+50),"")</f>
        <v/>
      </c>
    </row>
    <row r="6409" spans="1:1" x14ac:dyDescent="0.25">
      <c r="A6409" t="str" cm="1">
        <f t="array" ref="A6409">IF(INDEX(CUEs!$A:$A,INT((ROW()-1)/7)*57+MOD(ROW()-1,7)+50)&lt;&gt;"","set "&amp;INDEX(CUEs!$A:$A,INT((ROW()-1)/7)*57+MOD(ROW()-1,7)+50)&amp;"=/ s "&amp;INDEX(CUEs!$B:$B,INT((ROW()-1)/7)*57+MOD(ROW()-1,7)+50),"")</f>
        <v/>
      </c>
    </row>
    <row r="6410" spans="1:1" x14ac:dyDescent="0.25">
      <c r="A6410" t="str" cm="1">
        <f t="array" ref="A6410">IF(INDEX(CUEs!$A:$A,INT((ROW()-1)/7)*57+MOD(ROW()-1,7)+50)&lt;&gt;"","set "&amp;INDEX(CUEs!$A:$A,INT((ROW()-1)/7)*57+MOD(ROW()-1,7)+50)&amp;"=/ s "&amp;INDEX(CUEs!$B:$B,INT((ROW()-1)/7)*57+MOD(ROW()-1,7)+50),"")</f>
        <v/>
      </c>
    </row>
    <row r="6411" spans="1:1" x14ac:dyDescent="0.25">
      <c r="A6411" t="str" cm="1">
        <f t="array" ref="A6411">IF(INDEX(CUEs!$A:$A,INT((ROW()-1)/7)*57+MOD(ROW()-1,7)+50)&lt;&gt;"","set "&amp;INDEX(CUEs!$A:$A,INT((ROW()-1)/7)*57+MOD(ROW()-1,7)+50)&amp;"=/ s "&amp;INDEX(CUEs!$B:$B,INT((ROW()-1)/7)*57+MOD(ROW()-1,7)+50),"")</f>
        <v/>
      </c>
    </row>
    <row r="6412" spans="1:1" x14ac:dyDescent="0.25">
      <c r="A6412" t="str" cm="1">
        <f t="array" ref="A6412">IF(INDEX(CUEs!$A:$A,INT((ROW()-1)/7)*57+MOD(ROW()-1,7)+50)&lt;&gt;"","set "&amp;INDEX(CUEs!$A:$A,INT((ROW()-1)/7)*57+MOD(ROW()-1,7)+50)&amp;"=/ s "&amp;INDEX(CUEs!$B:$B,INT((ROW()-1)/7)*57+MOD(ROW()-1,7)+50),"")</f>
        <v/>
      </c>
    </row>
    <row r="6413" spans="1:1" x14ac:dyDescent="0.25">
      <c r="A6413" t="str" cm="1">
        <f t="array" ref="A6413">IF(INDEX(CUEs!$A:$A,INT((ROW()-1)/7)*57+MOD(ROW()-1,7)+50)&lt;&gt;"","set "&amp;INDEX(CUEs!$A:$A,INT((ROW()-1)/7)*57+MOD(ROW()-1,7)+50)&amp;"=/ s "&amp;INDEX(CUEs!$B:$B,INT((ROW()-1)/7)*57+MOD(ROW()-1,7)+50),"")</f>
        <v/>
      </c>
    </row>
    <row r="6414" spans="1:1" x14ac:dyDescent="0.25">
      <c r="A6414" t="str" cm="1">
        <f t="array" ref="A6414">IF(INDEX(CUEs!$A:$A,INT((ROW()-1)/7)*57+MOD(ROW()-1,7)+50)&lt;&gt;"","set "&amp;INDEX(CUEs!$A:$A,INT((ROW()-1)/7)*57+MOD(ROW()-1,7)+50)&amp;"=/ s "&amp;INDEX(CUEs!$B:$B,INT((ROW()-1)/7)*57+MOD(ROW()-1,7)+50),"")</f>
        <v/>
      </c>
    </row>
    <row r="6415" spans="1:1" x14ac:dyDescent="0.25">
      <c r="A6415" t="str" cm="1">
        <f t="array" ref="A6415">IF(INDEX(CUEs!$A:$A,INT((ROW()-1)/7)*57+MOD(ROW()-1,7)+50)&lt;&gt;"","set "&amp;INDEX(CUEs!$A:$A,INT((ROW()-1)/7)*57+MOD(ROW()-1,7)+50)&amp;"=/ s "&amp;INDEX(CUEs!$B:$B,INT((ROW()-1)/7)*57+MOD(ROW()-1,7)+50),"")</f>
        <v/>
      </c>
    </row>
    <row r="6416" spans="1:1" x14ac:dyDescent="0.25">
      <c r="A6416" t="str" cm="1">
        <f t="array" ref="A6416">IF(INDEX(CUEs!$A:$A,INT((ROW()-1)/7)*57+MOD(ROW()-1,7)+50)&lt;&gt;"","set "&amp;INDEX(CUEs!$A:$A,INT((ROW()-1)/7)*57+MOD(ROW()-1,7)+50)&amp;"=/ s "&amp;INDEX(CUEs!$B:$B,INT((ROW()-1)/7)*57+MOD(ROW()-1,7)+50),"")</f>
        <v/>
      </c>
    </row>
    <row r="6417" spans="1:1" x14ac:dyDescent="0.25">
      <c r="A6417" t="str" cm="1">
        <f t="array" ref="A6417">IF(INDEX(CUEs!$A:$A,INT((ROW()-1)/7)*57+MOD(ROW()-1,7)+50)&lt;&gt;"","set "&amp;INDEX(CUEs!$A:$A,INT((ROW()-1)/7)*57+MOD(ROW()-1,7)+50)&amp;"=/ s "&amp;INDEX(CUEs!$B:$B,INT((ROW()-1)/7)*57+MOD(ROW()-1,7)+50),"")</f>
        <v/>
      </c>
    </row>
    <row r="6418" spans="1:1" x14ac:dyDescent="0.25">
      <c r="A6418" t="str" cm="1">
        <f t="array" ref="A6418">IF(INDEX(CUEs!$A:$A,INT((ROW()-1)/7)*57+MOD(ROW()-1,7)+50)&lt;&gt;"","set "&amp;INDEX(CUEs!$A:$A,INT((ROW()-1)/7)*57+MOD(ROW()-1,7)+50)&amp;"=/ s "&amp;INDEX(CUEs!$B:$B,INT((ROW()-1)/7)*57+MOD(ROW()-1,7)+50),"")</f>
        <v/>
      </c>
    </row>
    <row r="6419" spans="1:1" x14ac:dyDescent="0.25">
      <c r="A6419" t="str" cm="1">
        <f t="array" ref="A6419">IF(INDEX(CUEs!$A:$A,INT((ROW()-1)/7)*57+MOD(ROW()-1,7)+50)&lt;&gt;"","set "&amp;INDEX(CUEs!$A:$A,INT((ROW()-1)/7)*57+MOD(ROW()-1,7)+50)&amp;"=/ s "&amp;INDEX(CUEs!$B:$B,INT((ROW()-1)/7)*57+MOD(ROW()-1,7)+50),"")</f>
        <v/>
      </c>
    </row>
    <row r="6420" spans="1:1" x14ac:dyDescent="0.25">
      <c r="A6420" t="str" cm="1">
        <f t="array" ref="A6420">IF(INDEX(CUEs!$A:$A,INT((ROW()-1)/7)*57+MOD(ROW()-1,7)+50)&lt;&gt;"","set "&amp;INDEX(CUEs!$A:$A,INT((ROW()-1)/7)*57+MOD(ROW()-1,7)+50)&amp;"=/ s "&amp;INDEX(CUEs!$B:$B,INT((ROW()-1)/7)*57+MOD(ROW()-1,7)+50),"")</f>
        <v/>
      </c>
    </row>
    <row r="6421" spans="1:1" x14ac:dyDescent="0.25">
      <c r="A6421" t="str" cm="1">
        <f t="array" ref="A6421">IF(INDEX(CUEs!$A:$A,INT((ROW()-1)/7)*57+MOD(ROW()-1,7)+50)&lt;&gt;"","set "&amp;INDEX(CUEs!$A:$A,INT((ROW()-1)/7)*57+MOD(ROW()-1,7)+50)&amp;"=/ s "&amp;INDEX(CUEs!$B:$B,INT((ROW()-1)/7)*57+MOD(ROW()-1,7)+50),"")</f>
        <v/>
      </c>
    </row>
    <row r="6422" spans="1:1" x14ac:dyDescent="0.25">
      <c r="A6422" t="str" cm="1">
        <f t="array" ref="A6422">IF(INDEX(CUEs!$A:$A,INT((ROW()-1)/7)*57+MOD(ROW()-1,7)+50)&lt;&gt;"","set "&amp;INDEX(CUEs!$A:$A,INT((ROW()-1)/7)*57+MOD(ROW()-1,7)+50)&amp;"=/ s "&amp;INDEX(CUEs!$B:$B,INT((ROW()-1)/7)*57+MOD(ROW()-1,7)+50),"")</f>
        <v/>
      </c>
    </row>
    <row r="6423" spans="1:1" x14ac:dyDescent="0.25">
      <c r="A6423" t="str" cm="1">
        <f t="array" ref="A6423">IF(INDEX(CUEs!$A:$A,INT((ROW()-1)/7)*57+MOD(ROW()-1,7)+50)&lt;&gt;"","set "&amp;INDEX(CUEs!$A:$A,INT((ROW()-1)/7)*57+MOD(ROW()-1,7)+50)&amp;"=/ s "&amp;INDEX(CUEs!$B:$B,INT((ROW()-1)/7)*57+MOD(ROW()-1,7)+50),"")</f>
        <v/>
      </c>
    </row>
    <row r="6424" spans="1:1" x14ac:dyDescent="0.25">
      <c r="A6424" t="str" cm="1">
        <f t="array" ref="A6424">IF(INDEX(CUEs!$A:$A,INT((ROW()-1)/7)*57+MOD(ROW()-1,7)+50)&lt;&gt;"","set "&amp;INDEX(CUEs!$A:$A,INT((ROW()-1)/7)*57+MOD(ROW()-1,7)+50)&amp;"=/ s "&amp;INDEX(CUEs!$B:$B,INT((ROW()-1)/7)*57+MOD(ROW()-1,7)+50),"")</f>
        <v/>
      </c>
    </row>
    <row r="6425" spans="1:1" x14ac:dyDescent="0.25">
      <c r="A6425" t="str" cm="1">
        <f t="array" ref="A6425">IF(INDEX(CUEs!$A:$A,INT((ROW()-1)/7)*57+MOD(ROW()-1,7)+50)&lt;&gt;"","set "&amp;INDEX(CUEs!$A:$A,INT((ROW()-1)/7)*57+MOD(ROW()-1,7)+50)&amp;"=/ s "&amp;INDEX(CUEs!$B:$B,INT((ROW()-1)/7)*57+MOD(ROW()-1,7)+50),"")</f>
        <v/>
      </c>
    </row>
    <row r="6426" spans="1:1" x14ac:dyDescent="0.25">
      <c r="A6426" t="str" cm="1">
        <f t="array" ref="A6426">IF(INDEX(CUEs!$A:$A,INT((ROW()-1)/7)*57+MOD(ROW()-1,7)+50)&lt;&gt;"","set "&amp;INDEX(CUEs!$A:$A,INT((ROW()-1)/7)*57+MOD(ROW()-1,7)+50)&amp;"=/ s "&amp;INDEX(CUEs!$B:$B,INT((ROW()-1)/7)*57+MOD(ROW()-1,7)+50),"")</f>
        <v/>
      </c>
    </row>
    <row r="6427" spans="1:1" x14ac:dyDescent="0.25">
      <c r="A6427" t="str" cm="1">
        <f t="array" ref="A6427">IF(INDEX(CUEs!$A:$A,INT((ROW()-1)/7)*57+MOD(ROW()-1,7)+50)&lt;&gt;"","set "&amp;INDEX(CUEs!$A:$A,INT((ROW()-1)/7)*57+MOD(ROW()-1,7)+50)&amp;"=/ s "&amp;INDEX(CUEs!$B:$B,INT((ROW()-1)/7)*57+MOD(ROW()-1,7)+50),"")</f>
        <v/>
      </c>
    </row>
    <row r="6428" spans="1:1" x14ac:dyDescent="0.25">
      <c r="A6428" t="str" cm="1">
        <f t="array" ref="A6428">IF(INDEX(CUEs!$A:$A,INT((ROW()-1)/7)*57+MOD(ROW()-1,7)+50)&lt;&gt;"","set "&amp;INDEX(CUEs!$A:$A,INT((ROW()-1)/7)*57+MOD(ROW()-1,7)+50)&amp;"=/ s "&amp;INDEX(CUEs!$B:$B,INT((ROW()-1)/7)*57+MOD(ROW()-1,7)+50),"")</f>
        <v/>
      </c>
    </row>
    <row r="6429" spans="1:1" x14ac:dyDescent="0.25">
      <c r="A6429" t="str" cm="1">
        <f t="array" ref="A6429">IF(INDEX(CUEs!$A:$A,INT((ROW()-1)/7)*57+MOD(ROW()-1,7)+50)&lt;&gt;"","set "&amp;INDEX(CUEs!$A:$A,INT((ROW()-1)/7)*57+MOD(ROW()-1,7)+50)&amp;"=/ s "&amp;INDEX(CUEs!$B:$B,INT((ROW()-1)/7)*57+MOD(ROW()-1,7)+50),"")</f>
        <v/>
      </c>
    </row>
    <row r="6430" spans="1:1" x14ac:dyDescent="0.25">
      <c r="A6430" t="str" cm="1">
        <f t="array" ref="A6430">IF(INDEX(CUEs!$A:$A,INT((ROW()-1)/7)*57+MOD(ROW()-1,7)+50)&lt;&gt;"","set "&amp;INDEX(CUEs!$A:$A,INT((ROW()-1)/7)*57+MOD(ROW()-1,7)+50)&amp;"=/ s "&amp;INDEX(CUEs!$B:$B,INT((ROW()-1)/7)*57+MOD(ROW()-1,7)+50),"")</f>
        <v/>
      </c>
    </row>
    <row r="6431" spans="1:1" x14ac:dyDescent="0.25">
      <c r="A6431" t="str" cm="1">
        <f t="array" ref="A6431">IF(INDEX(CUEs!$A:$A,INT((ROW()-1)/7)*57+MOD(ROW()-1,7)+50)&lt;&gt;"","set "&amp;INDEX(CUEs!$A:$A,INT((ROW()-1)/7)*57+MOD(ROW()-1,7)+50)&amp;"=/ s "&amp;INDEX(CUEs!$B:$B,INT((ROW()-1)/7)*57+MOD(ROW()-1,7)+50),"")</f>
        <v/>
      </c>
    </row>
    <row r="6432" spans="1:1" x14ac:dyDescent="0.25">
      <c r="A6432" t="str" cm="1">
        <f t="array" ref="A6432">IF(INDEX(CUEs!$A:$A,INT((ROW()-1)/7)*57+MOD(ROW()-1,7)+50)&lt;&gt;"","set "&amp;INDEX(CUEs!$A:$A,INT((ROW()-1)/7)*57+MOD(ROW()-1,7)+50)&amp;"=/ s "&amp;INDEX(CUEs!$B:$B,INT((ROW()-1)/7)*57+MOD(ROW()-1,7)+50),"")</f>
        <v/>
      </c>
    </row>
    <row r="6433" spans="1:1" x14ac:dyDescent="0.25">
      <c r="A6433" t="str" cm="1">
        <f t="array" ref="A6433">IF(INDEX(CUEs!$A:$A,INT((ROW()-1)/7)*57+MOD(ROW()-1,7)+50)&lt;&gt;"","set "&amp;INDEX(CUEs!$A:$A,INT((ROW()-1)/7)*57+MOD(ROW()-1,7)+50)&amp;"=/ s "&amp;INDEX(CUEs!$B:$B,INT((ROW()-1)/7)*57+MOD(ROW()-1,7)+50),"")</f>
        <v/>
      </c>
    </row>
    <row r="6434" spans="1:1" x14ac:dyDescent="0.25">
      <c r="A6434" t="str" cm="1">
        <f t="array" ref="A6434">IF(INDEX(CUEs!$A:$A,INT((ROW()-1)/7)*57+MOD(ROW()-1,7)+50)&lt;&gt;"","set "&amp;INDEX(CUEs!$A:$A,INT((ROW()-1)/7)*57+MOD(ROW()-1,7)+50)&amp;"=/ s "&amp;INDEX(CUEs!$B:$B,INT((ROW()-1)/7)*57+MOD(ROW()-1,7)+50),"")</f>
        <v/>
      </c>
    </row>
    <row r="6435" spans="1:1" x14ac:dyDescent="0.25">
      <c r="A6435" t="str" cm="1">
        <f t="array" ref="A6435">IF(INDEX(CUEs!$A:$A,INT((ROW()-1)/7)*57+MOD(ROW()-1,7)+50)&lt;&gt;"","set "&amp;INDEX(CUEs!$A:$A,INT((ROW()-1)/7)*57+MOD(ROW()-1,7)+50)&amp;"=/ s "&amp;INDEX(CUEs!$B:$B,INT((ROW()-1)/7)*57+MOD(ROW()-1,7)+50),"")</f>
        <v/>
      </c>
    </row>
    <row r="6436" spans="1:1" x14ac:dyDescent="0.25">
      <c r="A6436" t="str" cm="1">
        <f t="array" ref="A6436">IF(INDEX(CUEs!$A:$A,INT((ROW()-1)/7)*57+MOD(ROW()-1,7)+50)&lt;&gt;"","set "&amp;INDEX(CUEs!$A:$A,INT((ROW()-1)/7)*57+MOD(ROW()-1,7)+50)&amp;"=/ s "&amp;INDEX(CUEs!$B:$B,INT((ROW()-1)/7)*57+MOD(ROW()-1,7)+50),"")</f>
        <v/>
      </c>
    </row>
    <row r="6437" spans="1:1" x14ac:dyDescent="0.25">
      <c r="A6437" t="str" cm="1">
        <f t="array" ref="A6437">IF(INDEX(CUEs!$A:$A,INT((ROW()-1)/7)*57+MOD(ROW()-1,7)+50)&lt;&gt;"","set "&amp;INDEX(CUEs!$A:$A,INT((ROW()-1)/7)*57+MOD(ROW()-1,7)+50)&amp;"=/ s "&amp;INDEX(CUEs!$B:$B,INT((ROW()-1)/7)*57+MOD(ROW()-1,7)+50),"")</f>
        <v/>
      </c>
    </row>
    <row r="6438" spans="1:1" x14ac:dyDescent="0.25">
      <c r="A6438" t="str" cm="1">
        <f t="array" ref="A6438">IF(INDEX(CUEs!$A:$A,INT((ROW()-1)/7)*57+MOD(ROW()-1,7)+50)&lt;&gt;"","set "&amp;INDEX(CUEs!$A:$A,INT((ROW()-1)/7)*57+MOD(ROW()-1,7)+50)&amp;"=/ s "&amp;INDEX(CUEs!$B:$B,INT((ROW()-1)/7)*57+MOD(ROW()-1,7)+50),"")</f>
        <v/>
      </c>
    </row>
    <row r="6439" spans="1:1" x14ac:dyDescent="0.25">
      <c r="A6439" t="str" cm="1">
        <f t="array" ref="A6439">IF(INDEX(CUEs!$A:$A,INT((ROW()-1)/7)*57+MOD(ROW()-1,7)+50)&lt;&gt;"","set "&amp;INDEX(CUEs!$A:$A,INT((ROW()-1)/7)*57+MOD(ROW()-1,7)+50)&amp;"=/ s "&amp;INDEX(CUEs!$B:$B,INT((ROW()-1)/7)*57+MOD(ROW()-1,7)+50),"")</f>
        <v/>
      </c>
    </row>
    <row r="6440" spans="1:1" x14ac:dyDescent="0.25">
      <c r="A6440" t="str" cm="1">
        <f t="array" ref="A6440">IF(INDEX(CUEs!$A:$A,INT((ROW()-1)/7)*57+MOD(ROW()-1,7)+50)&lt;&gt;"","set "&amp;INDEX(CUEs!$A:$A,INT((ROW()-1)/7)*57+MOD(ROW()-1,7)+50)&amp;"=/ s "&amp;INDEX(CUEs!$B:$B,INT((ROW()-1)/7)*57+MOD(ROW()-1,7)+50),"")</f>
        <v/>
      </c>
    </row>
    <row r="6441" spans="1:1" x14ac:dyDescent="0.25">
      <c r="A6441" t="str" cm="1">
        <f t="array" ref="A6441">IF(INDEX(CUEs!$A:$A,INT((ROW()-1)/7)*57+MOD(ROW()-1,7)+50)&lt;&gt;"","set "&amp;INDEX(CUEs!$A:$A,INT((ROW()-1)/7)*57+MOD(ROW()-1,7)+50)&amp;"=/ s "&amp;INDEX(CUEs!$B:$B,INT((ROW()-1)/7)*57+MOD(ROW()-1,7)+50),"")</f>
        <v/>
      </c>
    </row>
    <row r="6442" spans="1:1" x14ac:dyDescent="0.25">
      <c r="A6442" t="str" cm="1">
        <f t="array" ref="A6442">IF(INDEX(CUEs!$A:$A,INT((ROW()-1)/7)*57+MOD(ROW()-1,7)+50)&lt;&gt;"","set "&amp;INDEX(CUEs!$A:$A,INT((ROW()-1)/7)*57+MOD(ROW()-1,7)+50)&amp;"=/ s "&amp;INDEX(CUEs!$B:$B,INT((ROW()-1)/7)*57+MOD(ROW()-1,7)+50),"")</f>
        <v/>
      </c>
    </row>
    <row r="6443" spans="1:1" x14ac:dyDescent="0.25">
      <c r="A6443" t="str" cm="1">
        <f t="array" ref="A6443">IF(INDEX(CUEs!$A:$A,INT((ROW()-1)/7)*57+MOD(ROW()-1,7)+50)&lt;&gt;"","set "&amp;INDEX(CUEs!$A:$A,INT((ROW()-1)/7)*57+MOD(ROW()-1,7)+50)&amp;"=/ s "&amp;INDEX(CUEs!$B:$B,INT((ROW()-1)/7)*57+MOD(ROW()-1,7)+50),"")</f>
        <v/>
      </c>
    </row>
    <row r="6444" spans="1:1" x14ac:dyDescent="0.25">
      <c r="A6444" t="str" cm="1">
        <f t="array" ref="A6444">IF(INDEX(CUEs!$A:$A,INT((ROW()-1)/7)*57+MOD(ROW()-1,7)+50)&lt;&gt;"","set "&amp;INDEX(CUEs!$A:$A,INT((ROW()-1)/7)*57+MOD(ROW()-1,7)+50)&amp;"=/ s "&amp;INDEX(CUEs!$B:$B,INT((ROW()-1)/7)*57+MOD(ROW()-1,7)+50),"")</f>
        <v/>
      </c>
    </row>
    <row r="6445" spans="1:1" x14ac:dyDescent="0.25">
      <c r="A6445" t="str" cm="1">
        <f t="array" ref="A6445">IF(INDEX(CUEs!$A:$A,INT((ROW()-1)/7)*57+MOD(ROW()-1,7)+50)&lt;&gt;"","set "&amp;INDEX(CUEs!$A:$A,INT((ROW()-1)/7)*57+MOD(ROW()-1,7)+50)&amp;"=/ s "&amp;INDEX(CUEs!$B:$B,INT((ROW()-1)/7)*57+MOD(ROW()-1,7)+50),"")</f>
        <v/>
      </c>
    </row>
    <row r="6446" spans="1:1" x14ac:dyDescent="0.25">
      <c r="A6446" t="str" cm="1">
        <f t="array" ref="A6446">IF(INDEX(CUEs!$A:$A,INT((ROW()-1)/7)*57+MOD(ROW()-1,7)+50)&lt;&gt;"","set "&amp;INDEX(CUEs!$A:$A,INT((ROW()-1)/7)*57+MOD(ROW()-1,7)+50)&amp;"=/ s "&amp;INDEX(CUEs!$B:$B,INT((ROW()-1)/7)*57+MOD(ROW()-1,7)+50),"")</f>
        <v/>
      </c>
    </row>
    <row r="6447" spans="1:1" x14ac:dyDescent="0.25">
      <c r="A6447" t="str" cm="1">
        <f t="array" ref="A6447">IF(INDEX(CUEs!$A:$A,INT((ROW()-1)/7)*57+MOD(ROW()-1,7)+50)&lt;&gt;"","set "&amp;INDEX(CUEs!$A:$A,INT((ROW()-1)/7)*57+MOD(ROW()-1,7)+50)&amp;"=/ s "&amp;INDEX(CUEs!$B:$B,INT((ROW()-1)/7)*57+MOD(ROW()-1,7)+50),"")</f>
        <v/>
      </c>
    </row>
    <row r="6448" spans="1:1" x14ac:dyDescent="0.25">
      <c r="A6448" t="str" cm="1">
        <f t="array" ref="A6448">IF(INDEX(CUEs!$A:$A,INT((ROW()-1)/7)*57+MOD(ROW()-1,7)+50)&lt;&gt;"","set "&amp;INDEX(CUEs!$A:$A,INT((ROW()-1)/7)*57+MOD(ROW()-1,7)+50)&amp;"=/ s "&amp;INDEX(CUEs!$B:$B,INT((ROW()-1)/7)*57+MOD(ROW()-1,7)+50),"")</f>
        <v/>
      </c>
    </row>
    <row r="6449" spans="1:1" x14ac:dyDescent="0.25">
      <c r="A6449" t="str" cm="1">
        <f t="array" ref="A6449">IF(INDEX(CUEs!$A:$A,INT((ROW()-1)/7)*57+MOD(ROW()-1,7)+50)&lt;&gt;"","set "&amp;INDEX(CUEs!$A:$A,INT((ROW()-1)/7)*57+MOD(ROW()-1,7)+50)&amp;"=/ s "&amp;INDEX(CUEs!$B:$B,INT((ROW()-1)/7)*57+MOD(ROW()-1,7)+50),"")</f>
        <v/>
      </c>
    </row>
    <row r="6450" spans="1:1" x14ac:dyDescent="0.25">
      <c r="A6450" t="str" cm="1">
        <f t="array" ref="A6450">IF(INDEX(CUEs!$A:$A,INT((ROW()-1)/7)*57+MOD(ROW()-1,7)+50)&lt;&gt;"","set "&amp;INDEX(CUEs!$A:$A,INT((ROW()-1)/7)*57+MOD(ROW()-1,7)+50)&amp;"=/ s "&amp;INDEX(CUEs!$B:$B,INT((ROW()-1)/7)*57+MOD(ROW()-1,7)+50),"")</f>
        <v/>
      </c>
    </row>
    <row r="6451" spans="1:1" x14ac:dyDescent="0.25">
      <c r="A6451" t="str" cm="1">
        <f t="array" ref="A6451">IF(INDEX(CUEs!$A:$A,INT((ROW()-1)/7)*57+MOD(ROW()-1,7)+50)&lt;&gt;"","set "&amp;INDEX(CUEs!$A:$A,INT((ROW()-1)/7)*57+MOD(ROW()-1,7)+50)&amp;"=/ s "&amp;INDEX(CUEs!$B:$B,INT((ROW()-1)/7)*57+MOD(ROW()-1,7)+50),"")</f>
        <v/>
      </c>
    </row>
    <row r="6452" spans="1:1" x14ac:dyDescent="0.25">
      <c r="A6452" t="str" cm="1">
        <f t="array" ref="A6452">IF(INDEX(CUEs!$A:$A,INT((ROW()-1)/7)*57+MOD(ROW()-1,7)+50)&lt;&gt;"","set "&amp;INDEX(CUEs!$A:$A,INT((ROW()-1)/7)*57+MOD(ROW()-1,7)+50)&amp;"=/ s "&amp;INDEX(CUEs!$B:$B,INT((ROW()-1)/7)*57+MOD(ROW()-1,7)+50),"")</f>
        <v/>
      </c>
    </row>
    <row r="6453" spans="1:1" x14ac:dyDescent="0.25">
      <c r="A6453" t="str" cm="1">
        <f t="array" ref="A6453">IF(INDEX(CUEs!$A:$A,INT((ROW()-1)/7)*57+MOD(ROW()-1,7)+50)&lt;&gt;"","set "&amp;INDEX(CUEs!$A:$A,INT((ROW()-1)/7)*57+MOD(ROW()-1,7)+50)&amp;"=/ s "&amp;INDEX(CUEs!$B:$B,INT((ROW()-1)/7)*57+MOD(ROW()-1,7)+50),"")</f>
        <v/>
      </c>
    </row>
    <row r="6454" spans="1:1" x14ac:dyDescent="0.25">
      <c r="A6454" t="str" cm="1">
        <f t="array" ref="A6454">IF(INDEX(CUEs!$A:$A,INT((ROW()-1)/7)*57+MOD(ROW()-1,7)+50)&lt;&gt;"","set "&amp;INDEX(CUEs!$A:$A,INT((ROW()-1)/7)*57+MOD(ROW()-1,7)+50)&amp;"=/ s "&amp;INDEX(CUEs!$B:$B,INT((ROW()-1)/7)*57+MOD(ROW()-1,7)+50),"")</f>
        <v/>
      </c>
    </row>
    <row r="6455" spans="1:1" x14ac:dyDescent="0.25">
      <c r="A6455" t="str" cm="1">
        <f t="array" ref="A6455">IF(INDEX(CUEs!$A:$A,INT((ROW()-1)/7)*57+MOD(ROW()-1,7)+50)&lt;&gt;"","set "&amp;INDEX(CUEs!$A:$A,INT((ROW()-1)/7)*57+MOD(ROW()-1,7)+50)&amp;"=/ s "&amp;INDEX(CUEs!$B:$B,INT((ROW()-1)/7)*57+MOD(ROW()-1,7)+50),"")</f>
        <v/>
      </c>
    </row>
    <row r="6456" spans="1:1" x14ac:dyDescent="0.25">
      <c r="A6456" t="str" cm="1">
        <f t="array" ref="A6456">IF(INDEX(CUEs!$A:$A,INT((ROW()-1)/7)*57+MOD(ROW()-1,7)+50)&lt;&gt;"","set "&amp;INDEX(CUEs!$A:$A,INT((ROW()-1)/7)*57+MOD(ROW()-1,7)+50)&amp;"=/ s "&amp;INDEX(CUEs!$B:$B,INT((ROW()-1)/7)*57+MOD(ROW()-1,7)+50),"")</f>
        <v/>
      </c>
    </row>
    <row r="6457" spans="1:1" x14ac:dyDescent="0.25">
      <c r="A6457" t="str" cm="1">
        <f t="array" ref="A6457">IF(INDEX(CUEs!$A:$A,INT((ROW()-1)/7)*57+MOD(ROW()-1,7)+50)&lt;&gt;"","set "&amp;INDEX(CUEs!$A:$A,INT((ROW()-1)/7)*57+MOD(ROW()-1,7)+50)&amp;"=/ s "&amp;INDEX(CUEs!$B:$B,INT((ROW()-1)/7)*57+MOD(ROW()-1,7)+50),"")</f>
        <v/>
      </c>
    </row>
    <row r="6458" spans="1:1" x14ac:dyDescent="0.25">
      <c r="A6458" t="str" cm="1">
        <f t="array" ref="A6458">IF(INDEX(CUEs!$A:$A,INT((ROW()-1)/7)*57+MOD(ROW()-1,7)+50)&lt;&gt;"","set "&amp;INDEX(CUEs!$A:$A,INT((ROW()-1)/7)*57+MOD(ROW()-1,7)+50)&amp;"=/ s "&amp;INDEX(CUEs!$B:$B,INT((ROW()-1)/7)*57+MOD(ROW()-1,7)+50),"")</f>
        <v/>
      </c>
    </row>
    <row r="6459" spans="1:1" x14ac:dyDescent="0.25">
      <c r="A6459" t="str" cm="1">
        <f t="array" ref="A6459">IF(INDEX(CUEs!$A:$A,INT((ROW()-1)/7)*57+MOD(ROW()-1,7)+50)&lt;&gt;"","set "&amp;INDEX(CUEs!$A:$A,INT((ROW()-1)/7)*57+MOD(ROW()-1,7)+50)&amp;"=/ s "&amp;INDEX(CUEs!$B:$B,INT((ROW()-1)/7)*57+MOD(ROW()-1,7)+50),"")</f>
        <v/>
      </c>
    </row>
    <row r="6460" spans="1:1" x14ac:dyDescent="0.25">
      <c r="A6460" t="str" cm="1">
        <f t="array" ref="A6460">IF(INDEX(CUEs!$A:$A,INT((ROW()-1)/7)*57+MOD(ROW()-1,7)+50)&lt;&gt;"","set "&amp;INDEX(CUEs!$A:$A,INT((ROW()-1)/7)*57+MOD(ROW()-1,7)+50)&amp;"=/ s "&amp;INDEX(CUEs!$B:$B,INT((ROW()-1)/7)*57+MOD(ROW()-1,7)+50),"")</f>
        <v/>
      </c>
    </row>
    <row r="6461" spans="1:1" x14ac:dyDescent="0.25">
      <c r="A6461" t="str" cm="1">
        <f t="array" ref="A6461">IF(INDEX(CUEs!$A:$A,INT((ROW()-1)/7)*57+MOD(ROW()-1,7)+50)&lt;&gt;"","set "&amp;INDEX(CUEs!$A:$A,INT((ROW()-1)/7)*57+MOD(ROW()-1,7)+50)&amp;"=/ s "&amp;INDEX(CUEs!$B:$B,INT((ROW()-1)/7)*57+MOD(ROW()-1,7)+50),"")</f>
        <v/>
      </c>
    </row>
    <row r="6462" spans="1:1" x14ac:dyDescent="0.25">
      <c r="A6462" t="str" cm="1">
        <f t="array" ref="A6462">IF(INDEX(CUEs!$A:$A,INT((ROW()-1)/7)*57+MOD(ROW()-1,7)+50)&lt;&gt;"","set "&amp;INDEX(CUEs!$A:$A,INT((ROW()-1)/7)*57+MOD(ROW()-1,7)+50)&amp;"=/ s "&amp;INDEX(CUEs!$B:$B,INT((ROW()-1)/7)*57+MOD(ROW()-1,7)+50),"")</f>
        <v/>
      </c>
    </row>
    <row r="6463" spans="1:1" x14ac:dyDescent="0.25">
      <c r="A6463" t="str" cm="1">
        <f t="array" ref="A6463">IF(INDEX(CUEs!$A:$A,INT((ROW()-1)/7)*57+MOD(ROW()-1,7)+50)&lt;&gt;"","set "&amp;INDEX(CUEs!$A:$A,INT((ROW()-1)/7)*57+MOD(ROW()-1,7)+50)&amp;"=/ s "&amp;INDEX(CUEs!$B:$B,INT((ROW()-1)/7)*57+MOD(ROW()-1,7)+50),"")</f>
        <v/>
      </c>
    </row>
    <row r="6464" spans="1:1" x14ac:dyDescent="0.25">
      <c r="A6464" t="str" cm="1">
        <f t="array" ref="A6464">IF(INDEX(CUEs!$A:$A,INT((ROW()-1)/7)*57+MOD(ROW()-1,7)+50)&lt;&gt;"","set "&amp;INDEX(CUEs!$A:$A,INT((ROW()-1)/7)*57+MOD(ROW()-1,7)+50)&amp;"=/ s "&amp;INDEX(CUEs!$B:$B,INT((ROW()-1)/7)*57+MOD(ROW()-1,7)+50),"")</f>
        <v/>
      </c>
    </row>
    <row r="6465" spans="1:1" x14ac:dyDescent="0.25">
      <c r="A6465" t="str" cm="1">
        <f t="array" ref="A6465">IF(INDEX(CUEs!$A:$A,INT((ROW()-1)/7)*57+MOD(ROW()-1,7)+50)&lt;&gt;"","set "&amp;INDEX(CUEs!$A:$A,INT((ROW()-1)/7)*57+MOD(ROW()-1,7)+50)&amp;"=/ s "&amp;INDEX(CUEs!$B:$B,INT((ROW()-1)/7)*57+MOD(ROW()-1,7)+50),"")</f>
        <v/>
      </c>
    </row>
    <row r="6466" spans="1:1" x14ac:dyDescent="0.25">
      <c r="A6466" t="str" cm="1">
        <f t="array" ref="A6466">IF(INDEX(CUEs!$A:$A,INT((ROW()-1)/7)*57+MOD(ROW()-1,7)+50)&lt;&gt;"","set "&amp;INDEX(CUEs!$A:$A,INT((ROW()-1)/7)*57+MOD(ROW()-1,7)+50)&amp;"=/ s "&amp;INDEX(CUEs!$B:$B,INT((ROW()-1)/7)*57+MOD(ROW()-1,7)+50),"")</f>
        <v/>
      </c>
    </row>
    <row r="6467" spans="1:1" x14ac:dyDescent="0.25">
      <c r="A6467" t="str" cm="1">
        <f t="array" ref="A6467">IF(INDEX(CUEs!$A:$A,INT((ROW()-1)/7)*57+MOD(ROW()-1,7)+50)&lt;&gt;"","set "&amp;INDEX(CUEs!$A:$A,INT((ROW()-1)/7)*57+MOD(ROW()-1,7)+50)&amp;"=/ s "&amp;INDEX(CUEs!$B:$B,INT((ROW()-1)/7)*57+MOD(ROW()-1,7)+50),"")</f>
        <v/>
      </c>
    </row>
    <row r="6468" spans="1:1" x14ac:dyDescent="0.25">
      <c r="A6468" t="str" cm="1">
        <f t="array" ref="A6468">IF(INDEX(CUEs!$A:$A,INT((ROW()-1)/7)*57+MOD(ROW()-1,7)+50)&lt;&gt;"","set "&amp;INDEX(CUEs!$A:$A,INT((ROW()-1)/7)*57+MOD(ROW()-1,7)+50)&amp;"=/ s "&amp;INDEX(CUEs!$B:$B,INT((ROW()-1)/7)*57+MOD(ROW()-1,7)+50),"")</f>
        <v/>
      </c>
    </row>
    <row r="6469" spans="1:1" x14ac:dyDescent="0.25">
      <c r="A6469" t="str" cm="1">
        <f t="array" ref="A6469">IF(INDEX(CUEs!$A:$A,INT((ROW()-1)/7)*57+MOD(ROW()-1,7)+50)&lt;&gt;"","set "&amp;INDEX(CUEs!$A:$A,INT((ROW()-1)/7)*57+MOD(ROW()-1,7)+50)&amp;"=/ s "&amp;INDEX(CUEs!$B:$B,INT((ROW()-1)/7)*57+MOD(ROW()-1,7)+50),"")</f>
        <v/>
      </c>
    </row>
    <row r="6470" spans="1:1" x14ac:dyDescent="0.25">
      <c r="A6470" t="str" cm="1">
        <f t="array" ref="A6470">IF(INDEX(CUEs!$A:$A,INT((ROW()-1)/7)*57+MOD(ROW()-1,7)+50)&lt;&gt;"","set "&amp;INDEX(CUEs!$A:$A,INT((ROW()-1)/7)*57+MOD(ROW()-1,7)+50)&amp;"=/ s "&amp;INDEX(CUEs!$B:$B,INT((ROW()-1)/7)*57+MOD(ROW()-1,7)+50),"")</f>
        <v/>
      </c>
    </row>
    <row r="6471" spans="1:1" x14ac:dyDescent="0.25">
      <c r="A6471" t="str" cm="1">
        <f t="array" ref="A6471">IF(INDEX(CUEs!$A:$A,INT((ROW()-1)/7)*57+MOD(ROW()-1,7)+50)&lt;&gt;"","set "&amp;INDEX(CUEs!$A:$A,INT((ROW()-1)/7)*57+MOD(ROW()-1,7)+50)&amp;"=/ s "&amp;INDEX(CUEs!$B:$B,INT((ROW()-1)/7)*57+MOD(ROW()-1,7)+50),"")</f>
        <v/>
      </c>
    </row>
    <row r="6472" spans="1:1" x14ac:dyDescent="0.25">
      <c r="A6472" t="str" cm="1">
        <f t="array" ref="A6472">IF(INDEX(CUEs!$A:$A,INT((ROW()-1)/7)*57+MOD(ROW()-1,7)+50)&lt;&gt;"","set "&amp;INDEX(CUEs!$A:$A,INT((ROW()-1)/7)*57+MOD(ROW()-1,7)+50)&amp;"=/ s "&amp;INDEX(CUEs!$B:$B,INT((ROW()-1)/7)*57+MOD(ROW()-1,7)+50),"")</f>
        <v/>
      </c>
    </row>
    <row r="6473" spans="1:1" x14ac:dyDescent="0.25">
      <c r="A6473" t="str" cm="1">
        <f t="array" ref="A6473">IF(INDEX(CUEs!$A:$A,INT((ROW()-1)/7)*57+MOD(ROW()-1,7)+50)&lt;&gt;"","set "&amp;INDEX(CUEs!$A:$A,INT((ROW()-1)/7)*57+MOD(ROW()-1,7)+50)&amp;"=/ s "&amp;INDEX(CUEs!$B:$B,INT((ROW()-1)/7)*57+MOD(ROW()-1,7)+50),"")</f>
        <v/>
      </c>
    </row>
    <row r="6474" spans="1:1" x14ac:dyDescent="0.25">
      <c r="A6474" t="str" cm="1">
        <f t="array" ref="A6474">IF(INDEX(CUEs!$A:$A,INT((ROW()-1)/7)*57+MOD(ROW()-1,7)+50)&lt;&gt;"","set "&amp;INDEX(CUEs!$A:$A,INT((ROW()-1)/7)*57+MOD(ROW()-1,7)+50)&amp;"=/ s "&amp;INDEX(CUEs!$B:$B,INT((ROW()-1)/7)*57+MOD(ROW()-1,7)+50),"")</f>
        <v/>
      </c>
    </row>
    <row r="6475" spans="1:1" x14ac:dyDescent="0.25">
      <c r="A6475" t="str" cm="1">
        <f t="array" ref="A6475">IF(INDEX(CUEs!$A:$A,INT((ROW()-1)/7)*57+MOD(ROW()-1,7)+50)&lt;&gt;"","set "&amp;INDEX(CUEs!$A:$A,INT((ROW()-1)/7)*57+MOD(ROW()-1,7)+50)&amp;"=/ s "&amp;INDEX(CUEs!$B:$B,INT((ROW()-1)/7)*57+MOD(ROW()-1,7)+50),"")</f>
        <v/>
      </c>
    </row>
    <row r="6476" spans="1:1" x14ac:dyDescent="0.25">
      <c r="A6476" t="str" cm="1">
        <f t="array" ref="A6476">IF(INDEX(CUEs!$A:$A,INT((ROW()-1)/7)*57+MOD(ROW()-1,7)+50)&lt;&gt;"","set "&amp;INDEX(CUEs!$A:$A,INT((ROW()-1)/7)*57+MOD(ROW()-1,7)+50)&amp;"=/ s "&amp;INDEX(CUEs!$B:$B,INT((ROW()-1)/7)*57+MOD(ROW()-1,7)+50),"")</f>
        <v/>
      </c>
    </row>
    <row r="6477" spans="1:1" x14ac:dyDescent="0.25">
      <c r="A6477" t="str" cm="1">
        <f t="array" ref="A6477">IF(INDEX(CUEs!$A:$A,INT((ROW()-1)/7)*57+MOD(ROW()-1,7)+50)&lt;&gt;"","set "&amp;INDEX(CUEs!$A:$A,INT((ROW()-1)/7)*57+MOD(ROW()-1,7)+50)&amp;"=/ s "&amp;INDEX(CUEs!$B:$B,INT((ROW()-1)/7)*57+MOD(ROW()-1,7)+50),"")</f>
        <v/>
      </c>
    </row>
    <row r="6478" spans="1:1" x14ac:dyDescent="0.25">
      <c r="A6478" t="str" cm="1">
        <f t="array" ref="A6478">IF(INDEX(CUEs!$A:$A,INT((ROW()-1)/7)*57+MOD(ROW()-1,7)+50)&lt;&gt;"","set "&amp;INDEX(CUEs!$A:$A,INT((ROW()-1)/7)*57+MOD(ROW()-1,7)+50)&amp;"=/ s "&amp;INDEX(CUEs!$B:$B,INT((ROW()-1)/7)*57+MOD(ROW()-1,7)+50),"")</f>
        <v/>
      </c>
    </row>
    <row r="6479" spans="1:1" x14ac:dyDescent="0.25">
      <c r="A6479" t="str" cm="1">
        <f t="array" ref="A6479">IF(INDEX(CUEs!$A:$A,INT((ROW()-1)/7)*57+MOD(ROW()-1,7)+50)&lt;&gt;"","set "&amp;INDEX(CUEs!$A:$A,INT((ROW()-1)/7)*57+MOD(ROW()-1,7)+50)&amp;"=/ s "&amp;INDEX(CUEs!$B:$B,INT((ROW()-1)/7)*57+MOD(ROW()-1,7)+50),"")</f>
        <v/>
      </c>
    </row>
    <row r="6480" spans="1:1" x14ac:dyDescent="0.25">
      <c r="A6480" t="str" cm="1">
        <f t="array" ref="A6480">IF(INDEX(CUEs!$A:$A,INT((ROW()-1)/7)*57+MOD(ROW()-1,7)+50)&lt;&gt;"","set "&amp;INDEX(CUEs!$A:$A,INT((ROW()-1)/7)*57+MOD(ROW()-1,7)+50)&amp;"=/ s "&amp;INDEX(CUEs!$B:$B,INT((ROW()-1)/7)*57+MOD(ROW()-1,7)+50),"")</f>
        <v/>
      </c>
    </row>
    <row r="6481" spans="1:1" x14ac:dyDescent="0.25">
      <c r="A6481" t="str" cm="1">
        <f t="array" ref="A6481">IF(INDEX(CUEs!$A:$A,INT((ROW()-1)/7)*57+MOD(ROW()-1,7)+50)&lt;&gt;"","set "&amp;INDEX(CUEs!$A:$A,INT((ROW()-1)/7)*57+MOD(ROW()-1,7)+50)&amp;"=/ s "&amp;INDEX(CUEs!$B:$B,INT((ROW()-1)/7)*57+MOD(ROW()-1,7)+50),"")</f>
        <v/>
      </c>
    </row>
    <row r="6482" spans="1:1" x14ac:dyDescent="0.25">
      <c r="A6482" t="str" cm="1">
        <f t="array" ref="A6482">IF(INDEX(CUEs!$A:$A,INT((ROW()-1)/7)*57+MOD(ROW()-1,7)+50)&lt;&gt;"","set "&amp;INDEX(CUEs!$A:$A,INT((ROW()-1)/7)*57+MOD(ROW()-1,7)+50)&amp;"=/ s "&amp;INDEX(CUEs!$B:$B,INT((ROW()-1)/7)*57+MOD(ROW()-1,7)+50),"")</f>
        <v/>
      </c>
    </row>
    <row r="6483" spans="1:1" x14ac:dyDescent="0.25">
      <c r="A6483" t="str" cm="1">
        <f t="array" ref="A6483">IF(INDEX(CUEs!$A:$A,INT((ROW()-1)/7)*57+MOD(ROW()-1,7)+50)&lt;&gt;"","set "&amp;INDEX(CUEs!$A:$A,INT((ROW()-1)/7)*57+MOD(ROW()-1,7)+50)&amp;"=/ s "&amp;INDEX(CUEs!$B:$B,INT((ROW()-1)/7)*57+MOD(ROW()-1,7)+50),"")</f>
        <v/>
      </c>
    </row>
    <row r="6484" spans="1:1" x14ac:dyDescent="0.25">
      <c r="A6484" t="str" cm="1">
        <f t="array" ref="A6484">IF(INDEX(CUEs!$A:$A,INT((ROW()-1)/7)*57+MOD(ROW()-1,7)+50)&lt;&gt;"","set "&amp;INDEX(CUEs!$A:$A,INT((ROW()-1)/7)*57+MOD(ROW()-1,7)+50)&amp;"=/ s "&amp;INDEX(CUEs!$B:$B,INT((ROW()-1)/7)*57+MOD(ROW()-1,7)+50),"")</f>
        <v/>
      </c>
    </row>
    <row r="6485" spans="1:1" x14ac:dyDescent="0.25">
      <c r="A6485" t="str" cm="1">
        <f t="array" ref="A6485">IF(INDEX(CUEs!$A:$A,INT((ROW()-1)/7)*57+MOD(ROW()-1,7)+50)&lt;&gt;"","set "&amp;INDEX(CUEs!$A:$A,INT((ROW()-1)/7)*57+MOD(ROW()-1,7)+50)&amp;"=/ s "&amp;INDEX(CUEs!$B:$B,INT((ROW()-1)/7)*57+MOD(ROW()-1,7)+50),"")</f>
        <v/>
      </c>
    </row>
    <row r="6486" spans="1:1" x14ac:dyDescent="0.25">
      <c r="A6486" t="str" cm="1">
        <f t="array" ref="A6486">IF(INDEX(CUEs!$A:$A,INT((ROW()-1)/7)*57+MOD(ROW()-1,7)+50)&lt;&gt;"","set "&amp;INDEX(CUEs!$A:$A,INT((ROW()-1)/7)*57+MOD(ROW()-1,7)+50)&amp;"=/ s "&amp;INDEX(CUEs!$B:$B,INT((ROW()-1)/7)*57+MOD(ROW()-1,7)+50),"")</f>
        <v/>
      </c>
    </row>
    <row r="6487" spans="1:1" x14ac:dyDescent="0.25">
      <c r="A6487" t="str" cm="1">
        <f t="array" ref="A6487">IF(INDEX(CUEs!$A:$A,INT((ROW()-1)/7)*57+MOD(ROW()-1,7)+50)&lt;&gt;"","set "&amp;INDEX(CUEs!$A:$A,INT((ROW()-1)/7)*57+MOD(ROW()-1,7)+50)&amp;"=/ s "&amp;INDEX(CUEs!$B:$B,INT((ROW()-1)/7)*57+MOD(ROW()-1,7)+50),"")</f>
        <v/>
      </c>
    </row>
    <row r="6488" spans="1:1" x14ac:dyDescent="0.25">
      <c r="A6488" t="str" cm="1">
        <f t="array" ref="A6488">IF(INDEX(CUEs!$A:$A,INT((ROW()-1)/7)*57+MOD(ROW()-1,7)+50)&lt;&gt;"","set "&amp;INDEX(CUEs!$A:$A,INT((ROW()-1)/7)*57+MOD(ROW()-1,7)+50)&amp;"=/ s "&amp;INDEX(CUEs!$B:$B,INT((ROW()-1)/7)*57+MOD(ROW()-1,7)+50),"")</f>
        <v/>
      </c>
    </row>
    <row r="6489" spans="1:1" x14ac:dyDescent="0.25">
      <c r="A6489" t="str" cm="1">
        <f t="array" ref="A6489">IF(INDEX(CUEs!$A:$A,INT((ROW()-1)/7)*57+MOD(ROW()-1,7)+50)&lt;&gt;"","set "&amp;INDEX(CUEs!$A:$A,INT((ROW()-1)/7)*57+MOD(ROW()-1,7)+50)&amp;"=/ s "&amp;INDEX(CUEs!$B:$B,INT((ROW()-1)/7)*57+MOD(ROW()-1,7)+50),"")</f>
        <v/>
      </c>
    </row>
    <row r="6490" spans="1:1" x14ac:dyDescent="0.25">
      <c r="A6490" t="str" cm="1">
        <f t="array" ref="A6490">IF(INDEX(CUEs!$A:$A,INT((ROW()-1)/7)*57+MOD(ROW()-1,7)+50)&lt;&gt;"","set "&amp;INDEX(CUEs!$A:$A,INT((ROW()-1)/7)*57+MOD(ROW()-1,7)+50)&amp;"=/ s "&amp;INDEX(CUEs!$B:$B,INT((ROW()-1)/7)*57+MOD(ROW()-1,7)+50),"")</f>
        <v/>
      </c>
    </row>
    <row r="6491" spans="1:1" x14ac:dyDescent="0.25">
      <c r="A6491" t="str" cm="1">
        <f t="array" ref="A6491">IF(INDEX(CUEs!$A:$A,INT((ROW()-1)/7)*57+MOD(ROW()-1,7)+50)&lt;&gt;"","set "&amp;INDEX(CUEs!$A:$A,INT((ROW()-1)/7)*57+MOD(ROW()-1,7)+50)&amp;"=/ s "&amp;INDEX(CUEs!$B:$B,INT((ROW()-1)/7)*57+MOD(ROW()-1,7)+50),"")</f>
        <v/>
      </c>
    </row>
    <row r="6492" spans="1:1" x14ac:dyDescent="0.25">
      <c r="A6492" t="str" cm="1">
        <f t="array" ref="A6492">IF(INDEX(CUEs!$A:$A,INT((ROW()-1)/7)*57+MOD(ROW()-1,7)+50)&lt;&gt;"","set "&amp;INDEX(CUEs!$A:$A,INT((ROW()-1)/7)*57+MOD(ROW()-1,7)+50)&amp;"=/ s "&amp;INDEX(CUEs!$B:$B,INT((ROW()-1)/7)*57+MOD(ROW()-1,7)+50),"")</f>
        <v/>
      </c>
    </row>
    <row r="6493" spans="1:1" x14ac:dyDescent="0.25">
      <c r="A6493" t="str" cm="1">
        <f t="array" ref="A6493">IF(INDEX(CUEs!$A:$A,INT((ROW()-1)/7)*57+MOD(ROW()-1,7)+50)&lt;&gt;"","set "&amp;INDEX(CUEs!$A:$A,INT((ROW()-1)/7)*57+MOD(ROW()-1,7)+50)&amp;"=/ s "&amp;INDEX(CUEs!$B:$B,INT((ROW()-1)/7)*57+MOD(ROW()-1,7)+50),"")</f>
        <v/>
      </c>
    </row>
    <row r="6494" spans="1:1" x14ac:dyDescent="0.25">
      <c r="A6494" t="str" cm="1">
        <f t="array" ref="A6494">IF(INDEX(CUEs!$A:$A,INT((ROW()-1)/7)*57+MOD(ROW()-1,7)+50)&lt;&gt;"","set "&amp;INDEX(CUEs!$A:$A,INT((ROW()-1)/7)*57+MOD(ROW()-1,7)+50)&amp;"=/ s "&amp;INDEX(CUEs!$B:$B,INT((ROW()-1)/7)*57+MOD(ROW()-1,7)+50),"")</f>
        <v/>
      </c>
    </row>
    <row r="6495" spans="1:1" x14ac:dyDescent="0.25">
      <c r="A6495" t="str" cm="1">
        <f t="array" ref="A6495">IF(INDEX(CUEs!$A:$A,INT((ROW()-1)/7)*57+MOD(ROW()-1,7)+50)&lt;&gt;"","set "&amp;INDEX(CUEs!$A:$A,INT((ROW()-1)/7)*57+MOD(ROW()-1,7)+50)&amp;"=/ s "&amp;INDEX(CUEs!$B:$B,INT((ROW()-1)/7)*57+MOD(ROW()-1,7)+50),"")</f>
        <v/>
      </c>
    </row>
    <row r="6496" spans="1:1" x14ac:dyDescent="0.25">
      <c r="A6496" t="str" cm="1">
        <f t="array" ref="A6496">IF(INDEX(CUEs!$A:$A,INT((ROW()-1)/7)*57+MOD(ROW()-1,7)+50)&lt;&gt;"","set "&amp;INDEX(CUEs!$A:$A,INT((ROW()-1)/7)*57+MOD(ROW()-1,7)+50)&amp;"=/ s "&amp;INDEX(CUEs!$B:$B,INT((ROW()-1)/7)*57+MOD(ROW()-1,7)+50),"")</f>
        <v/>
      </c>
    </row>
    <row r="6497" spans="1:1" x14ac:dyDescent="0.25">
      <c r="A6497" t="str" cm="1">
        <f t="array" ref="A6497">IF(INDEX(CUEs!$A:$A,INT((ROW()-1)/7)*57+MOD(ROW()-1,7)+50)&lt;&gt;"","set "&amp;INDEX(CUEs!$A:$A,INT((ROW()-1)/7)*57+MOD(ROW()-1,7)+50)&amp;"=/ s "&amp;INDEX(CUEs!$B:$B,INT((ROW()-1)/7)*57+MOD(ROW()-1,7)+50),"")</f>
        <v/>
      </c>
    </row>
    <row r="6498" spans="1:1" x14ac:dyDescent="0.25">
      <c r="A6498" t="str" cm="1">
        <f t="array" ref="A6498">IF(INDEX(CUEs!$A:$A,INT((ROW()-1)/7)*57+MOD(ROW()-1,7)+50)&lt;&gt;"","set "&amp;INDEX(CUEs!$A:$A,INT((ROW()-1)/7)*57+MOD(ROW()-1,7)+50)&amp;"=/ s "&amp;INDEX(CUEs!$B:$B,INT((ROW()-1)/7)*57+MOD(ROW()-1,7)+50),"")</f>
        <v/>
      </c>
    </row>
    <row r="6499" spans="1:1" x14ac:dyDescent="0.25">
      <c r="A6499" t="str" cm="1">
        <f t="array" ref="A6499">IF(INDEX(CUEs!$A:$A,INT((ROW()-1)/7)*57+MOD(ROW()-1,7)+50)&lt;&gt;"","set "&amp;INDEX(CUEs!$A:$A,INT((ROW()-1)/7)*57+MOD(ROW()-1,7)+50)&amp;"=/ s "&amp;INDEX(CUEs!$B:$B,INT((ROW()-1)/7)*57+MOD(ROW()-1,7)+50),"")</f>
        <v/>
      </c>
    </row>
    <row r="6500" spans="1:1" x14ac:dyDescent="0.25">
      <c r="A6500" t="str" cm="1">
        <f t="array" ref="A6500">IF(INDEX(CUEs!$A:$A,INT((ROW()-1)/7)*57+MOD(ROW()-1,7)+50)&lt;&gt;"","set "&amp;INDEX(CUEs!$A:$A,INT((ROW()-1)/7)*57+MOD(ROW()-1,7)+50)&amp;"=/ s "&amp;INDEX(CUEs!$B:$B,INT((ROW()-1)/7)*57+MOD(ROW()-1,7)+50),"")</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2C459-15F1-4A7D-A435-DE0BF1F10356}">
  <dimension ref="A1:A57"/>
  <sheetViews>
    <sheetView topLeftCell="A31" workbookViewId="0">
      <selection activeCell="A37" sqref="A37:XFD37"/>
    </sheetView>
  </sheetViews>
  <sheetFormatPr defaultRowHeight="15" x14ac:dyDescent="0.25"/>
  <sheetData>
    <row r="1" spans="1:1" x14ac:dyDescent="0.25">
      <c r="A1" t="s">
        <v>99</v>
      </c>
    </row>
    <row r="4" spans="1:1" x14ac:dyDescent="0.25">
      <c r="A4" t="s">
        <v>100</v>
      </c>
    </row>
    <row r="5" spans="1:1" x14ac:dyDescent="0.25">
      <c r="A5" t="s">
        <v>101</v>
      </c>
    </row>
    <row r="6" spans="1:1" x14ac:dyDescent="0.25">
      <c r="A6" t="s">
        <v>130</v>
      </c>
    </row>
    <row r="8" spans="1:1" x14ac:dyDescent="0.25">
      <c r="A8" t="s">
        <v>129</v>
      </c>
    </row>
    <row r="11" spans="1:1" x14ac:dyDescent="0.25">
      <c r="A11" t="s">
        <v>102</v>
      </c>
    </row>
    <row r="12" spans="1:1" x14ac:dyDescent="0.25">
      <c r="A12" t="s">
        <v>103</v>
      </c>
    </row>
    <row r="13" spans="1:1" x14ac:dyDescent="0.25">
      <c r="A13" t="s">
        <v>104</v>
      </c>
    </row>
    <row r="14" spans="1:1" x14ac:dyDescent="0.25">
      <c r="A14" t="s">
        <v>135</v>
      </c>
    </row>
    <row r="15" spans="1:1" x14ac:dyDescent="0.25">
      <c r="A15" t="s">
        <v>136</v>
      </c>
    </row>
    <row r="16" spans="1:1" x14ac:dyDescent="0.25">
      <c r="A16" t="s">
        <v>105</v>
      </c>
    </row>
    <row r="17" spans="1:1" x14ac:dyDescent="0.25">
      <c r="A17" t="s">
        <v>106</v>
      </c>
    </row>
    <row r="18" spans="1:1" x14ac:dyDescent="0.25">
      <c r="A18" t="s">
        <v>107</v>
      </c>
    </row>
    <row r="22" spans="1:1" x14ac:dyDescent="0.25">
      <c r="A22" t="s">
        <v>138</v>
      </c>
    </row>
    <row r="24" spans="1:1" x14ac:dyDescent="0.25">
      <c r="A24" t="s">
        <v>125</v>
      </c>
    </row>
    <row r="26" spans="1:1" x14ac:dyDescent="0.25">
      <c r="A26" t="s">
        <v>108</v>
      </c>
    </row>
    <row r="27" spans="1:1" x14ac:dyDescent="0.25">
      <c r="A27" t="s">
        <v>126</v>
      </c>
    </row>
    <row r="29" spans="1:1" x14ac:dyDescent="0.25">
      <c r="A29" t="s">
        <v>109</v>
      </c>
    </row>
    <row r="31" spans="1:1" x14ac:dyDescent="0.25">
      <c r="A31" t="s">
        <v>110</v>
      </c>
    </row>
    <row r="33" spans="1:1" x14ac:dyDescent="0.25">
      <c r="A33" t="s">
        <v>111</v>
      </c>
    </row>
    <row r="34" spans="1:1" x14ac:dyDescent="0.25">
      <c r="A34" t="s">
        <v>112</v>
      </c>
    </row>
    <row r="36" spans="1:1" x14ac:dyDescent="0.25">
      <c r="A36" t="s">
        <v>113</v>
      </c>
    </row>
    <row r="38" spans="1:1" x14ac:dyDescent="0.25">
      <c r="A38" t="s">
        <v>114</v>
      </c>
    </row>
    <row r="40" spans="1:1" x14ac:dyDescent="0.25">
      <c r="A40" t="s">
        <v>115</v>
      </c>
    </row>
    <row r="41" spans="1:1" x14ac:dyDescent="0.25">
      <c r="A41" t="s">
        <v>116</v>
      </c>
    </row>
    <row r="42" spans="1:1" x14ac:dyDescent="0.25">
      <c r="A42" t="s">
        <v>117</v>
      </c>
    </row>
    <row r="44" spans="1:1" x14ac:dyDescent="0.25">
      <c r="A44" t="s">
        <v>118</v>
      </c>
    </row>
    <row r="46" spans="1:1" x14ac:dyDescent="0.25">
      <c r="A46" t="s">
        <v>119</v>
      </c>
    </row>
    <row r="48" spans="1:1" x14ac:dyDescent="0.25">
      <c r="A48" t="s">
        <v>127</v>
      </c>
    </row>
    <row r="49" spans="1:1" x14ac:dyDescent="0.25">
      <c r="A49" t="s">
        <v>128</v>
      </c>
    </row>
    <row r="50" spans="1:1" x14ac:dyDescent="0.25">
      <c r="A50" t="s">
        <v>120</v>
      </c>
    </row>
    <row r="51" spans="1:1" x14ac:dyDescent="0.25">
      <c r="A51" t="s">
        <v>121</v>
      </c>
    </row>
    <row r="52" spans="1:1" x14ac:dyDescent="0.25">
      <c r="A52" t="s">
        <v>116</v>
      </c>
    </row>
    <row r="53" spans="1:1" x14ac:dyDescent="0.25">
      <c r="A53" t="s">
        <v>117</v>
      </c>
    </row>
    <row r="54" spans="1:1" x14ac:dyDescent="0.25">
      <c r="A54" t="s">
        <v>122</v>
      </c>
    </row>
    <row r="55" spans="1:1" x14ac:dyDescent="0.25">
      <c r="A55" t="s">
        <v>123</v>
      </c>
    </row>
    <row r="57" spans="1:1" x14ac:dyDescent="0.25">
      <c r="A57" t="s">
        <v>124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52209-86BD-417E-80EA-C5299D91A3C8}">
  <dimension ref="A1:A8"/>
  <sheetViews>
    <sheetView workbookViewId="0">
      <selection activeCell="A7" sqref="A7"/>
    </sheetView>
  </sheetViews>
  <sheetFormatPr defaultRowHeight="15" x14ac:dyDescent="0.25"/>
  <cols>
    <col min="1" max="1" width="108" customWidth="1"/>
  </cols>
  <sheetData>
    <row r="1" spans="1:1" x14ac:dyDescent="0.25">
      <c r="A1" t="s">
        <v>133</v>
      </c>
    </row>
    <row r="2" spans="1:1" x14ac:dyDescent="0.25">
      <c r="A2" t="s">
        <v>134</v>
      </c>
    </row>
    <row r="3" spans="1:1" x14ac:dyDescent="0.25">
      <c r="A3" t="s">
        <v>137</v>
      </c>
    </row>
    <row r="4" spans="1:1" x14ac:dyDescent="0.25">
      <c r="A4" t="s">
        <v>135</v>
      </c>
    </row>
    <row r="5" spans="1:1" x14ac:dyDescent="0.25">
      <c r="A5" t="s">
        <v>136</v>
      </c>
    </row>
    <row r="7" spans="1:1" x14ac:dyDescent="0.25">
      <c r="A7" t="s">
        <v>131</v>
      </c>
    </row>
    <row r="8" spans="1:1" x14ac:dyDescent="0.25">
      <c r="A8" t="s">
        <v>132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E9624-2356-44D4-9E74-09E2947518D2}">
  <dimension ref="A1:B24"/>
  <sheetViews>
    <sheetView workbookViewId="0">
      <selection activeCell="A20" sqref="A20:XFD20"/>
    </sheetView>
  </sheetViews>
  <sheetFormatPr defaultRowHeight="15" x14ac:dyDescent="0.25"/>
  <sheetData>
    <row r="1" spans="1:2" x14ac:dyDescent="0.25">
      <c r="A1" t="s">
        <v>19</v>
      </c>
    </row>
    <row r="2" spans="1:2" x14ac:dyDescent="0.25">
      <c r="A2" t="s">
        <v>1</v>
      </c>
      <c r="B2">
        <v>1</v>
      </c>
    </row>
    <row r="3" spans="1:2" x14ac:dyDescent="0.25">
      <c r="A3" t="s">
        <v>2</v>
      </c>
      <c r="B3">
        <v>2</v>
      </c>
    </row>
    <row r="4" spans="1:2" x14ac:dyDescent="0.25">
      <c r="A4" t="s">
        <v>3</v>
      </c>
      <c r="B4">
        <v>3</v>
      </c>
    </row>
    <row r="5" spans="1:2" x14ac:dyDescent="0.25">
      <c r="A5" t="s">
        <v>4</v>
      </c>
      <c r="B5">
        <v>4</v>
      </c>
    </row>
    <row r="6" spans="1:2" x14ac:dyDescent="0.25">
      <c r="A6" t="s">
        <v>5</v>
      </c>
      <c r="B6">
        <v>5</v>
      </c>
    </row>
    <row r="7" spans="1:2" x14ac:dyDescent="0.25">
      <c r="A7" t="s">
        <v>6</v>
      </c>
      <c r="B7">
        <v>6</v>
      </c>
    </row>
    <row r="8" spans="1:2" x14ac:dyDescent="0.25">
      <c r="A8" t="s">
        <v>7</v>
      </c>
      <c r="B8">
        <v>7</v>
      </c>
    </row>
    <row r="9" spans="1:2" x14ac:dyDescent="0.25">
      <c r="A9" t="s">
        <v>8</v>
      </c>
      <c r="B9">
        <v>8</v>
      </c>
    </row>
    <row r="10" spans="1:2" x14ac:dyDescent="0.25">
      <c r="A10" t="s">
        <v>9</v>
      </c>
      <c r="B10">
        <v>9</v>
      </c>
    </row>
    <row r="11" spans="1:2" x14ac:dyDescent="0.25">
      <c r="A11" t="s">
        <v>10</v>
      </c>
      <c r="B11">
        <v>10</v>
      </c>
    </row>
    <row r="12" spans="1:2" x14ac:dyDescent="0.25">
      <c r="A12" t="s">
        <v>11</v>
      </c>
      <c r="B12">
        <v>11</v>
      </c>
    </row>
    <row r="13" spans="1:2" x14ac:dyDescent="0.25">
      <c r="A13" t="s">
        <v>12</v>
      </c>
      <c r="B13">
        <v>12</v>
      </c>
    </row>
    <row r="14" spans="1:2" x14ac:dyDescent="0.25">
      <c r="A14" t="s">
        <v>13</v>
      </c>
      <c r="B14">
        <v>13</v>
      </c>
    </row>
    <row r="15" spans="1:2" x14ac:dyDescent="0.25">
      <c r="A15" t="s">
        <v>14</v>
      </c>
      <c r="B15">
        <v>14</v>
      </c>
    </row>
    <row r="16" spans="1:2" x14ac:dyDescent="0.25">
      <c r="A16" t="s">
        <v>15</v>
      </c>
      <c r="B16">
        <v>15</v>
      </c>
    </row>
    <row r="17" spans="1:2" x14ac:dyDescent="0.25">
      <c r="A17" t="s">
        <v>16</v>
      </c>
      <c r="B17">
        <v>16</v>
      </c>
    </row>
    <row r="18" spans="1:2" x14ac:dyDescent="0.25">
      <c r="A18" t="s">
        <v>17</v>
      </c>
      <c r="B18">
        <v>17</v>
      </c>
    </row>
    <row r="19" spans="1:2" x14ac:dyDescent="0.25">
      <c r="A19" t="s">
        <v>18</v>
      </c>
      <c r="B19">
        <v>18</v>
      </c>
    </row>
    <row r="21" spans="1:2" x14ac:dyDescent="0.25">
      <c r="A21" t="s">
        <v>22</v>
      </c>
    </row>
    <row r="22" spans="1:2" x14ac:dyDescent="0.25">
      <c r="A22" t="s">
        <v>23</v>
      </c>
    </row>
    <row r="23" spans="1:2" x14ac:dyDescent="0.25">
      <c r="A23" t="s">
        <v>24</v>
      </c>
    </row>
    <row r="24" spans="1:2" x14ac:dyDescent="0.25">
      <c r="A24"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CUEs</vt:lpstr>
      <vt:lpstr>EXPORT</vt:lpstr>
      <vt:lpstr>README</vt:lpstr>
      <vt:lpstr>Change Log</vt:lpstr>
      <vt:lpstr>refs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Larry Jost</dc:creator>
  <cp:lastModifiedBy>Larry Jost</cp:lastModifiedBy>
  <cp:lastPrinted>2026-10-15T20:05:15Z</cp:lastPrinted>
  <dcterms:created xsi:type="dcterms:W3CDTF">2026-10-02T21:17:16Z</dcterms:created>
  <dcterms:modified xsi:type="dcterms:W3CDTF">2026-10-27T02:07:48Z</dcterms:modified>
</cp:coreProperties>
</file>